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9cebc6623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5ab5aee7341451e"/>
    <x:sheet xmlns:r="http://schemas.openxmlformats.org/officeDocument/2006/relationships" name="Tearsheet" sheetId="2" r:id="Rff8b11f3d9944431"/>
    <x:sheet xmlns:r="http://schemas.openxmlformats.org/officeDocument/2006/relationships" name="Trades" sheetId="3" r:id="R89e1c94315454050"/>
    <x:sheet xmlns:r="http://schemas.openxmlformats.org/officeDocument/2006/relationships" name="Equity" sheetId="4" r:id="R91dbf39f683343a2"/>
    <x:sheet xmlns:r="http://schemas.openxmlformats.org/officeDocument/2006/relationships" name="Monthly" sheetId="5" r:id="R989cb99a15e84d08"/>
    <x:sheet xmlns:r="http://schemas.openxmlformats.org/officeDocument/2006/relationships" name="Annual" sheetId="6" r:id="R2bf6c08b48da493b"/>
    <x:sheet xmlns:r="http://schemas.openxmlformats.org/officeDocument/2006/relationships" name="Drawdowns" sheetId="7" r:id="Rcd75c964fcae4c4d"/>
    <x:sheet xmlns:r="http://schemas.openxmlformats.org/officeDocument/2006/relationships" name="Capacity" sheetId="8" r:id="R5b2dd86f4e44453d"/>
    <x:sheet xmlns:r="http://schemas.openxmlformats.org/officeDocument/2006/relationships" name="Exec Decay" sheetId="9" r:id="R186a0939749f43cc"/>
    <x:sheet xmlns:r="http://schemas.openxmlformats.org/officeDocument/2006/relationships" name="Nov24 Break" sheetId="10" r:id="R317dfe9b351a41a2"/>
    <x:sheet xmlns:r="http://schemas.openxmlformats.org/officeDocument/2006/relationships" name="Events" sheetId="11" r:id="Rfffdf951eff14c41"/>
    <x:sheet xmlns:r="http://schemas.openxmlformats.org/officeDocument/2006/relationships" name="Live Monitor" sheetId="12" r:id="R7b48b943ec8c416a"/>
    <x:sheet xmlns:r="http://schemas.openxmlformats.org/officeDocument/2006/relationships" name="Sources" sheetId="13" r:id="R81ca57ef01e64363"/>
    <x:sheet xmlns:r="http://schemas.openxmlformats.org/officeDocument/2006/relationships" name="Checks" sheetId="14" r:id="R43d311e1b168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₹#,##0"/>
    <x:numFmt numFmtId="201" formatCode="0.0000"/>
    <x:numFmt numFmtId="202" formatCode="₹#,##0.00"/>
    <x:numFmt numFmtId="203" formatCode="0.00%"/>
    <x:numFmt numFmtId="204" formatCode="0.000%"/>
    <x:numFmt numFmtId="205" formatCode="0.00"/>
  </x:numFmts>
  <x:fonts count="9">
    <x:font>
      <x:sz val="11"/>
      <x:name val="Carlito"/>
    </x:font>
    <x:font>
      <x:b/>
      <x:sz val="22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20"/>
      <x:color rgb="FFFFFFFF"/>
      <x:name val="Carlito"/>
    </x:font>
    <x:font>
      <x:b/>
      <x:sz val="11"/>
      <x:color rgb="FFB91C1C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1D4ED8"/>
      </x:patternFill>
    </x:fill>
    <x:fill>
      <x:patternFill patternType="solid">
        <x:fgColor rgb="FFFEF2F2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f36013e2e402d" /><Relationship Type="http://schemas.openxmlformats.org/officeDocument/2006/relationships/theme" Target="/xl/theme/theme1.xml" Id="R22d85f3c361d484e" /><Relationship Type="http://schemas.microsoft.com/office/2022/11/relationships/FeaturePropertyBag" Target="/xl/featurePropertyBag/featurePropertyBag.xml" Id="R48ea9788140f4ab1" /><Relationship Type="http://schemas.openxmlformats.org/officeDocument/2006/relationships/sharedStrings" Target="/xl/sharedStrings.xml" Id="R687ba936d4fa4a0f" /><Relationship Type="http://schemas.openxmlformats.org/officeDocument/2006/relationships/worksheet" Target="/xl/worksheets/sheet1.xml" Id="R15ab5aee7341451e" /><Relationship Type="http://schemas.openxmlformats.org/officeDocument/2006/relationships/worksheet" Target="/xl/worksheets/sheet2.xml" Id="Rff8b11f3d9944431" /><Relationship Type="http://schemas.openxmlformats.org/officeDocument/2006/relationships/worksheet" Target="/xl/worksheets/sheet3.xml" Id="R89e1c94315454050" /><Relationship Type="http://schemas.openxmlformats.org/officeDocument/2006/relationships/worksheet" Target="/xl/worksheets/sheet4.xml" Id="R91dbf39f683343a2" /><Relationship Type="http://schemas.openxmlformats.org/officeDocument/2006/relationships/worksheet" Target="/xl/worksheets/sheet5.xml" Id="R989cb99a15e84d08" /><Relationship Type="http://schemas.openxmlformats.org/officeDocument/2006/relationships/worksheet" Target="/xl/worksheets/sheet6.xml" Id="R2bf6c08b48da493b" /><Relationship Type="http://schemas.openxmlformats.org/officeDocument/2006/relationships/worksheet" Target="/xl/worksheets/sheet7.xml" Id="Rcd75c964fcae4c4d" /><Relationship Type="http://schemas.openxmlformats.org/officeDocument/2006/relationships/worksheet" Target="/xl/worksheets/sheet8.xml" Id="R5b2dd86f4e44453d" /><Relationship Type="http://schemas.openxmlformats.org/officeDocument/2006/relationships/worksheet" Target="/xl/worksheets/sheet9.xml" Id="R186a0939749f43cc" /><Relationship Type="http://schemas.openxmlformats.org/officeDocument/2006/relationships/worksheet" Target="/xl/worksheets/sheet10.xml" Id="R317dfe9b351a41a2" /><Relationship Type="http://schemas.openxmlformats.org/officeDocument/2006/relationships/worksheet" Target="/xl/worksheets/sheet11.xml" Id="Rfffdf951eff14c41" /><Relationship Type="http://schemas.openxmlformats.org/officeDocument/2006/relationships/worksheet" Target="/xl/worksheets/sheet12.xml" Id="R7b48b943ec8c416a" /><Relationship Type="http://schemas.openxmlformats.org/officeDocument/2006/relationships/worksheet" Target="/xl/worksheets/sheet13.xml" Id="R81ca57ef01e64363" /><Relationship Type="http://schemas.openxmlformats.org/officeDocument/2006/relationships/worksheet" Target="/xl/worksheets/sheet14.xml" Id="R43d311e1b16846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bbfdf61dc5479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c6dad28121c403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5f1d750802b4f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ending equity</a:t>
            </a:r>
          </a:p>
        </c:rich>
      </c:tx>
    </c:title>
    <c:plotArea>
      <c:lineChart>
        <c:grouping val="standard"/>
        <c:ser>
          <c:idx val="0"/>
          <c:order val="0"/>
          <c:tx>
            <c:v>ending_equity_rupees</c:v>
          </c:tx>
          <c:marker>
            <c:symbol val="none"/>
          </c:marker>
          <c:cat>
            <c:strRef>
              <c:f>'Tearsheet'!$J$2:$J$63</c:f>
              <c:strCache>
                <c:ptCount val="0"/>
              </c:strCache>
            </c:strRef>
          </c:cat>
          <c:val>
            <c:numRef>
              <c:f>'Tearsheet'!$K$2:$K$63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Daily equity curve</a:t>
            </a:r>
          </a:p>
        </c:rich>
      </c:tx>
    </c:title>
    <c:plotArea>
      <c:lineChart>
        <c:grouping val="standard"/>
        <c:ser>
          <c:idx val="0"/>
          <c:order val="0"/>
          <c:tx>
            <c:v>equity_rupees</c:v>
          </c:tx>
          <c:marker>
            <c:symbol val="none"/>
          </c:marker>
          <c:cat>
            <c:strRef>
              <c:f>'Equity'!$O$2:$O$1341</c:f>
              <c:strCache>
                <c:ptCount val="0"/>
              </c:strCache>
            </c:strRef>
          </c:cat>
          <c:val>
            <c:numRef>
              <c:f>'Equity'!$P$2:$P$1341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P&amp;L versus slippage multiplier</a:t>
            </a:r>
          </a:p>
        </c:rich>
      </c:tx>
    </c:title>
    <c:plotArea>
      <c:lineChart>
        <c:grouping val="standard"/>
        <c:ser>
          <c:idx val="0"/>
          <c:order val="0"/>
          <c:tx>
            <c:v>net_pnl_rupees</c:v>
          </c:tx>
          <c:marker>
            <c:symbol val="none"/>
          </c:marker>
          <c:cat>
            <c:strRef>
              <c:f>'Exec Decay'!$J$2:$J$8</c:f>
              <c:strCache>
                <c:ptCount val="0"/>
              </c:strCache>
            </c:strRef>
          </c:cat>
          <c:val>
            <c:numRef>
              <c:f>'Exec Decay'!$K$2:$K$8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bbfdf61dc5479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17</xdr:col>
      <xdr:colOff>0</xdr:colOff>
      <xdr:row>1</xdr:row>
      <xdr:rowOff>0</xdr:rowOff>
    </xdr:from>
    <xdr:to>
      <xdr:col>26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6dad28121c403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f1d750802b4fb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38f8ea326a640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2a531ce6ff0b46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d2b0a44bcd6c4f0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>
      <x:c r="A1" s="4" t="str">
        <x:v>NIFTY Intraday VRP — Final Research Submission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2.79999923706055" hidden="0" customHeight="1">
      <x:c r="A4" s="6" t="str">
        <x:v>Decision</x:v>
      </x:c>
      <x:c r="B4" s="7" t="str">
        <x:v>SHADOW ONLY — ZERO LIVE CAPITAL</x:v>
      </x:c>
    </x:row>
    <x:row r="5" ht="66" hidden="0" customHeight="1">
      <x:c r="A5" s="6" t="str">
        <x:v>Base hypothesis</x:v>
      </x:c>
      <x:c r="B5" s="7" t="str">
        <x:v>Rejected net of costs at 60–180 minutes</x:v>
      </x:c>
    </x:row>
    <x:row r="6" ht="79.19999694824219" hidden="0" customHeight="1">
      <x:c r="A6" s="6" t="str">
        <x:v>Post-hoc candidate</x:v>
      </x:c>
      <x:c r="B6" s="7" t="str">
        <x:v>Upper-85 short iron fly with frozen gates/sizing</x:v>
      </x:c>
    </x:row>
    <x:row r="7" ht="15" hidden="0" customHeight="1">
      <x:c r="A7" s="6" t="str">
        <x:v>Starting capital</x:v>
      </x:c>
      <x:c r="B7" s="8" t="n">
        <x:v>1000000</x:v>
      </x:c>
    </x:row>
    <x:row r="8" ht="15" hidden="0" customHeight="1">
      <x:c r="A8" s="6" t="str">
        <x:v>Signals / executions</x:v>
      </x:c>
      <x:c r="B8" s="7" t="str">
        <x:v>132 / 86</x:v>
      </x:c>
    </x:row>
    <x:row r="9" ht="92.4000015258789" hidden="0" customHeight="1">
      <x:c r="A9" s="6" t="str">
        <x:v>Dataset scope</x:v>
      </x:c>
      <x:c r="B9" s="7" t="str">
        <x:v>Nearest weekly NIFTY, rolling ATM±10, 2021–2026</x:v>
      </x:c>
    </x:row>
    <x:row r="10" ht="92.4000015258789" hidden="0" customHeight="1">
      <x:c r="A10" s="6" t="str">
        <x:v>Entry / exit boundary</x:v>
      </x:c>
      <x:c r="B10" s="7" t="str">
        <x:v>ATM±3 at entry; maximum validated horizon 180 minutes</x:v>
      </x:c>
    </x:row>
    <x:row r="11" ht="79.19999694824219" hidden="0" customHeight="1">
      <x:c r="A11" s="6" t="str">
        <x:v>Costs</x:v>
      </x:c>
      <x:c r="B11" s="7" t="str">
        <x:v>Date-aware Groww charges + quantity-aware slippage</x:v>
      </x:c>
    </x:row>
    <x:row r="12" ht="79.19999694824219" hidden="0" customHeight="1">
      <x:c r="A12" s="6" t="str">
        <x:v>Margin</x:v>
      </x:c>
      <x:c r="B12" s="7" t="str">
        <x:v>Timestamp-aware SPAN; 35% policy ceiling</x:v>
      </x:c>
    </x:row>
    <x:row r="13" ht="79.19999694824219" hidden="0" customHeight="1">
      <x:c r="A13" s="6" t="str">
        <x:v>Review order</x:v>
      </x:c>
      <x:c r="B13" s="7" t="str">
        <x:v>Tearsheet → Trades → robustness → Live Monitor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</x:cols>
  <x:sheetData>
    <x:row r="1">
      <x:c r="A1" s="21" t="str">
        <x:v>Formula-backed tear sheet</x:v>
      </x:c>
      <x:c r="B1" s="21"/>
      <x:c r="C1" s="21"/>
      <x:c r="D1" s="21"/>
      <x:c r="J1" t="str">
        <x:v>month</x:v>
      </x:c>
      <x:c r="K1" t="str">
        <x:v>ending_equity_rupees</x:v>
      </x:c>
    </x:row>
    <x:row r="2">
      <x:c r="A2" s="21"/>
      <x:c r="B2" s="21"/>
      <x:c r="C2" s="21"/>
      <x:c r="D2" s="21"/>
      <x:c r="J2" t="str">
        <x:v>2021-05</x:v>
      </x:c>
      <x:c r="K2" t="n">
        <x:v>1005158.1495242068</x:v>
      </x:c>
    </x:row>
    <x:row r="3">
      <x:c r="J3" t="str">
        <x:v>2021-06</x:v>
      </x:c>
      <x:c r="K3" t="n">
        <x:v>997498.3139262889</x:v>
      </x:c>
    </x:row>
    <x:row r="4">
      <x:c r="A4" s="11" t="str">
        <x:v>Metric</x:v>
      </x:c>
      <x:c r="B4" s="11" t="str">
        <x:v>Formula result</x:v>
      </x:c>
      <x:c r="D4" s="26" t="str">
        <x:v>Decision and interpretation</x:v>
      </x:c>
      <x:c r="E4" s="26"/>
      <x:c r="F4" s="26"/>
      <x:c r="G4" s="26"/>
      <x:c r="H4" s="26"/>
      <x:c r="J4" t="str">
        <x:v>2021-07</x:v>
      </x:c>
      <x:c r="K4" t="n">
        <x:v>1006664.06497517</x:v>
      </x:c>
    </x:row>
    <x:row r="5">
      <x:c r="A5" s="6" t="str">
        <x:v>Candidate signals</x:v>
      </x:c>
      <x:c r="B5" t="n">
        <x:f>COUNTA(Trades!A2:A133)</x:f>
        <x:v>132</x:v>
      </x:c>
      <x:c r="D5" s="30" t="str">
        <x:v>Base VRP hypothesis rejected net of costs. The positive upper-85 short-iron-fly curve is post-hoc and remains a shadow-only candidate. Zero live capital until 100 new non-overlapping trades over 12 months pass the frozen promotion gates.</x:v>
      </x:c>
      <x:c r="E5" s="30"/>
      <x:c r="F5" s="30"/>
      <x:c r="G5" s="30"/>
      <x:c r="H5" s="30"/>
      <x:c r="J5" t="str">
        <x:v>2021-08</x:v>
      </x:c>
      <x:c r="K5" t="n">
        <x:v>1011756.8196393618</x:v>
      </x:c>
    </x:row>
    <x:row r="6">
      <x:c r="A6" s="6" t="str">
        <x:v>Executed trades</x:v>
      </x:c>
      <x:c r="B6" t="n">
        <x:f>COUNTIF(Trades!S2:S133,"&gt;0")</x:f>
        <x:v>86</x:v>
      </x:c>
      <x:c r="D6" s="30"/>
      <x:c r="E6" s="30"/>
      <x:c r="F6" s="30"/>
      <x:c r="G6" s="30"/>
      <x:c r="H6" s="30"/>
      <x:c r="J6" t="str">
        <x:v>2021-09</x:v>
      </x:c>
      <x:c r="K6" t="n">
        <x:v>1015588.4354348005</x:v>
      </x:c>
    </x:row>
    <x:row r="7">
      <x:c r="A7" s="6" t="str">
        <x:v>Skipped signals</x:v>
      </x:c>
      <x:c r="B7" t="n">
        <x:f>B5-B6</x:f>
        <x:v>46</x:v>
      </x:c>
      <x:c r="D7" s="30"/>
      <x:c r="E7" s="30"/>
      <x:c r="F7" s="30"/>
      <x:c r="G7" s="30"/>
      <x:c r="H7" s="30"/>
      <x:c r="J7" t="str">
        <x:v>2021-10</x:v>
      </x:c>
      <x:c r="K7" t="n">
        <x:v>1015653.6258945324</x:v>
      </x:c>
    </x:row>
    <x:row r="8">
      <x:c r="A8" s="6" t="str">
        <x:v>Gross P&amp;L</x:v>
      </x:c>
      <x:c r="B8" s="22" t="n">
        <x:f>SUM(Trades!X2:X133)</x:f>
        <x:v>153012.5</x:v>
      </x:c>
      <x:c r="D8" s="30"/>
      <x:c r="E8" s="30"/>
      <x:c r="F8" s="30"/>
      <x:c r="G8" s="30"/>
      <x:c r="H8" s="30"/>
      <x:c r="J8" t="str">
        <x:v>2021-11</x:v>
      </x:c>
      <x:c r="K8" t="n">
        <x:v>1023229.5494314508</x:v>
      </x:c>
    </x:row>
    <x:row r="9">
      <x:c r="A9" s="6" t="str">
        <x:v>Charges</x:v>
      </x:c>
      <x:c r="B9" s="22" t="n">
        <x:f>SUM(Trades!Y2:Y133)</x:f>
        <x:v>21877.70010821563</x:v>
      </x:c>
      <x:c r="D9" s="30"/>
      <x:c r="E9" s="30"/>
      <x:c r="F9" s="30"/>
      <x:c r="G9" s="30"/>
      <x:c r="H9" s="30"/>
      <x:c r="J9" t="str">
        <x:v>2021-12</x:v>
      </x:c>
      <x:c r="K9" t="n">
        <x:v>1020203.776462694</x:v>
      </x:c>
    </x:row>
    <x:row r="10">
      <x:c r="A10" s="6" t="str">
        <x:v>Modeled slippage</x:v>
      </x:c>
      <x:c r="B10" s="22" t="n">
        <x:f>SUM(Trades!Z2:Z133)</x:f>
        <x:v>22151.31729350961</x:v>
      </x:c>
      <x:c r="D10" s="30"/>
      <x:c r="E10" s="30"/>
      <x:c r="F10" s="30"/>
      <x:c r="G10" s="30"/>
      <x:c r="H10" s="30"/>
      <x:c r="J10" t="str">
        <x:v>2022-01</x:v>
      </x:c>
      <x:c r="K10" t="n">
        <x:v>1024134.9980537284</x:v>
      </x:c>
    </x:row>
    <x:row r="11">
      <x:c r="A11" s="6" t="str">
        <x:v>Total costs</x:v>
      </x:c>
      <x:c r="B11" s="22" t="n">
        <x:f>SUM(Trades!AA2:AA133)</x:f>
        <x:v>44029.01740172525</x:v>
      </x:c>
      <x:c r="D11" s="30"/>
      <x:c r="E11" s="30"/>
      <x:c r="F11" s="30"/>
      <x:c r="G11" s="30"/>
      <x:c r="H11" s="30"/>
      <x:c r="J11" t="str">
        <x:v>2022-02</x:v>
      </x:c>
      <x:c r="K11" t="n">
        <x:v>1027390.3764244728</x:v>
      </x:c>
    </x:row>
    <x:row r="12">
      <x:c r="A12" s="6" t="str">
        <x:v>Net P&amp;L</x:v>
      </x:c>
      <x:c r="B12" s="22" t="n">
        <x:f>SUM(Trades!AB2:AB133)</x:f>
        <x:v>108983.48259827474</x:v>
      </x:c>
      <x:c r="D12" s="30"/>
      <x:c r="E12" s="30"/>
      <x:c r="F12" s="30"/>
      <x:c r="G12" s="30"/>
      <x:c r="H12" s="30"/>
      <x:c r="J12" t="str">
        <x:v>2022-03</x:v>
      </x:c>
      <x:c r="K12" t="n">
        <x:v>1027390.3764244728</x:v>
      </x:c>
    </x:row>
    <x:row r="13">
      <x:c r="A13" s="6" t="str">
        <x:v>Starting capital</x:v>
      </x:c>
      <x:c r="B13" s="22" t="n">
        <x:f>1000000</x:f>
        <x:v>1000000</x:v>
      </x:c>
      <x:c r="J13" t="str">
        <x:v>2022-04</x:v>
      </x:c>
      <x:c r="K13" t="n">
        <x:v>1022018.8333699424</x:v>
      </x:c>
    </x:row>
    <x:row r="14">
      <x:c r="A14" s="6" t="str">
        <x:v>Ending equity</x:v>
      </x:c>
      <x:c r="B14" s="22" t="n">
        <x:f>B13+B12</x:f>
        <x:v>1108983.4825982747</x:v>
      </x:c>
      <x:c r="J14" t="str">
        <x:v>2022-05</x:v>
      </x:c>
      <x:c r="K14" t="n">
        <x:v>1029939.2832570096</x:v>
      </x:c>
    </x:row>
    <x:row r="15">
      <x:c r="A15" s="6" t="str">
        <x:v>Total return</x:v>
      </x:c>
      <x:c r="B15" s="23" t="n">
        <x:f>B12/B13</x:f>
        <x:v>0.10898348259827474</x:v>
      </x:c>
      <x:c r="J15" t="str">
        <x:v>2022-06</x:v>
      </x:c>
      <x:c r="K15" t="n">
        <x:v>1026680.9651120685</x:v>
      </x:c>
    </x:row>
    <x:row r="16">
      <x:c r="A16" s="6" t="str">
        <x:v>CAGR</x:v>
      </x:c>
      <x:c r="B16" s="23" t="n">
        <x:f>POWER(B14/B13,365.25/(DATEVALUE(Equity!A1341)-DATEVALUE(Equity!A2)))-1</x:f>
        <x:v>0.020355254134580836</x:v>
      </x:c>
      <x:c r="J16" t="str">
        <x:v>2022-07</x:v>
      </x:c>
      <x:c r="K16" t="n">
        <x:v>1028624.0682606878</x:v>
      </x:c>
    </x:row>
    <x:row r="17">
      <x:c r="A17" s="6" t="str">
        <x:v>Annualized volatility</x:v>
      </x:c>
      <x:c r="B17" s="23" t="n">
        <x:f>STDEV.S(Equity!M2:M1341)*SQRT(252)</x:f>
        <x:v>0.014323063879236615</x:v>
      </x:c>
      <x:c r="J17" t="str">
        <x:v>2022-08</x:v>
      </x:c>
      <x:c r="K17" t="n">
        <x:v>1027398.9697808772</x:v>
      </x:c>
    </x:row>
    <x:row r="18">
      <x:c r="A18" s="6" t="str">
        <x:v>Sharpe</x:v>
      </x:c>
      <x:c r="B18" s="24" t="n">
        <x:f>AVERAGE(Equity!M2:M1341)/STDEV.S(Equity!M2:M1341)*SQRT(252)</x:f>
        <x:v>1.36539437049727</x:v>
      </x:c>
      <x:c r="J18" t="str">
        <x:v>2022-09</x:v>
      </x:c>
      <x:c r="K18" t="n">
        <x:v>1027398.9697808772</x:v>
      </x:c>
    </x:row>
    <x:row r="19">
      <x:c r="A19" s="6" t="str">
        <x:v>Sortino</x:v>
      </x:c>
      <x:c r="B19" s="24" t="n">
        <x:f>AVERAGE(Equity!M2:M1341)/SQRT(SUMPRODUCT((Equity!M2:M1341&lt;0)*(Equity!M2:M1341^2))/COUNT(Equity!M2:M1341))*SQRT(252)</x:f>
        <x:v>2.7503208845746663</x:v>
      </x:c>
      <x:c r="J19" t="str">
        <x:v>2022-10</x:v>
      </x:c>
      <x:c r="K19" t="n">
        <x:v>1027707.6488155664</x:v>
      </x:c>
    </x:row>
    <x:row r="20">
      <x:c r="A20" s="6" t="str">
        <x:v>Maximum drawdown</x:v>
      </x:c>
      <x:c r="B20" s="23" t="n">
        <x:f>MIN(Equity!L2:L1341)</x:f>
        <x:v>-0.0076205277761951</x:v>
      </x:c>
      <x:c r="J20" t="str">
        <x:v>2022-11</x:v>
      </x:c>
      <x:c r="K20" t="n">
        <x:v>1039484.999701797</x:v>
      </x:c>
    </x:row>
    <x:row r="21">
      <x:c r="A21" s="6" t="str">
        <x:v>Hit rate</x:v>
      </x:c>
      <x:c r="B21" s="23" t="n">
        <x:f>COUNTIFS(Trades!S2:S133,"&gt;0",Trades!AB2:AB133,"&gt;0")/B6</x:f>
        <x:v>0.6627906976744186</x:v>
      </x:c>
      <x:c r="J21" t="str">
        <x:v>2022-12</x:v>
      </x:c>
      <x:c r="K21" t="n">
        <x:v>1047250.1284354312</x:v>
      </x:c>
    </x:row>
    <x:row r="22">
      <x:c r="A22" s="6" t="str">
        <x:v>Average win</x:v>
      </x:c>
      <x:c r="B22" s="22" t="n">
        <x:f>AVERAGEIFS(Trades!AB2:AB133,Trades!S2:S133,"&gt;0",Trades!AB2:AB133,"&gt;0")</x:f>
        <x:v>3155.7813697789916</x:v>
      </x:c>
      <x:c r="J22" t="str">
        <x:v>2023-01</x:v>
      </x:c>
      <x:c r="K22" t="n">
        <x:v>1049337.2242039184</x:v>
      </x:c>
    </x:row>
    <x:row r="23">
      <x:c r="A23" s="6" t="str">
        <x:v>Average loss</x:v>
      </x:c>
      <x:c r="B23" s="22" t="n">
        <x:f>AVERAGEIFS(Trades!AB2:AB133,Trades!S2:S133,"&gt;0",Trades!AB2:AB133,"&lt;=0")</x:f>
        <x:v>-2444.691568245785</x:v>
      </x:c>
      <x:c r="J23" t="str">
        <x:v>2023-02</x:v>
      </x:c>
      <x:c r="K23" t="n">
        <x:v>1049337.2242039184</x:v>
      </x:c>
    </x:row>
    <x:row r="24">
      <x:c r="A24" s="6" t="str">
        <x:v>Profit factor</x:v>
      </x:c>
      <x:c r="B24" s="24" t="n">
        <x:f>SUMIFS(Trades!AB2:AB133,Trades!AB2:AB133,"&gt;0")/-SUMIFS(Trades!AB2:AB133,Trades!AB2:AB133,"&lt;=0")</x:f>
        <x:v>2.5372291428873663</x:v>
      </x:c>
      <x:c r="J24" t="str">
        <x:v>2023-03</x:v>
      </x:c>
      <x:c r="K24" t="n">
        <x:v>1049337.2242039184</x:v>
      </x:c>
    </x:row>
    <x:row r="25">
      <x:c r="A25" s="6" t="str">
        <x:v>Turnover</x:v>
      </x:c>
      <x:c r="B25" s="22" t="n">
        <x:f>SUM(Trades!AC2:AC133)</x:f>
        <x:v>6670527.677784263</x:v>
      </x:c>
      <x:c r="J25" t="str">
        <x:v>2023-04</x:v>
      </x:c>
      <x:c r="K25" t="n">
        <x:v>1053375.5658940373</x:v>
      </x:c>
    </x:row>
    <x:row r="26">
      <x:c r="A26" s="6" t="str">
        <x:v>Cost drag / gross</x:v>
      </x:c>
      <x:c r="B26" s="23" t="n">
        <x:f>B11/B8</x:f>
        <x:v>0.2877478467558222</x:v>
      </x:c>
      <x:c r="J26" t="str">
        <x:v>2023-05</x:v>
      </x:c>
      <x:c r="K26" t="n">
        <x:v>1048026.81934602</x:v>
      </x:c>
    </x:row>
    <x:row r="27">
      <x:c r="A27" s="6" t="str">
        <x:v>Average entry margin</x:v>
      </x:c>
      <x:c r="B27" s="22" t="n">
        <x:f>AVERAGEIF(Trades!S2:S133,"&gt;0",Trades!U2:U133)</x:f>
        <x:v>339416.900000182</x:v>
      </x:c>
      <x:c r="J27" t="str">
        <x:v>2023-06</x:v>
      </x:c>
      <x:c r="K27" t="n">
        <x:v>1057833.502090694</x:v>
      </x:c>
    </x:row>
    <x:row r="28">
      <x:c r="A28" s="6" t="str">
        <x:v>Return / average entry margin</x:v>
      </x:c>
      <x:c r="B28" s="23" t="n">
        <x:f>B12/B27</x:f>
        <x:v>0.3210903246073378</x:v>
      </x:c>
      <x:c r="J28" t="str">
        <x:v>2023-07</x:v>
      </x:c>
      <x:c r="K28" t="n">
        <x:v>1058951.110032302</x:v>
      </x:c>
    </x:row>
    <x:row r="29">
      <x:c r="J29" t="str">
        <x:v>2023-08</x:v>
      </x:c>
      <x:c r="K29" t="n">
        <x:v>1060137.584986517</x:v>
      </x:c>
    </x:row>
    <x:row r="30">
      <x:c r="J30" t="str">
        <x:v>2023-09</x:v>
      </x:c>
      <x:c r="K30" t="n">
        <x:v>1060137.584986517</x:v>
      </x:c>
    </x:row>
    <x:row r="31">
      <x:c r="J31" t="str">
        <x:v>2023-10</x:v>
      </x:c>
      <x:c r="K31" t="n">
        <x:v>1060137.584986517</x:v>
      </x:c>
    </x:row>
    <x:row r="32">
      <x:c r="J32" t="str">
        <x:v>2023-11</x:v>
      </x:c>
      <x:c r="K32" t="n">
        <x:v>1060137.584986517</x:v>
      </x:c>
    </x:row>
    <x:row r="33">
      <x:c r="J33" t="str">
        <x:v>2023-12</x:v>
      </x:c>
      <x:c r="K33" t="n">
        <x:v>1070835.2563506975</x:v>
      </x:c>
    </x:row>
    <x:row r="34">
      <x:c r="J34" t="str">
        <x:v>2024-01</x:v>
      </x:c>
      <x:c r="K34" t="n">
        <x:v>1068750.4435094823</x:v>
      </x:c>
    </x:row>
    <x:row r="35">
      <x:c r="J35" t="str">
        <x:v>2024-02</x:v>
      </x:c>
      <x:c r="K35" t="n">
        <x:v>1071036.9416629658</x:v>
      </x:c>
    </x:row>
    <x:row r="36">
      <x:c r="J36" t="str">
        <x:v>2024-03</x:v>
      </x:c>
      <x:c r="K36" t="n">
        <x:v>1078323.29246673</x:v>
      </x:c>
    </x:row>
    <x:row r="37">
      <x:c r="J37" t="str">
        <x:v>2024-04</x:v>
      </x:c>
      <x:c r="K37" t="n">
        <x:v>1084497.8649725895</x:v>
      </x:c>
    </x:row>
    <x:row r="38">
      <x:c r="J38" t="str">
        <x:v>2024-05</x:v>
      </x:c>
      <x:c r="K38" t="n">
        <x:v>1080398.4832266432</x:v>
      </x:c>
    </x:row>
    <x:row r="39">
      <x:c r="J39" t="str">
        <x:v>2024-06</x:v>
      </x:c>
      <x:c r="K39" t="n">
        <x:v>1083868.9730465724</x:v>
      </x:c>
    </x:row>
    <x:row r="40">
      <x:c r="J40" t="str">
        <x:v>2024-07</x:v>
      </x:c>
      <x:c r="K40" t="n">
        <x:v>1083868.9730465724</x:v>
      </x:c>
    </x:row>
    <x:row r="41">
      <x:c r="J41" t="str">
        <x:v>2024-08</x:v>
      </x:c>
      <x:c r="K41" t="n">
        <x:v>1087772.9619016976</x:v>
      </x:c>
    </x:row>
    <x:row r="42">
      <x:c r="J42" t="str">
        <x:v>2024-09</x:v>
      </x:c>
      <x:c r="K42" t="n">
        <x:v>1087772.9619016976</x:v>
      </x:c>
    </x:row>
    <x:row r="43">
      <x:c r="J43" t="str">
        <x:v>2024-10</x:v>
      </x:c>
      <x:c r="K43" t="n">
        <x:v>1087772.9619016976</x:v>
      </x:c>
    </x:row>
    <x:row r="44">
      <x:c r="J44" t="str">
        <x:v>2024-11</x:v>
      </x:c>
      <x:c r="K44" t="n">
        <x:v>1086841.153502907</x:v>
      </x:c>
    </x:row>
    <x:row r="45">
      <x:c r="J45" t="str">
        <x:v>2024-12</x:v>
      </x:c>
      <x:c r="K45" t="n">
        <x:v>1085947.871878154</x:v>
      </x:c>
    </x:row>
    <x:row r="46">
      <x:c r="J46" t="str">
        <x:v>2025-01</x:v>
      </x:c>
      <x:c r="K46" t="n">
        <x:v>1084811.4043342697</x:v>
      </x:c>
    </x:row>
    <x:row r="47">
      <x:c r="J47" t="str">
        <x:v>2025-02</x:v>
      </x:c>
      <x:c r="K47" t="n">
        <x:v>1083950.456334734</x:v>
      </x:c>
    </x:row>
    <x:row r="48">
      <x:c r="J48" t="str">
        <x:v>2025-03</x:v>
      </x:c>
      <x:c r="K48" t="n">
        <x:v>1087037.4671584626</x:v>
      </x:c>
    </x:row>
    <x:row r="49">
      <x:c r="J49" t="str">
        <x:v>2025-04</x:v>
      </x:c>
      <x:c r="K49" t="n">
        <x:v>1087037.4671584626</x:v>
      </x:c>
    </x:row>
    <x:row r="50">
      <x:c r="J50" t="str">
        <x:v>2025-05</x:v>
      </x:c>
      <x:c r="K50" t="n">
        <x:v>1099229.194767075</x:v>
      </x:c>
    </x:row>
    <x:row r="51">
      <x:c r="J51" t="str">
        <x:v>2025-06</x:v>
      </x:c>
      <x:c r="K51" t="n">
        <x:v>1099759.7999613376</x:v>
      </x:c>
    </x:row>
    <x:row r="52">
      <x:c r="J52" t="str">
        <x:v>2025-07</x:v>
      </x:c>
      <x:c r="K52" t="n">
        <x:v>1096260.700296854</x:v>
      </x:c>
    </x:row>
    <x:row r="53">
      <x:c r="J53" t="str">
        <x:v>2025-08</x:v>
      </x:c>
      <x:c r="K53" t="n">
        <x:v>1095924.8707511537</x:v>
      </x:c>
    </x:row>
    <x:row r="54">
      <x:c r="J54" t="str">
        <x:v>2025-09</x:v>
      </x:c>
      <x:c r="K54" t="n">
        <x:v>1102326.7454864257</x:v>
      </x:c>
    </x:row>
    <x:row r="55">
      <x:c r="J55" t="str">
        <x:v>2025-10</x:v>
      </x:c>
      <x:c r="K55" t="n">
        <x:v>1102330.1393794722</x:v>
      </x:c>
    </x:row>
    <x:row r="56">
      <x:c r="J56" t="str">
        <x:v>2025-11</x:v>
      </x:c>
      <x:c r="K56" t="n">
        <x:v>1104412.804158201</x:v>
      </x:c>
    </x:row>
    <x:row r="57">
      <x:c r="J57" t="str">
        <x:v>2025-12</x:v>
      </x:c>
      <x:c r="K57" t="n">
        <x:v>1104095.8203272251</x:v>
      </x:c>
    </x:row>
    <x:row r="58">
      <x:c r="J58" t="str">
        <x:v>2026-01</x:v>
      </x:c>
      <x:c r="K58" t="n">
        <x:v>1107455.6934045758</x:v>
      </x:c>
    </x:row>
    <x:row r="59">
      <x:c r="J59" t="str">
        <x:v>2026-02</x:v>
      </x:c>
      <x:c r="K59" t="n">
        <x:v>1109967.474838216</x:v>
      </x:c>
    </x:row>
    <x:row r="60">
      <x:c r="J60" t="str">
        <x:v>2026-03</x:v>
      </x:c>
      <x:c r="K60" t="n">
        <x:v>1108163.438662083</x:v>
      </x:c>
    </x:row>
    <x:row r="61">
      <x:c r="J61" t="str">
        <x:v>2026-04</x:v>
      </x:c>
      <x:c r="K61" t="n">
        <x:v>1108039.104025056</x:v>
      </x:c>
    </x:row>
    <x:row r="62">
      <x:c r="J62" t="str">
        <x:v>2026-05</x:v>
      </x:c>
      <x:c r="K62" t="n">
        <x:v>1107652.938295476</x:v>
      </x:c>
    </x:row>
    <x:row r="63">
      <x:c r="J63" t="str">
        <x:v>2026-06</x:v>
      </x:c>
      <x:c r="K63" t="n">
        <x:v>1108983.4825982747</x:v>
      </x:c>
    </x:row>
  </x:sheetData>
  <x:mergeCells>
    <x:mergeCell ref="A1:D2"/>
    <x:mergeCell ref="D4:H4"/>
    <x:mergeCell ref="D5:H12"/>
  </x:mergeCells>
  <x:pageMargins left="0.7" right="0.7" top="0.75" bottom="0.75" header="0.3" footer="0.3"/>
  <x:drawing xmlns:r="http://schemas.openxmlformats.org/officeDocument/2006/relationships" r:id="R838f8ea326a6406d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12" hidden="0" customWidth="1"/>
    <x:col min="5" max="5" width="12" hidden="0" customWidth="1"/>
    <x:col min="6" max="6" width="19" hidden="0" customWidth="1"/>
    <x:col min="7" max="7" width="11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20" hidden="0" customWidth="1"/>
    <x:col min="16" max="16" width="23" hidden="0" customWidth="1"/>
    <x:col min="17" max="17" width="20" hidden="0" customWidth="1"/>
    <x:col min="18" max="18" width="18" hidden="0" customWidth="1"/>
    <x:col min="19" max="19" width="11" hidden="0" customWidth="1"/>
    <x:col min="20" max="20" width="11" hidden="0" customWidth="1"/>
    <x:col min="21" max="21" width="15" hidden="0" customWidth="1"/>
    <x:col min="22" max="22" width="20" hidden="0" customWidth="1"/>
    <x:col min="23" max="23" width="23" hidden="0" customWidth="1"/>
    <x:col min="24" max="24" width="18" hidden="0" customWidth="1"/>
    <x:col min="25" max="25" width="16" hidden="0" customWidth="1"/>
    <x:col min="26" max="26" width="17" hidden="0" customWidth="1"/>
    <x:col min="27" max="27" width="19" hidden="0" customWidth="1"/>
    <x:col min="28" max="28" width="16" hidden="0" customWidth="1"/>
    <x:col min="29" max="29" width="17" hidden="0" customWidth="1"/>
    <x:col min="30" max="30" width="17" hidden="0" customWidth="1"/>
    <x:col min="31" max="31" width="14" hidden="0" customWidth="1"/>
    <x:col min="32" max="32" width="14" hidden="0" customWidth="1"/>
    <x:col min="33" max="33" width="15" hidden="0" customWidth="1"/>
    <x:col min="34" max="34" width="14" hidden="0" customWidth="1"/>
    <x:col min="35" max="35" width="11" hidden="0" customWidth="1"/>
    <x:col min="36" max="36" width="11" hidden="0" customWidth="1"/>
    <x:col min="37" max="37" width="15" hidden="0" customWidth="1"/>
    <x:col min="38" max="38" width="17" hidden="0" customWidth="1"/>
    <x:col min="39" max="39" width="20" hidden="0" customWidth="1"/>
  </x:cols>
  <x:sheetData>
    <x:row r="1" ht="15" hidden="0" customHeight="1">
      <x:c r="A1" s="12" t="str">
        <x:v>trade_id</x:v>
      </x:c>
      <x:c r="B1" s="12" t="str">
        <x:v>trade_date</x:v>
      </x:c>
      <x:c r="C1" s="12" t="str">
        <x:v>split</x:v>
      </x:c>
      <x:c r="D1" s="12" t="str">
        <x:v>event_week</x:v>
      </x:c>
      <x:c r="E1" s="12" t="str">
        <x:v>event_type</x:v>
      </x:c>
      <x:c r="F1" s="12" t="str">
        <x:v>structural_regime</x:v>
      </x:c>
      <x:c r="G1" s="12" t="str">
        <x:v>executed</x:v>
      </x:c>
      <x:c r="H1" s="12" t="str">
        <x:v>skip_reason</x:v>
      </x:c>
      <x:c r="I1" s="12" t="str">
        <x:v>structure</x:v>
      </x:c>
      <x:c r="J1" s="12" t="str">
        <x:v>entry_ts</x:v>
      </x:c>
      <x:c r="K1" s="12" t="str">
        <x:v>exit_ts</x:v>
      </x:c>
      <x:c r="L1" s="12" t="str">
        <x:v>entry_dte</x:v>
      </x:c>
      <x:c r="M1" s="12" t="str">
        <x:v>spot</x:v>
      </x:c>
      <x:c r="N1" s="12" t="str">
        <x:v>atm_iv</x:v>
      </x:c>
      <x:c r="O1" s="12" t="str">
        <x:v>trailing_rv_act365</x:v>
      </x:c>
      <x:c r="P1" s="12" t="str">
        <x:v>signal_vrp_var_act365</x:v>
      </x:c>
      <x:c r="Q1" s="12" t="str">
        <x:v>vrp_tod_percentile</x:v>
      </x:c>
      <x:c r="R1" s="12" t="str">
        <x:v>confidence_score</x:v>
      </x:c>
      <x:c r="S1" s="12" t="str">
        <x:v>lots</x:v>
      </x:c>
      <x:c r="T1" s="12" t="str">
        <x:v>lot_size</x:v>
      </x:c>
      <x:c r="U1" s="12" t="str">
        <x:v>margin_rupees</x:v>
      </x:c>
      <x:c r="V1" s="12" t="str">
        <x:v>margin_utilization</x:v>
      </x:c>
      <x:c r="W1" s="12" t="str">
        <x:v>cash_risk_utilization</x:v>
      </x:c>
      <x:c r="X1" s="12" t="str">
        <x:v>gross_pnl_rupees</x:v>
      </x:c>
      <x:c r="Y1" s="12" t="str">
        <x:v>charges_rupees</x:v>
      </x:c>
      <x:c r="Z1" s="12" t="str">
        <x:v>slippage_rupees</x:v>
      </x:c>
      <x:c r="AA1" s="12" t="str">
        <x:v>total_cost_rupees</x:v>
      </x:c>
      <x:c r="AB1" s="12" t="str">
        <x:v>net_pnl_rupees</x:v>
      </x:c>
      <x:c r="AC1" s="12" t="str">
        <x:v>turnover_rupees</x:v>
      </x:c>
      <x:c r="AD1" s="12" t="str">
        <x:v>one_lot_net_pnl</x:v>
      </x:c>
      <x:c r="AE1" s="12" t="str">
        <x:v>gate_cushion</x:v>
      </x:c>
      <x:c r="AF1" s="12" t="str">
        <x:v>iv_change_5m</x:v>
      </x:c>
      <x:c r="AG1" s="12" t="str">
        <x:v>iv_change_15m</x:v>
      </x:c>
      <x:c r="AH1" s="12" t="str">
        <x:v>rv_change_5m</x:v>
      </x:c>
      <x:c r="AI1" s="12" t="str">
        <x:v>put_skew</x:v>
      </x:c>
      <x:c r="AJ1" s="12" t="str">
        <x:v>call_skew</x:v>
      </x:c>
      <x:c r="AK1" s="12" t="str">
        <x:v>risk_reversal</x:v>
      </x:c>
      <x:c r="AL1" s="12" t="str">
        <x:v>smile_curvature</x:v>
      </x:c>
      <x:c r="AM1" s="12" t="str">
        <x:v>drawdown_after_pct</x:v>
      </x:c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15" hidden="0" customHeight="1">
      <x:c r="A2" s="13" t="n">
        <x:v>886</x:v>
      </x:c>
      <x:c r="B2" s="13" t="str">
        <x:v>2021-03-31</x:v>
      </x:c>
      <x:c r="C2" s="13" t="str">
        <x:v>discovery_2021_2023</x:v>
      </x:c>
      <x:c r="D2" s="14" t="b">
        <x:v>1</x:v>
      </x:c>
      <x:c r="E2" s="13" t="str">
        <x:v>rbi_mpc</x:v>
      </x:c>
      <x:c r="F2" s="13" t="str">
        <x:v>pre_2024_11_20</x:v>
      </x:c>
      <x:c r="G2" s="14" t="b">
        <x:v>0</x:v>
      </x:c>
      <x:c r="H2" s="13" t="str">
        <x:v>confidence_score_at_or_below_0.40</x:v>
      </x:c>
      <x:c r="I2" s="13"/>
      <x:c r="J2" s="13" t="str">
        <x:v>2021-03-31 06:12:00+00:00</x:v>
      </x:c>
      <x:c r="K2" s="13"/>
      <x:c r="L2" s="13"/>
      <x:c r="M2" s="13" t="n">
        <x:v>14722.5</x:v>
      </x:c>
      <x:c r="N2" s="15" t="n">
        <x:v>0.2797986540773581</x:v>
      </x:c>
      <x:c r="O2" s="15" t="n">
        <x:v>0.2111634034241297</x:v>
      </x:c>
      <x:c r="P2" s="15" t="n">
        <x:v>0.0336973038778393</x:v>
      </x:c>
      <x:c r="Q2" s="15" t="n">
        <x:v>0.8666666666666667</x:v>
      </x:c>
      <x:c r="R2" s="13" t="n">
        <x:v>0.3888888888888889</x:v>
      </x:c>
      <x:c r="S2" s="13" t="n">
        <x:v>0</x:v>
      </x:c>
      <x:c r="T2" s="13"/>
      <x:c r="U2" s="16" t="n">
        <x:v>0</x:v>
      </x:c>
      <x:c r="V2" s="17" t="n">
        <x:v>0</x:v>
      </x:c>
      <x:c r="W2" s="17" t="n">
        <x:v>0</x:v>
      </x:c>
      <x:c r="X2" s="16" t="n">
        <x:v>0</x:v>
      </x:c>
      <x:c r="Y2" s="16" t="n">
        <x:v>0</x:v>
      </x:c>
      <x:c r="Z2" s="16" t="n">
        <x:v>0</x:v>
      </x:c>
      <x:c r="AA2" s="16" t="n">
        <x:v>0</x:v>
      </x:c>
      <x:c r="AB2" s="16" t="n">
        <x:v>0</x:v>
      </x:c>
      <x:c r="AC2" s="16" t="n">
        <x:v>0</x:v>
      </x:c>
      <x:c r="AD2" s="13" t="n">
        <x:v>-503.0198239042432</x:v>
      </x:c>
      <x:c r="AE2" s="13" t="n">
        <x:v>0.4720748123879616</x:v>
      </x:c>
      <x:c r="AF2" s="13" t="n">
        <x:v>0.0043895731173548</x:v>
      </x:c>
      <x:c r="AG2" s="13" t="n">
        <x:v>0.0043666419118978</x:v>
      </x:c>
      <x:c r="AH2" s="13" t="n">
        <x:v>-0.0147518469680605</x:v>
      </x:c>
      <x:c r="AI2" s="13" t="n">
        <x:v>0.0236052325994831</x:v>
      </x:c>
      <x:c r="AJ2" s="13" t="n">
        <x:v>-0.0142136696400189</x:v>
      </x:c>
      <x:c r="AK2" s="13" t="n">
        <x:v>0.0378189022395021</x:v>
      </x:c>
      <x:c r="AL2" s="13" t="n">
        <x:v>0.004695781479732</x:v>
      </x:c>
      <x:c r="AM2" s="13" t="n">
        <x:v>0</x:v>
      </x:c>
    </x:row>
    <x:row r="3" ht="15" hidden="0" customHeight="1">
      <x:c r="A3" s="13" t="n">
        <x:v>888</x:v>
      </x:c>
      <x:c r="B3" s="13" t="str">
        <x:v>2021-04-15</x:v>
      </x:c>
      <x:c r="C3" s="13" t="str">
        <x:v>discovery_2021_2023</x:v>
      </x:c>
      <x:c r="D3" s="14" t="b">
        <x:v>0</x:v>
      </x:c>
      <x:c r="E3" s="13" t="str">
        <x:v>none</x:v>
      </x:c>
      <x:c r="F3" s="13" t="str">
        <x:v>pre_2024_11_20</x:v>
      </x:c>
      <x:c r="G3" s="14" t="b">
        <x:v>0</x:v>
      </x:c>
      <x:c r="H3" s="13" t="str">
        <x:v>confidence_score_at_or_below_0.40</x:v>
      </x:c>
      <x:c r="I3" s="13"/>
      <x:c r="J3" s="13" t="str">
        <x:v>2021-04-15 06:08:00+00:00</x:v>
      </x:c>
      <x:c r="K3" s="13"/>
      <x:c r="L3" s="13"/>
      <x:c r="M3" s="13" t="n">
        <x:v>14390.7</x:v>
      </x:c>
      <x:c r="N3" s="15" t="n">
        <x:v>0.4281670589358983</x:v>
      </x:c>
      <x:c r="O3" s="15" t="n">
        <x:v>0.3907242836403098</x:v>
      </x:c>
      <x:c r="P3" s="15" t="n">
        <x:v>0.0306615645315836</x:v>
      </x:c>
      <x:c r="Q3" s="15" t="n">
        <x:v>0.8405797101449275</x:v>
      </x:c>
      <x:c r="R3" s="13" t="n">
        <x:v>0.2361111111111111</x:v>
      </x:c>
      <x:c r="S3" s="13" t="n">
        <x:v>0</x:v>
      </x:c>
      <x:c r="T3" s="13"/>
      <x:c r="U3" s="16" t="n">
        <x:v>0</x:v>
      </x:c>
      <x:c r="V3" s="17" t="n">
        <x:v>0</x:v>
      </x:c>
      <x:c r="W3" s="17" t="n">
        <x:v>0</x:v>
      </x:c>
      <x:c r="X3" s="16" t="n">
        <x:v>0</x:v>
      </x:c>
      <x:c r="Y3" s="16" t="n">
        <x:v>0</x:v>
      </x:c>
      <x:c r="Z3" s="16" t="n">
        <x:v>0</x:v>
      </x:c>
      <x:c r="AA3" s="16" t="n">
        <x:v>0</x:v>
      </x:c>
      <x:c r="AB3" s="16" t="n">
        <x:v>0</x:v>
      </x:c>
      <x:c r="AC3" s="16" t="n">
        <x:v>0</x:v>
      </x:c>
      <x:c r="AD3" s="13" t="n">
        <x:v>52.30192914992461</x:v>
      </x:c>
      <x:c r="AE3" s="13" t="n">
        <x:v>0.3659514628466552</x:v>
      </x:c>
      <x:c r="AF3" s="13" t="n">
        <x:v>0.002420840515183</x:v>
      </x:c>
      <x:c r="AG3" s="13" t="n">
        <x:v>0.0033147887428292</x:v>
      </x:c>
      <x:c r="AH3" s="13" t="n">
        <x:v>-0.0025063366006414</x:v>
      </x:c>
      <x:c r="AI3" s="13" t="n">
        <x:v>0.0440552351730973</x:v>
      </x:c>
      <x:c r="AJ3" s="13" t="n">
        <x:v>0.0070214138505824</x:v>
      </x:c>
      <x:c r="AK3" s="13" t="n">
        <x:v>0.0370338213225148</x:v>
      </x:c>
      <x:c r="AL3" s="13" t="n">
        <x:v>0.0255383245118399</x:v>
      </x:c>
      <x:c r="AM3" s="13" t="n">
        <x:v>0</x:v>
      </x:c>
    </x:row>
    <x:row r="4" ht="15" hidden="0" customHeight="1">
      <x:c r="A4" s="13" t="n">
        <x:v>890</x:v>
      </x:c>
      <x:c r="B4" s="13" t="str">
        <x:v>2021-04-28</x:v>
      </x:c>
      <x:c r="C4" s="13" t="str">
        <x:v>discovery_2021_2023</x:v>
      </x:c>
      <x:c r="D4" s="14" t="b">
        <x:v>0</x:v>
      </x:c>
      <x:c r="E4" s="13" t="str">
        <x:v>none</x:v>
      </x:c>
      <x:c r="F4" s="13" t="str">
        <x:v>pre_2024_11_20</x:v>
      </x:c>
      <x:c r="G4" s="14" t="b">
        <x:v>0</x:v>
      </x:c>
      <x:c r="H4" s="13" t="str">
        <x:v>confidence_score_at_or_below_0.40</x:v>
      </x:c>
      <x:c r="I4" s="13"/>
      <x:c r="J4" s="13" t="str">
        <x:v>2021-04-28 06:10:00+00:00</x:v>
      </x:c>
      <x:c r="K4" s="13"/>
      <x:c r="L4" s="13"/>
      <x:c r="M4" s="13" t="n">
        <x:v>14771</x:v>
      </x:c>
      <x:c r="N4" s="15" t="n">
        <x:v>0.23014240710586</x:v>
      </x:c>
      <x:c r="O4" s="15" t="n">
        <x:v>0.1275233207790059</x:v>
      </x:c>
      <x:c r="P4" s="15" t="n">
        <x:v>0.0367033302059741</x:v>
      </x:c>
      <x:c r="Q4" s="15" t="n">
        <x:v>0.8441558441558441</x:v>
      </x:c>
      <x:c r="R4" s="13" t="n">
        <x:v>0.2777777777777778</x:v>
      </x:c>
      <x:c r="S4" s="13" t="n">
        <x:v>0</x:v>
      </x:c>
      <x:c r="T4" s="13"/>
      <x:c r="U4" s="16" t="n">
        <x:v>0</x:v>
      </x:c>
      <x:c r="V4" s="17" t="n">
        <x:v>0</x:v>
      </x:c>
      <x:c r="W4" s="17" t="n">
        <x:v>0</x:v>
      </x:c>
      <x:c r="X4" s="16" t="n">
        <x:v>0</x:v>
      </x:c>
      <x:c r="Y4" s="16" t="n">
        <x:v>0</x:v>
      </x:c>
      <x:c r="Z4" s="16" t="n">
        <x:v>0</x:v>
      </x:c>
      <x:c r="AA4" s="16" t="n">
        <x:v>0</x:v>
      </x:c>
      <x:c r="AB4" s="16" t="n">
        <x:v>0</x:v>
      </x:c>
      <x:c r="AC4" s="16" t="n">
        <x:v>0</x:v>
      </x:c>
      <x:c r="AD4" s="13" t="n">
        <x:v>-669.8089152061727</x:v>
      </x:c>
      <x:c r="AE4" s="13" t="n">
        <x:v>0.1236309452427348</x:v>
      </x:c>
      <x:c r="AF4" s="13" t="n">
        <x:v>0.0005078335254439</x:v>
      </x:c>
      <x:c r="AG4" s="13" t="n">
        <x:v>0.0119074863857614</x:v>
      </x:c>
      <x:c r="AH4" s="13" t="n">
        <x:v>-0.001861284759986</x:v>
      </x:c>
      <x:c r="AI4" s="13" t="n">
        <x:v>0.0339001978603862</x:v>
      </x:c>
      <x:c r="AJ4" s="13" t="n">
        <x:v>-0.0289744086216455</x:v>
      </x:c>
      <x:c r="AK4" s="13" t="n">
        <x:v>0.0628746064820318</x:v>
      </x:c>
      <x:c r="AL4" s="13" t="n">
        <x:v>0.0024628946193703</x:v>
      </x:c>
      <x:c r="AM4" s="13" t="n">
        <x:v>0</x:v>
      </x:c>
    </x:row>
    <x:row r="5" ht="15" hidden="0" customHeight="1">
      <x:c r="A5" s="13" t="n">
        <x:v>891</x:v>
      </x:c>
      <x:c r="B5" s="13" t="str">
        <x:v>2021-04-29</x:v>
      </x:c>
      <x:c r="C5" s="13" t="str">
        <x:v>discovery_2021_2023</x:v>
      </x:c>
      <x:c r="D5" s="14" t="b">
        <x:v>0</x:v>
      </x:c>
      <x:c r="E5" s="13" t="str">
        <x:v>none</x:v>
      </x:c>
      <x:c r="F5" s="13" t="str">
        <x:v>pre_2024_11_20</x:v>
      </x:c>
      <x:c r="G5" s="14" t="b">
        <x:v>0</x:v>
      </x:c>
      <x:c r="H5" s="13" t="str">
        <x:v>confidence_score_at_or_below_0.40</x:v>
      </x:c>
      <x:c r="I5" s="13"/>
      <x:c r="J5" s="13" t="str">
        <x:v>2021-04-29 06:49:00+00:00</x:v>
      </x:c>
      <x:c r="K5" s="13"/>
      <x:c r="L5" s="13"/>
      <x:c r="M5" s="13" t="n">
        <x:v>14895.8999</x:v>
      </x:c>
      <x:c r="N5" s="15" t="n">
        <x:v>0.3972761648221068</x:v>
      </x:c>
      <x:c r="O5" s="15" t="n">
        <x:v>0.3300354694045069</x:v>
      </x:c>
      <x:c r="P5" s="15" t="n">
        <x:v>0.0489049400707085</x:v>
      </x:c>
      <x:c r="Q5" s="15" t="n">
        <x:v>0.8717948717948718</x:v>
      </x:c>
      <x:c r="R5" s="13" t="n">
        <x:v>0.0694444444444444</x:v>
      </x:c>
      <x:c r="S5" s="13" t="n">
        <x:v>0</x:v>
      </x:c>
      <x:c r="T5" s="13"/>
      <x:c r="U5" s="16" t="n">
        <x:v>0</x:v>
      </x:c>
      <x:c r="V5" s="17" t="n">
        <x:v>0</x:v>
      </x:c>
      <x:c r="W5" s="17" t="n">
        <x:v>0</x:v>
      </x:c>
      <x:c r="X5" s="16" t="n">
        <x:v>0</x:v>
      </x:c>
      <x:c r="Y5" s="16" t="n">
        <x:v>0</x:v>
      </x:c>
      <x:c r="Z5" s="16" t="n">
        <x:v>0</x:v>
      </x:c>
      <x:c r="AA5" s="16" t="n">
        <x:v>0</x:v>
      </x:c>
      <x:c r="AB5" s="16" t="n">
        <x:v>0</x:v>
      </x:c>
      <x:c r="AC5" s="16" t="n">
        <x:v>0</x:v>
      </x:c>
      <x:c r="AD5" s="13" t="n">
        <x:v>298.8625090555821</x:v>
      </x:c>
      <x:c r="AE5" s="13" t="n">
        <x:v>0.0813846257670197</x:v>
      </x:c>
      <x:c r="AF5" s="13" t="n">
        <x:v>0.0097457504581852</x:v>
      </x:c>
      <x:c r="AG5" s="13" t="n">
        <x:v>-0.0001978897953178</x:v>
      </x:c>
      <x:c r="AH5" s="13" t="n">
        <x:v>-0.0190678655119374</x:v>
      </x:c>
      <x:c r="AI5" s="13" t="n">
        <x:v>0.063334888611804</x:v>
      </x:c>
      <x:c r="AJ5" s="13" t="n">
        <x:v>0.0086208597786051</x:v>
      </x:c>
      <x:c r="AK5" s="13" t="n">
        <x:v>0.0547140288331988</x:v>
      </x:c>
      <x:c r="AL5" s="13" t="n">
        <x:v>0.0359778741952045</x:v>
      </x:c>
      <x:c r="AM5" s="13" t="n">
        <x:v>0</x:v>
      </x:c>
    </x:row>
    <x:row r="6" ht="15" hidden="0" customHeight="1">
      <x:c r="A6" s="13" t="n">
        <x:v>894</x:v>
      </x:c>
      <x:c r="B6" s="13" t="str">
        <x:v>2021-05-12</x:v>
      </x:c>
      <x:c r="C6" s="13" t="str">
        <x:v>discovery_2021_2023</x:v>
      </x:c>
      <x:c r="D6" s="14" t="b">
        <x:v>0</x:v>
      </x:c>
      <x:c r="E6" s="13" t="str">
        <x:v>none</x:v>
      </x:c>
      <x:c r="F6" s="13" t="str">
        <x:v>pre_2024_11_20</x:v>
      </x:c>
      <x:c r="G6" s="14" t="b">
        <x:v>1</x:v>
      </x:c>
      <x:c r="H6" s="13"/>
      <x:c r="I6" s="13" t="str">
        <x:v>short_iron_fly</x:v>
      </x:c>
      <x:c r="J6" s="13" t="str">
        <x:v>2021-05-12 07:23:00+00:00</x:v>
      </x:c>
      <x:c r="K6" s="13" t="str">
        <x:v>2021-05-12 13:53:00+05:30</x:v>
      </x:c>
      <x:c r="L6" s="13" t="n">
        <x:v>8.109027777777778</x:v>
      </x:c>
      <x:c r="M6" s="13" t="n">
        <x:v>14752.7999</x:v>
      </x:c>
      <x:c r="N6" s="15" t="n">
        <x:v>0.2918664503547692</x:v>
      </x:c>
      <x:c r="O6" s="15" t="n">
        <x:v>0.1754697101662223</x:v>
      </x:c>
      <x:c r="P6" s="15" t="n">
        <x:v>0.0543964056568749</x:v>
      </x:c>
      <x:c r="Q6" s="15" t="n">
        <x:v>0.8505747126436781</x:v>
      </x:c>
      <x:c r="R6" s="13" t="n">
        <x:v>0.5277777777777778</x:v>
      </x:c>
      <x:c r="S6" s="13" t="n">
        <x:v>5</x:v>
      </x:c>
      <x:c r="T6" s="13" t="n">
        <x:v>75</x:v>
      </x:c>
      <x:c r="U6" s="16" t="n">
        <x:v>280159.54749866</x:v>
      </x:c>
      <x:c r="V6" s="17" t="n">
        <x:v>0.2801595474986599</x:v>
      </x:c>
      <x:c r="W6" s="17" t="n">
        <x:v>0.0364076636582412</x:v>
      </x:c>
      <x:c r="X6" s="16" t="n">
        <x:v>5662.499999999999</x:v>
      </x:c>
      <x:c r="Y6" s="16" t="n">
        <x:v>217.63861425353912</x:v>
      </x:c>
      <x:c r="Z6" s="16" t="n">
        <x:v>286.71186153953136</x:v>
      </x:c>
      <x:c r="AA6" s="16" t="n">
        <x:v>504.3504757930705</x:v>
      </x:c>
      <x:c r="AB6" s="16" t="n">
        <x:v>5158.149524206929</x:v>
      </x:c>
      <x:c r="AC6" s="16" t="n">
        <x:v>40230.42924774802</x:v>
      </x:c>
      <x:c r="AD6" s="13" t="n">
        <x:v>886.5449813531344</x:v>
      </x:c>
      <x:c r="AE6" s="13" t="n">
        <x:v>0.9931679971053372</x:v>
      </x:c>
      <x:c r="AF6" s="13" t="n">
        <x:v>0.0073724212809438</x:v>
      </x:c>
      <x:c r="AG6" s="13" t="n">
        <x:v>0.0115118475571005</x:v>
      </x:c>
      <x:c r="AH6" s="13" t="n">
        <x:v>0.0060220131808031</x:v>
      </x:c>
      <x:c r="AI6" s="13" t="n">
        <x:v>0.0681246002562575</x:v>
      </x:c>
      <x:c r="AJ6" s="13" t="n">
        <x:v>0.0271207962690652</x:v>
      </x:c>
      <x:c r="AK6" s="13" t="n">
        <x:v>0.0410038039871922</x:v>
      </x:c>
      <x:c r="AL6" s="13" t="n">
        <x:v>0.0476226982626613</x:v>
      </x:c>
      <x:c r="AM6" s="13" t="n">
        <x:v>0</x:v>
      </x:c>
    </x:row>
    <x:row r="7" ht="15" hidden="0" customHeight="1">
      <x:c r="A7" s="13" t="n">
        <x:v>896</x:v>
      </x:c>
      <x:c r="B7" s="13" t="str">
        <x:v>2021-06-03</x:v>
      </x:c>
      <x:c r="C7" s="13" t="str">
        <x:v>discovery_2021_2023</x:v>
      </x:c>
      <x:c r="D7" s="14" t="b">
        <x:v>1</x:v>
      </x:c>
      <x:c r="E7" s="13" t="str">
        <x:v>rbi_mpc</x:v>
      </x:c>
      <x:c r="F7" s="13" t="str">
        <x:v>pre_2024_11_20</x:v>
      </x:c>
      <x:c r="G7" s="14" t="b">
        <x:v>1</x:v>
      </x:c>
      <x:c r="H7" s="13"/>
      <x:c r="I7" s="13" t="str">
        <x:v>short_iron_fly</x:v>
      </x:c>
      <x:c r="J7" s="13" t="str">
        <x:v>2021-06-03 07:57:00+00:00</x:v>
      </x:c>
      <x:c r="K7" s="13" t="str">
        <x:v>2021-06-03 14:27:00+05:30</x:v>
      </x:c>
      <x:c r="L7" s="13" t="n">
        <x:v>7.085416666666666</x:v>
      </x:c>
      <x:c r="M7" s="13" t="n">
        <x:v>15623.3999</x:v>
      </x:c>
      <x:c r="N7" s="15" t="n">
        <x:v>0.2692030386319071</x:v>
      </x:c>
      <x:c r="O7" s="15" t="n">
        <x:v>0.1660960718868038</x:v>
      </x:c>
      <x:c r="P7" s="15" t="n">
        <x:v>0.0448823709124257</x:v>
      </x:c>
      <x:c r="Q7" s="15" t="n">
        <x:v>0.8431372549019608</x:v>
      </x:c>
      <x:c r="R7" s="13" t="n">
        <x:v>0.9722222222222222</x:v>
      </x:c>
      <x:c r="S7" s="13" t="n">
        <x:v>5</x:v>
      </x:c>
      <x:c r="T7" s="13" t="n">
        <x:v>75</x:v>
      </x:c>
      <x:c r="U7" s="16" t="n">
        <x:v>293413.6469001069</x:v>
      </x:c>
      <x:c r="V7" s="17" t="n">
        <x:v>0.2919079420875159</x:v>
      </x:c>
      <x:c r="W7" s="17" t="n">
        <x:v>0.0384219773540335</x:v>
      </x:c>
      <x:c r="X7" s="16" t="n">
        <x:v>-7106.25</x:v>
      </x:c>
      <x:c r="Y7" s="16" t="n">
        <x:v>221.02595253275547</x:v>
      </x:c>
      <x:c r="Z7" s="16" t="n">
        <x:v>332.5596453854224</x:v>
      </x:c>
      <x:c r="AA7" s="16" t="n">
        <x:v>553.5855979181779</x:v>
      </x:c>
      <x:c r="AB7" s="16" t="n">
        <x:v>-7659.835597918178</x:v>
      </x:c>
      <x:c r="AC7" s="16" t="n">
        <x:v>49565.78284622738</x:v>
      </x:c>
      <x:c r="AD7" s="13" t="n">
        <x:v>-1675.9613488294056</x:v>
      </x:c>
      <x:c r="AE7" s="13" t="n">
        <x:v>2.171625964004743</x:v>
      </x:c>
      <x:c r="AF7" s="13" t="n">
        <x:v>0.0202318239977581</x:v>
      </x:c>
      <x:c r="AG7" s="13" t="n">
        <x:v>0.0242229254461361</x:v>
      </x:c>
      <x:c r="AH7" s="13" t="n">
        <x:v>0.0300064209226557</x:v>
      </x:c>
      <x:c r="AI7" s="13" t="n">
        <x:v>0.1676043594421453</x:v>
      </x:c>
      <x:c r="AJ7" s="13" t="n">
        <x:v>0.0668601211266725</x:v>
      </x:c>
      <x:c r="AK7" s="13" t="n">
        <x:v>0.1007442383154727</x:v>
      </x:c>
      <x:c r="AL7" s="13" t="n">
        <x:v>0.1172322402844089</x:v>
      </x:c>
      <x:c r="AM7" s="13" t="n">
        <x:v>-0.0076205277761949</x:v>
      </x:c>
    </x:row>
    <x:row r="8" ht="15" hidden="0" customHeight="1">
      <x:c r="A8" s="13" t="n">
        <x:v>898</x:v>
      </x:c>
      <x:c r="B8" s="13" t="str">
        <x:v>2021-06-17</x:v>
      </x:c>
      <x:c r="C8" s="13" t="str">
        <x:v>discovery_2021_2023</x:v>
      </x:c>
      <x:c r="D8" s="14" t="b">
        <x:v>0</x:v>
      </x:c>
      <x:c r="E8" s="13" t="str">
        <x:v>none</x:v>
      </x:c>
      <x:c r="F8" s="13" t="str">
        <x:v>pre_2024_11_20</x:v>
      </x:c>
      <x:c r="G8" s="14" t="b">
        <x:v>0</x:v>
      </x:c>
      <x:c r="H8" s="13" t="str">
        <x:v>confidence_score_at_or_below_0.40</x:v>
      </x:c>
      <x:c r="I8" s="13"/>
      <x:c r="J8" s="13" t="str">
        <x:v>2021-06-17 05:41:00+00:00</x:v>
      </x:c>
      <x:c r="K8" s="13"/>
      <x:c r="L8" s="13"/>
      <x:c r="M8" s="13" t="n">
        <x:v>15743.2999</x:v>
      </x:c>
      <x:c r="N8" s="15" t="n">
        <x:v>0.2359268635830271</x:v>
      </x:c>
      <x:c r="O8" s="15" t="n">
        <x:v>0.1305897772111804</x:v>
      </x:c>
      <x:c r="P8" s="15" t="n">
        <x:v>0.0386077950480585</x:v>
      </x:c>
      <x:c r="Q8" s="15" t="n">
        <x:v>0.8660714285714286</x:v>
      </x:c>
      <x:c r="R8" s="13" t="n">
        <x:v>0.375</x:v>
      </x:c>
      <x:c r="S8" s="13" t="n">
        <x:v>0</x:v>
      </x:c>
      <x:c r="T8" s="13"/>
      <x:c r="U8" s="16" t="n">
        <x:v>0</x:v>
      </x:c>
      <x:c r="V8" s="17" t="n">
        <x:v>0</x:v>
      </x:c>
      <x:c r="W8" s="17" t="n">
        <x:v>0</x:v>
      </x:c>
      <x:c r="X8" s="16" t="n">
        <x:v>0</x:v>
      </x:c>
      <x:c r="Y8" s="16" t="n">
        <x:v>0</x:v>
      </x:c>
      <x:c r="Z8" s="16" t="n">
        <x:v>0</x:v>
      </x:c>
      <x:c r="AA8" s="16" t="n">
        <x:v>0</x:v>
      </x:c>
      <x:c r="AB8" s="16" t="n">
        <x:v>0</x:v>
      </x:c>
      <x:c r="AC8" s="16" t="n">
        <x:v>0</x:v>
      </x:c>
      <x:c r="AD8" s="13" t="n">
        <x:v>-443.8050583983072</x:v>
      </x:c>
      <x:c r="AE8" s="13" t="n">
        <x:v>0.2342391479222502</x:v>
      </x:c>
      <x:c r="AF8" s="13" t="n">
        <x:v>0.0026074096842435</x:v>
      </x:c>
      <x:c r="AG8" s="13" t="n">
        <x:v>0.001587948029285</x:v>
      </x:c>
      <x:c r="AH8" s="13" t="n">
        <x:v>-0.0135254180817899</x:v>
      </x:c>
      <x:c r="AI8" s="13" t="n">
        <x:v>0.068916609680435</x:v>
      </x:c>
      <x:c r="AJ8" s="13" t="n">
        <x:v>0.049140553610158</x:v>
      </x:c>
      <x:c r="AK8" s="13" t="n">
        <x:v>0.0197760560702769</x:v>
      </x:c>
      <x:c r="AL8" s="13" t="n">
        <x:v>0.0590285816452965</x:v>
      </x:c>
      <x:c r="AM8" s="13" t="n">
        <x:v>-0.0076205277761949</x:v>
      </x:c>
    </x:row>
    <x:row r="9" ht="15" hidden="0" customHeight="1">
      <x:c r="A9" s="13" t="n">
        <x:v>900</x:v>
      </x:c>
      <x:c r="B9" s="13" t="str">
        <x:v>2021-07-08</x:v>
      </x:c>
      <x:c r="C9" s="13" t="str">
        <x:v>discovery_2021_2023</x:v>
      </x:c>
      <x:c r="D9" s="14" t="b">
        <x:v>0</x:v>
      </x:c>
      <x:c r="E9" s="13" t="str">
        <x:v>none</x:v>
      </x:c>
      <x:c r="F9" s="13" t="str">
        <x:v>pre_2024_11_20</x:v>
      </x:c>
      <x:c r="G9" s="14" t="b">
        <x:v>1</x:v>
      </x:c>
      <x:c r="H9" s="13"/>
      <x:c r="I9" s="13" t="str">
        <x:v>short_iron_fly</x:v>
      </x:c>
      <x:c r="J9" s="13" t="str">
        <x:v>2021-07-08 08:32:00+00:00</x:v>
      </x:c>
      <x:c r="K9" s="13" t="str">
        <x:v>2021-07-08 15:02:00+05:30</x:v>
      </x:c>
      <x:c r="L9" s="13" t="n">
        <x:v>7.061111111111111</x:v>
      </x:c>
      <x:c r="M9" s="13" t="n">
        <x:v>15716.1</x:v>
      </x:c>
      <x:c r="N9" s="15" t="n">
        <x:v>0.2634378903368717</x:v>
      </x:c>
      <x:c r="O9" s="15" t="n">
        <x:v>0.2254898778650956</x:v>
      </x:c>
      <x:c r="P9" s="15" t="n">
        <x:v>0.0185538370455258</x:v>
      </x:c>
      <x:c r="Q9" s="15" t="n">
        <x:v>0.8346456692913385</x:v>
      </x:c>
      <x:c r="R9" s="13" t="n">
        <x:v>0.7916666666666666</x:v>
      </x:c>
      <x:c r="S9" s="13" t="n">
        <x:v>4</x:v>
      </x:c>
      <x:c r="T9" s="13" t="n">
        <x:v>75</x:v>
      </x:c>
      <x:c r="U9" s="16" t="n">
        <x:v>233230.3404867786</x:v>
      </x:c>
      <x:c r="V9" s="17" t="n">
        <x:v>0.2338152728988105</x:v>
      </x:c>
      <x:c r="W9" s="17" t="n">
        <x:v>0.0338344065732752</x:v>
      </x:c>
      <x:c r="X9" s="16" t="n">
        <x:v>6989.999999999999</x:v>
      </x:c>
      <x:c r="Y9" s="16" t="n">
        <x:v>203.93817433972032</x:v>
      </x:c>
      <x:c r="Z9" s="16" t="n">
        <x:v>166.82558015568878</x:v>
      </x:c>
      <x:c r="AA9" s="16" t="n">
        <x:v>370.7637544954091</x:v>
      </x:c>
      <x:c r="AB9" s="16" t="n">
        <x:v>6619.2362455045895</x:v>
      </x:c>
      <x:c r="AC9" s="16" t="n">
        <x:v>19746.216778066027</x:v>
      </x:c>
      <x:c r="AD9" s="13" t="n">
        <x:v>1516.4745184154024</x:v>
      </x:c>
      <x:c r="AE9" s="13" t="n">
        <x:v>0.930352827425275</x:v>
      </x:c>
      <x:c r="AF9" s="13" t="n">
        <x:v>0.0279546843757773</x:v>
      </x:c>
      <x:c r="AG9" s="13" t="n">
        <x:v>0.0173019076818719</x:v>
      </x:c>
      <x:c r="AH9" s="13" t="n">
        <x:v>-0.0067520011484106</x:v>
      </x:c>
      <x:c r="AI9" s="13" t="n">
        <x:v>0.1987524140068187</x:v>
      </x:c>
      <x:c r="AJ9" s="13" t="n">
        <x:v>0.1330131241609615</x:v>
      </x:c>
      <x:c r="AK9" s="13" t="n">
        <x:v>0.0657392898458572</x:v>
      </x:c>
      <x:c r="AL9" s="13" t="n">
        <x:v>0.1658827690838901</x:v>
      </x:c>
      <x:c r="AM9" s="13" t="n">
        <x:v>-0.0010352593299931</x:v>
      </x:c>
    </x:row>
    <x:row r="10" ht="15" hidden="0" customHeight="1">
      <x:c r="A10" s="13" t="n">
        <x:v>901</x:v>
      </x:c>
      <x:c r="B10" s="13" t="str">
        <x:v>2021-07-15</x:v>
      </x:c>
      <x:c r="C10" s="13" t="str">
        <x:v>discovery_2021_2023</x:v>
      </x:c>
      <x:c r="D10" s="14" t="b">
        <x:v>0</x:v>
      </x:c>
      <x:c r="E10" s="13" t="str">
        <x:v>none</x:v>
      </x:c>
      <x:c r="F10" s="13" t="str">
        <x:v>pre_2024_11_20</x:v>
      </x:c>
      <x:c r="G10" s="14" t="b">
        <x:v>1</x:v>
      </x:c>
      <x:c r="H10" s="13"/>
      <x:c r="I10" s="13" t="str">
        <x:v>short_iron_fly</x:v>
      </x:c>
      <x:c r="J10" s="13" t="str">
        <x:v>2021-07-15 05:17:00+00:00</x:v>
      </x:c>
      <x:c r="K10" s="13" t="str">
        <x:v>2021-07-15 11:47:00+05:30</x:v>
      </x:c>
      <x:c r="L10" s="13" t="n">
        <x:v>7.196527777777778</x:v>
      </x:c>
      <x:c r="M10" s="13" t="n">
        <x:v>15916.5</x:v>
      </x:c>
      <x:c r="N10" s="15" t="n">
        <x:v>0.2029813680304345</x:v>
      </x:c>
      <x:c r="O10" s="15" t="n">
        <x:v>0.132289692220246</x:v>
      </x:c>
      <x:c r="P10" s="15" t="n">
        <x:v>0.0237008730997792</x:v>
      </x:c>
      <x:c r="Q10" s="15" t="n">
        <x:v>0.8560606060606061</x:v>
      </x:c>
      <x:c r="R10" s="13" t="n">
        <x:v>0.9583333333333334</x:v>
      </x:c>
      <x:c r="S10" s="13" t="n">
        <x:v>5</x:v>
      </x:c>
      <x:c r="T10" s="13" t="n">
        <x:v>75</x:v>
      </x:c>
      <x:c r="U10" s="16" t="n">
        <x:v>293261.4147425243</x:v>
      </x:c>
      <x:c r="V10" s="17" t="n">
        <x:v>0.292058847783659</x:v>
      </x:c>
      <x:c r="W10" s="17" t="n">
        <x:v>0.0372853891975455</x:v>
      </x:c>
      <x:c r="X10" s="16" t="n">
        <x:v>599.9999999999999</x:v>
      </x:c>
      <x:c r="Y10" s="16" t="n">
        <x:v>222.4255223449344</x:v>
      </x:c>
      <x:c r="Z10" s="16" t="n">
        <x:v>222.91613750594104</x:v>
      </x:c>
      <x:c r="AA10" s="16" t="n">
        <x:v>445.3416598508754</x:v>
      </x:c>
      <x:c r="AB10" s="16" t="n">
        <x:v>154.65834014912446</x:v>
      </x:c>
      <x:c r="AC10" s="16" t="n">
        <x:v>48927.98962007767</x:v>
      </x:c>
      <x:c r="AD10" s="13" t="n">
        <x:v>-115.64477724412492</x:v>
      </x:c>
      <x:c r="AE10" s="13" t="n">
        <x:v>1.422300786499351</x:v>
      </x:c>
      <x:c r="AF10" s="13" t="n">
        <x:v>0.010760223658367</x:v>
      </x:c>
      <x:c r="AG10" s="13" t="n">
        <x:v>0.0157804539920376</x:v>
      </x:c>
      <x:c r="AH10" s="13" t="n">
        <x:v>0.0060505701864086</x:v>
      </x:c>
      <x:c r="AI10" s="13" t="n">
        <x:v>0.1220033352656021</x:v>
      </x:c>
      <x:c r="AJ10" s="13" t="n">
        <x:v>0.0305772690418939</x:v>
      </x:c>
      <x:c r="AK10" s="13" t="n">
        <x:v>0.0914260662237081</x:v>
      </x:c>
      <x:c r="AL10" s="13" t="n">
        <x:v>0.076290302153748</x:v>
      </x:c>
      <x:c r="AM10" s="13" t="n">
        <x:v>-0.0008813946468858</x:v>
      </x:c>
    </x:row>
    <x:row r="11" ht="15" hidden="0" customHeight="1">
      <x:c r="A11" s="13" t="n">
        <x:v>902</x:v>
      </x:c>
      <x:c r="B11" s="13" t="str">
        <x:v>2021-07-29</x:v>
      </x:c>
      <x:c r="C11" s="13" t="str">
        <x:v>discovery_2021_2023</x:v>
      </x:c>
      <x:c r="D11" s="14" t="b">
        <x:v>0</x:v>
      </x:c>
      <x:c r="E11" s="13" t="str">
        <x:v>none</x:v>
      </x:c>
      <x:c r="F11" s="13" t="str">
        <x:v>pre_2024_11_20</x:v>
      </x:c>
      <x:c r="G11" s="14" t="b">
        <x:v>1</x:v>
      </x:c>
      <x:c r="H11" s="13"/>
      <x:c r="I11" s="13" t="str">
        <x:v>short_iron_fly</x:v>
      </x:c>
      <x:c r="J11" s="13" t="str">
        <x:v>2021-07-29 08:29:00+00:00</x:v>
      </x:c>
      <x:c r="K11" s="13" t="str">
        <x:v>2021-07-29 14:59:00+05:30</x:v>
      </x:c>
      <x:c r="L11" s="13" t="n">
        <x:v>14.063194444444443</x:v>
      </x:c>
      <x:c r="M11" s="13" t="n">
        <x:v>15815.1</x:v>
      </x:c>
      <x:c r="N11" s="15" t="n">
        <x:v>0.2027016335096485</x:v>
      </x:c>
      <x:c r="O11" s="15" t="n">
        <x:v>0.1403579473204114</x:v>
      </x:c>
      <x:c r="P11" s="15" t="n">
        <x:v>0.0213875988514804</x:v>
      </x:c>
      <x:c r="Q11" s="15" t="n">
        <x:v>0.851063829787234</x:v>
      </x:c>
      <x:c r="R11" s="13" t="n">
        <x:v>0.7638888888888888</x:v>
      </x:c>
      <x:c r="S11" s="13" t="n">
        <x:v>6</x:v>
      </x:c>
      <x:c r="T11" s="13" t="n">
        <x:v>50</x:v>
      </x:c>
      <x:c r="U11" s="16" t="n">
        <x:v>233899.3418717124</x:v>
      </x:c>
      <x:c r="V11" s="17" t="n">
        <x:v>0.2329043260275891</x:v>
      </x:c>
      <x:c r="W11" s="17" t="n">
        <x:v>0.0365700554664297</x:v>
      </x:c>
      <x:c r="X11" s="16" t="n">
        <x:v>2744.9999999999995</x:v>
      </x:c>
      <x:c r="Y11" s="16" t="n">
        <x:v>201.69585936029077</x:v>
      </x:c>
      <x:c r="Z11" s="16" t="n">
        <x:v>151.44767741212672</x:v>
      </x:c>
      <x:c r="AA11" s="16" t="n">
        <x:v>353.14353677241746</x:v>
      </x:c>
      <x:c r="AB11" s="16" t="n">
        <x:v>2391.856463227582</x:v>
      </x:c>
      <x:c r="AC11" s="16" t="n">
        <x:v>17924.9563991319</x:v>
      </x:c>
      <x:c r="AD11" s="13" t="n">
        <x:v>244.27688761440635</x:v>
      </x:c>
      <x:c r="AE11" s="13" t="n">
        <x:v>0.3930008540818873</x:v>
      </x:c>
      <x:c r="AF11" s="13" t="n">
        <x:v>0.0043278690811854</x:v>
      </x:c>
      <x:c r="AG11" s="13" t="n">
        <x:v>0.0034428009702432</x:v>
      </x:c>
      <x:c r="AH11" s="13" t="n">
        <x:v>-0.0043371594789272</x:v>
      </x:c>
      <x:c r="AI11" s="13" t="n">
        <x:v>0.1879805300380842</x:v>
      </x:c>
      <x:c r="AJ11" s="13" t="n">
        <x:v>0.1241583977347</x:v>
      </x:c>
      <x:c r="AK11" s="13" t="n">
        <x:v>0.0638221323033841</x:v>
      </x:c>
      <x:c r="AL11" s="13" t="n">
        <x:v>0.1560694638863921</x:v>
      </x:c>
      <x:c r="AM11" s="13" t="n">
        <x:v>0</x:v>
      </x:c>
    </x:row>
    <x:row r="12" ht="15" hidden="0" customHeight="1">
      <x:c r="A12" s="13" t="n">
        <x:v>903</x:v>
      </x:c>
      <x:c r="B12" s="13" t="str">
        <x:v>2021-08-12</x:v>
      </x:c>
      <x:c r="C12" s="13" t="str">
        <x:v>discovery_2021_2023</x:v>
      </x:c>
      <x:c r="D12" s="14" t="b">
        <x:v>1</x:v>
      </x:c>
      <x:c r="E12" s="13" t="str">
        <x:v>rbi_mpc</x:v>
      </x:c>
      <x:c r="F12" s="13" t="str">
        <x:v>pre_2024_11_20</x:v>
      </x:c>
      <x:c r="G12" s="14" t="b">
        <x:v>1</x:v>
      </x:c>
      <x:c r="H12" s="13"/>
      <x:c r="I12" s="13" t="str">
        <x:v>short_iron_fly</x:v>
      </x:c>
      <x:c r="J12" s="13" t="str">
        <x:v>2021-08-12 08:08:00+00:00</x:v>
      </x:c>
      <x:c r="K12" s="13" t="str">
        <x:v>2021-08-12 14:38:00+05:30</x:v>
      </x:c>
      <x:c r="L12" s="13" t="n">
        <x:v>6.0777777777777775</x:v>
      </x:c>
      <x:c r="M12" s="13" t="n">
        <x:v>16365.6</x:v>
      </x:c>
      <x:c r="N12" s="15" t="n">
        <x:v>0.2078713630391031</x:v>
      </x:c>
      <x:c r="O12" s="15" t="n">
        <x:v>0.130564133028524</x:v>
      </x:c>
      <x:c r="P12" s="15" t="n">
        <x:v>0.0261635107382444</x:v>
      </x:c>
      <x:c r="Q12" s="15" t="n">
        <x:v>0.8675496688741722</x:v>
      </x:c>
      <x:c r="R12" s="13" t="n">
        <x:v>0.9027777777777778</x:v>
      </x:c>
      <x:c r="S12" s="13" t="n">
        <x:v>6</x:v>
      </x:c>
      <x:c r="T12" s="13" t="n">
        <x:v>50</x:v>
      </x:c>
      <x:c r="U12" s="16" t="n">
        <x:v>239104.21639416384</x:v>
      </x:c>
      <x:c r="V12" s="17" t="n">
        <x:v>0.237521358627281</x:v>
      </x:c>
      <x:c r="W12" s="17" t="n">
        <x:v>0.0349483920135198</x:v>
      </x:c>
      <x:c r="X12" s="16" t="n">
        <x:v>5445.000000000001</x:v>
      </x:c>
      <x:c r="Y12" s="16" t="n">
        <x:v>203.54398252004117</x:v>
      </x:c>
      <x:c r="Z12" s="16" t="n">
        <x:v>148.70135328821937</x:v>
      </x:c>
      <x:c r="AA12" s="16" t="n">
        <x:v>352.2453358082605</x:v>
      </x:c>
      <x:c r="AB12" s="16" t="n">
        <x:v>5092.754664191741</x:v>
      </x:c>
      <x:c r="AC12" s="16" t="n">
        <x:v>19694.605663074635</x:v>
      </x:c>
      <x:c r="AD12" s="13" t="n">
        <x:v>694.2312517483733</x:v>
      </x:c>
      <x:c r="AE12" s="13" t="n">
        <x:v>0.6130040525339964</x:v>
      </x:c>
      <x:c r="AF12" s="13" t="n">
        <x:v>0.0043712049976389</x:v>
      </x:c>
      <x:c r="AG12" s="13" t="n">
        <x:v>0.0160361824099611</x:v>
      </x:c>
      <x:c r="AH12" s="13" t="n">
        <x:v>0.0018967793399399</x:v>
      </x:c>
      <x:c r="AI12" s="13" t="n">
        <x:v>0.2096644383540991</x:v>
      </x:c>
      <x:c r="AJ12" s="13" t="n">
        <x:v>0.1061697335051124</x:v>
      </x:c>
      <x:c r="AK12" s="13" t="n">
        <x:v>0.1034947048489867</x:v>
      </x:c>
      <x:c r="AL12" s="13" t="n">
        <x:v>0.1579170859296057</x:v>
      </x:c>
      <x:c r="AM12" s="13" t="n">
        <x:v>0</x:v>
      </x:c>
    </x:row>
    <x:row r="13" ht="15" hidden="0" customHeight="1">
      <x:c r="A13" s="13" t="n">
        <x:v>904</x:v>
      </x:c>
      <x:c r="B13" s="13" t="str">
        <x:v>2021-08-26</x:v>
      </x:c>
      <x:c r="C13" s="13" t="str">
        <x:v>discovery_2021_2023</x:v>
      </x:c>
      <x:c r="D13" s="14" t="b">
        <x:v>0</x:v>
      </x:c>
      <x:c r="E13" s="13" t="str">
        <x:v>none</x:v>
      </x:c>
      <x:c r="F13" s="13" t="str">
        <x:v>pre_2024_11_20</x:v>
      </x:c>
      <x:c r="G13" s="14" t="b">
        <x:v>0</x:v>
      </x:c>
      <x:c r="H13" s="13" t="str">
        <x:v>confidence_score_at_or_below_0.40</x:v>
      </x:c>
      <x:c r="I13" s="13"/>
      <x:c r="J13" s="13" t="str">
        <x:v>2021-08-26 05:40:00+00:00</x:v>
      </x:c>
      <x:c r="K13" s="13"/>
      <x:c r="L13" s="13"/>
      <x:c r="M13" s="13" t="n">
        <x:v>16665.7</x:v>
      </x:c>
      <x:c r="N13" s="15" t="n">
        <x:v>0.1993104177384921</x:v>
      </x:c>
      <x:c r="O13" s="15" t="n">
        <x:v>0.1238284553285471</x:v>
      </x:c>
      <x:c r="P13" s="15" t="n">
        <x:v>0.0243911562700382</x:v>
      </x:c>
      <x:c r="Q13" s="15" t="n">
        <x:v>0.85</x:v>
      </x:c>
      <x:c r="R13" s="13" t="n">
        <x:v>0.2222222222222222</x:v>
      </x:c>
      <x:c r="S13" s="13" t="n">
        <x:v>0</x:v>
      </x:c>
      <x:c r="T13" s="13"/>
      <x:c r="U13" s="16" t="n">
        <x:v>0</x:v>
      </x:c>
      <x:c r="V13" s="17" t="n">
        <x:v>0</x:v>
      </x:c>
      <x:c r="W13" s="17" t="n">
        <x:v>0</x:v>
      </x:c>
      <x:c r="X13" s="16" t="n">
        <x:v>0</x:v>
      </x:c>
      <x:c r="Y13" s="16" t="n">
        <x:v>0</x:v>
      </x:c>
      <x:c r="Z13" s="16" t="n">
        <x:v>0</x:v>
      </x:c>
      <x:c r="AA13" s="16" t="n">
        <x:v>0</x:v>
      </x:c>
      <x:c r="AB13" s="16" t="n">
        <x:v>0</x:v>
      </x:c>
      <x:c r="AC13" s="16" t="n">
        <x:v>0</x:v>
      </x:c>
      <x:c r="AD13" s="13" t="n">
        <x:v>232.60086352063573</x:v>
      </x:c>
      <x:c r="AE13" s="13" t="n">
        <x:v>0.0374632451403735</x:v>
      </x:c>
      <x:c r="AF13" s="13" t="n">
        <x:v>0.0006338264618883</x:v>
      </x:c>
      <x:c r="AG13" s="13" t="n">
        <x:v>-0.0007110343312197</x:v>
      </x:c>
      <x:c r="AH13" s="13" t="n">
        <x:v>-0.0051005574272589</x:v>
      </x:c>
      <x:c r="AI13" s="13" t="n">
        <x:v>0.0936162578422074</x:v>
      </x:c>
      <x:c r="AJ13" s="13" t="n">
        <x:v>0.0217772320151333</x:v>
      </x:c>
      <x:c r="AK13" s="13" t="n">
        <x:v>0.071839025827074</x:v>
      </x:c>
      <x:c r="AL13" s="13" t="n">
        <x:v>0.0576967449286703</x:v>
      </x:c>
      <x:c r="AM13" s="13" t="n">
        <x:v>0</x:v>
      </x:c>
    </x:row>
    <x:row r="14" ht="15" hidden="0" customHeight="1">
      <x:c r="A14" s="13" t="n">
        <x:v>905</x:v>
      </x:c>
      <x:c r="B14" s="13" t="str">
        <x:v>2021-09-02</x:v>
      </x:c>
      <x:c r="C14" s="13" t="str">
        <x:v>discovery_2021_2023</x:v>
      </x:c>
      <x:c r="D14" s="14" t="b">
        <x:v>0</x:v>
      </x:c>
      <x:c r="E14" s="13" t="str">
        <x:v>none</x:v>
      </x:c>
      <x:c r="F14" s="13" t="str">
        <x:v>pre_2024_11_20</x:v>
      </x:c>
      <x:c r="G14" s="14" t="b">
        <x:v>1</x:v>
      </x:c>
      <x:c r="H14" s="13"/>
      <x:c r="I14" s="13" t="str">
        <x:v>short_iron_fly</x:v>
      </x:c>
      <x:c r="J14" s="13" t="str">
        <x:v>2021-09-02 05:57:00+00:00</x:v>
      </x:c>
      <x:c r="K14" s="13" t="str">
        <x:v>2021-09-02 12:27:00+05:30</x:v>
      </x:c>
      <x:c r="L14" s="13" t="n">
        <x:v>7.16875</x:v>
      </x:c>
      <x:c r="M14" s="13" t="n">
        <x:v>17162.4</x:v>
      </x:c>
      <x:c r="N14" s="15" t="n">
        <x:v>0.1945850779421583</x:v>
      </x:c>
      <x:c r="O14" s="15" t="n">
        <x:v>0.116567284862657</x:v>
      </x:c>
      <x:c r="P14" s="15" t="n">
        <x:v>0.0242754206575039</x:v>
      </x:c>
      <x:c r="Q14" s="15" t="n">
        <x:v>0.8484848484848485</x:v>
      </x:c>
      <x:c r="R14" s="13" t="n">
        <x:v>0.4166666666666667</x:v>
      </x:c>
      <x:c r="S14" s="13" t="n">
        <x:v>7</x:v>
      </x:c>
      <x:c r="T14" s="13" t="n">
        <x:v>50</x:v>
      </x:c>
      <x:c r="U14" s="16" t="n">
        <x:v>292409.5785724525</x:v>
      </x:c>
      <x:c r="V14" s="17" t="n">
        <x:v>0.2890117199078343</x:v>
      </x:c>
      <x:c r="W14" s="17" t="n">
        <x:v>0.0358106575110407</x:v>
      </x:c>
      <x:c r="X14" s="16" t="n">
        <x:v>-454.9999999999992</x:v>
      </x:c>
      <x:c r="Y14" s="16" t="n">
        <x:v>218.96071898544724</x:v>
      </x:c>
      <x:c r="Z14" s="16" t="n">
        <x:v>198.28411900574352</x:v>
      </x:c>
      <x:c r="AA14" s="16" t="n">
        <x:v>417.2448379911908</x:v>
      </x:c>
      <x:c r="AB14" s="16" t="n">
        <x:v>-872.24483799119</x:v>
      </x:c>
      <x:c r="AC14" s="16" t="n">
        <x:v>44226.34528402968</x:v>
      </x:c>
      <x:c r="AD14" s="13" t="n">
        <x:v>-282.81482739850844</x:v>
      </x:c>
      <x:c r="AE14" s="13" t="n">
        <x:v>0.1127762086327839</x:v>
      </x:c>
      <x:c r="AF14" s="13" t="n">
        <x:v>0.0004221404639898</x:v>
      </x:c>
      <x:c r="AG14" s="13" t="n">
        <x:v>0.0135008952663156</x:v>
      </x:c>
      <x:c r="AH14" s="13" t="n">
        <x:v>-0.0004680126998346</x:v>
      </x:c>
      <x:c r="AI14" s="13" t="n">
        <x:v>0.0953545152816786</x:v>
      </x:c>
      <x:c r="AJ14" s="13" t="n">
        <x:v>0.0575429369770669</x:v>
      </x:c>
      <x:c r="AK14" s="13" t="n">
        <x:v>0.0378115783046116</x:v>
      </x:c>
      <x:c r="AL14" s="13" t="n">
        <x:v>0.0764487261293727</x:v>
      </x:c>
      <x:c r="AM14" s="13" t="n">
        <x:v>-0.0008621091759006</x:v>
      </x:c>
    </x:row>
    <x:row r="15" ht="15" hidden="0" customHeight="1">
      <x:c r="A15" s="13" t="n">
        <x:v>908</x:v>
      </x:c>
      <x:c r="B15" s="13" t="str">
        <x:v>2021-09-23</x:v>
      </x:c>
      <x:c r="C15" s="13" t="str">
        <x:v>discovery_2021_2023</x:v>
      </x:c>
      <x:c r="D15" s="14" t="b">
        <x:v>0</x:v>
      </x:c>
      <x:c r="E15" s="13" t="str">
        <x:v>none</x:v>
      </x:c>
      <x:c r="F15" s="13" t="str">
        <x:v>pre_2024_11_20</x:v>
      </x:c>
      <x:c r="G15" s="14" t="b">
        <x:v>0</x:v>
      </x:c>
      <x:c r="H15" s="13" t="str">
        <x:v>confidence_score_at_or_below_0.40</x:v>
      </x:c>
      <x:c r="I15" s="13"/>
      <x:c r="J15" s="13" t="str">
        <x:v>2021-09-23 06:04:00+00:00</x:v>
      </x:c>
      <x:c r="K15" s="13"/>
      <x:c r="L15" s="13"/>
      <x:c r="M15" s="13" t="n">
        <x:v>17735.5999</x:v>
      </x:c>
      <x:c r="N15" s="15" t="n">
        <x:v>0.193402478463137</x:v>
      </x:c>
      <x:c r="O15" s="15" t="n">
        <x:v>0.1034314012491818</x:v>
      </x:c>
      <x:c r="P15" s="15" t="n">
        <x:v>0.0267064639113149</x:v>
      </x:c>
      <x:c r="Q15" s="15" t="n">
        <x:v>0.8603351955307262</x:v>
      </x:c>
      <x:c r="R15" s="13" t="n">
        <x:v>0.2638888888888889</x:v>
      </x:c>
      <x:c r="S15" s="13" t="n">
        <x:v>0</x:v>
      </x:c>
      <x:c r="T15" s="13"/>
      <x:c r="U15" s="16" t="n">
        <x:v>0</x:v>
      </x:c>
      <x:c r="V15" s="17" t="n">
        <x:v>0</x:v>
      </x:c>
      <x:c r="W15" s="17" t="n">
        <x:v>0</x:v>
      </x:c>
      <x:c r="X15" s="16" t="n">
        <x:v>0</x:v>
      </x:c>
      <x:c r="Y15" s="16" t="n">
        <x:v>0</x:v>
      </x:c>
      <x:c r="Z15" s="16" t="n">
        <x:v>0</x:v>
      </x:c>
      <x:c r="AA15" s="16" t="n">
        <x:v>0</x:v>
      </x:c>
      <x:c r="AB15" s="16" t="n">
        <x:v>0</x:v>
      </x:c>
      <x:c r="AC15" s="16" t="n">
        <x:v>0</x:v>
      </x:c>
      <x:c r="AD15" s="13" t="n">
        <x:v>25.040906615672892</x:v>
      </x:c>
      <x:c r="AE15" s="13" t="n">
        <x:v>0.0294329201132711</x:v>
      </x:c>
      <x:c r="AF15" s="13" t="n">
        <x:v>0.00002678450393839293</x:v>
      </x:c>
      <x:c r="AG15" s="13" t="n">
        <x:v>-0.000804854638104</x:v>
      </x:c>
      <x:c r="AH15" s="13" t="n">
        <x:v>-0.0133250283801933</x:v>
      </x:c>
      <x:c r="AI15" s="13" t="n">
        <x:v>0.0917134374586757</x:v>
      </x:c>
      <x:c r="AJ15" s="13" t="n">
        <x:v>0.0673609284905312</x:v>
      </x:c>
      <x:c r="AK15" s="13" t="n">
        <x:v>0.0243525089681444</x:v>
      </x:c>
      <x:c r="AL15" s="13" t="n">
        <x:v>0.0795371829746035</x:v>
      </x:c>
      <x:c r="AM15" s="13" t="n">
        <x:v>-0.0008621091759006</x:v>
      </x:c>
    </x:row>
    <x:row r="16" ht="15" hidden="0" customHeight="1">
      <x:c r="A16" s="13" t="n">
        <x:v>909</x:v>
      </x:c>
      <x:c r="B16" s="13" t="str">
        <x:v>2021-09-30</x:v>
      </x:c>
      <x:c r="C16" s="13" t="str">
        <x:v>discovery_2021_2023</x:v>
      </x:c>
      <x:c r="D16" s="14" t="b">
        <x:v>0</x:v>
      </x:c>
      <x:c r="E16" s="13" t="str">
        <x:v>none</x:v>
      </x:c>
      <x:c r="F16" s="13" t="str">
        <x:v>pre_2024_11_20</x:v>
      </x:c>
      <x:c r="G16" s="14" t="b">
        <x:v>1</x:v>
      </x:c>
      <x:c r="H16" s="13"/>
      <x:c r="I16" s="13" t="str">
        <x:v>short_iron_fly</x:v>
      </x:c>
      <x:c r="J16" s="13" t="str">
        <x:v>2021-09-30 07:51:00+00:00</x:v>
      </x:c>
      <x:c r="K16" s="13" t="str">
        <x:v>2021-09-30 14:21:00+05:30</x:v>
      </x:c>
      <x:c r="L16" s="13" t="n">
        <x:v>14.089583333333334</x:v>
      </x:c>
      <x:c r="M16" s="13" t="n">
        <x:v>17618.0999</x:v>
      </x:c>
      <x:c r="N16" s="15" t="n">
        <x:v>0.3564993069489007</x:v>
      </x:c>
      <x:c r="O16" s="15" t="n">
        <x:v>0.3046135741691087</x:v>
      </x:c>
      <x:c r="P16" s="15" t="n">
        <x:v>0.0343023262869674</x:v>
      </x:c>
      <x:c r="Q16" s="15" t="n">
        <x:v>0.8858695652173914</x:v>
      </x:c>
      <x:c r="R16" s="13" t="n">
        <x:v>0.8055555555555556</x:v>
      </x:c>
      <x:c r="S16" s="13" t="n">
        <x:v>8</x:v>
      </x:c>
      <x:c r="T16" s="13" t="n">
        <x:v>50</x:v>
      </x:c>
      <x:c r="U16" s="16" t="n">
        <x:v>347297.7337857942</x:v>
      </x:c>
      <x:c r="V16" s="17" t="n">
        <x:v>0.3435582483331838</x:v>
      </x:c>
      <x:c r="W16" s="17" t="n">
        <x:v>0.0333316626146746</x:v>
      </x:c>
      <x:c r="X16" s="16" t="n">
        <x:v>5199.999999999999</x:v>
      </x:c>
      <x:c r="Y16" s="16" t="n">
        <x:v>230.96546098867933</x:v>
      </x:c>
      <x:c r="Z16" s="16" t="n">
        <x:v>265.1739055814292</x:v>
      </x:c>
      <x:c r="AA16" s="16" t="n">
        <x:v>496.13936657010856</x:v>
      </x:c>
      <x:c r="AB16" s="16" t="n">
        <x:v>4703.86063342989</x:v>
      </x:c>
      <x:c r="AC16" s="16" t="n">
        <x:v>59824.54453162666</x:v>
      </x:c>
      <x:c r="AD16" s="13" t="n">
        <x:v>427.1207213999934</x:v>
      </x:c>
      <x:c r="AE16" s="13" t="n">
        <x:v>1.8329099624492984</x:v>
      </x:c>
      <x:c r="AF16" s="13" t="n">
        <x:v>0.0224762474897888</x:v>
      </x:c>
      <x:c r="AG16" s="13" t="n">
        <x:v>0.0489883555835119</x:v>
      </x:c>
      <x:c r="AH16" s="13" t="n">
        <x:v>0.01242262480426</x:v>
      </x:c>
      <x:c r="AI16" s="13" t="n">
        <x:v>0.0382274324170617</x:v>
      </x:c>
      <x:c r="AJ16" s="13" t="n">
        <x:v>0.0208133004897532</x:v>
      </x:c>
      <x:c r="AK16" s="13" t="n">
        <x:v>0.0174141319273085</x:v>
      </x:c>
      <x:c r="AL16" s="13" t="n">
        <x:v>0.0295203664534075</x:v>
      </x:c>
      <x:c r="AM16" s="13" t="n">
        <x:v>0</x:v>
      </x:c>
    </x:row>
    <x:row r="17" ht="15" hidden="0" customHeight="1">
      <x:c r="A17" s="13" t="n">
        <x:v>911</x:v>
      </x:c>
      <x:c r="B17" s="13" t="str">
        <x:v>2021-10-14</x:v>
      </x:c>
      <x:c r="C17" s="13" t="str">
        <x:v>discovery_2021_2023</x:v>
      </x:c>
      <x:c r="D17" s="14" t="b">
        <x:v>1</x:v>
      </x:c>
      <x:c r="E17" s="13" t="str">
        <x:v>rbi_mpc</x:v>
      </x:c>
      <x:c r="F17" s="13" t="str">
        <x:v>pre_2024_11_20</x:v>
      </x:c>
      <x:c r="G17" s="14" t="b">
        <x:v>1</x:v>
      </x:c>
      <x:c r="H17" s="13"/>
      <x:c r="I17" s="13" t="str">
        <x:v>short_iron_fly</x:v>
      </x:c>
      <x:c r="J17" s="13" t="str">
        <x:v>2021-10-14 07:37:00+00:00</x:v>
      </x:c>
      <x:c r="K17" s="13" t="str">
        <x:v>2021-10-14 14:07:00+05:30</x:v>
      </x:c>
      <x:c r="L17" s="13" t="n">
        <x:v>7.099305555555556</x:v>
      </x:c>
      <x:c r="M17" s="13" t="n">
        <x:v>18271.3008</x:v>
      </x:c>
      <x:c r="N17" s="15" t="n">
        <x:v>0.2284544531688009</x:v>
      </x:c>
      <x:c r="O17" s="15" t="n">
        <x:v>0.1209731017139591</x:v>
      </x:c>
      <x:c r="P17" s="15" t="n">
        <x:v>0.0375569458343599</x:v>
      </x:c>
      <x:c r="Q17" s="15" t="n">
        <x:v>0.8917525773195877</x:v>
      </x:c>
      <x:c r="R17" s="13" t="n">
        <x:v>1</x:v>
      </x:c>
      <x:c r="S17" s="13" t="n">
        <x:v>7</x:v>
      </x:c>
      <x:c r="T17" s="13" t="n">
        <x:v>50</x:v>
      </x:c>
      <x:c r="U17" s="16" t="n">
        <x:v>310289.7551036363</x:v>
      </x:c>
      <x:c r="V17" s="17" t="n">
        <x:v>0.3055270661592292</x:v>
      </x:c>
      <x:c r="W17" s="17" t="n">
        <x:v>0.0350035267360498</x:v>
      </x:c>
      <x:c r="X17" s="16" t="n">
        <x:v>-2782.5000000000014</x:v>
      </x:c>
      <x:c r="Y17" s="16" t="n">
        <x:v>218.32379624222224</x:v>
      </x:c>
      <x:c r="Z17" s="16" t="n">
        <x:v>209.3600703997544</x:v>
      </x:c>
      <x:c r="AA17" s="16" t="n">
        <x:v>427.6838666419766</x:v>
      </x:c>
      <x:c r="AB17" s="16" t="n">
        <x:v>-3210.183866641978</x:v>
      </x:c>
      <x:c r="AC17" s="16" t="n">
        <x:v>44098.89698901151</x:v>
      </x:c>
      <x:c r="AD17" s="13" t="n">
        <x:v>-616.5350427206295</x:v>
      </x:c>
      <x:c r="AE17" s="13" t="n">
        <x:v>1.8007310584810532</x:v>
      </x:c>
      <x:c r="AF17" s="13" t="n">
        <x:v>0.0362677247136197</x:v>
      </x:c>
      <x:c r="AG17" s="13" t="n">
        <x:v>0.0358032918628054</x:v>
      </x:c>
      <x:c r="AH17" s="13" t="n">
        <x:v>0.0117389911336431</x:v>
      </x:c>
      <x:c r="AI17" s="13" t="n">
        <x:v>0.1313718651299307</x:v>
      </x:c>
      <x:c r="AJ17" s="13" t="n">
        <x:v>0.0135721874290707</x:v>
      </x:c>
      <x:c r="AK17" s="13" t="n">
        <x:v>0.1177996777008599</x:v>
      </x:c>
      <x:c r="AL17" s="13" t="n">
        <x:v>0.0724720262795007</x:v>
      </x:c>
      <x:c r="AM17" s="13" t="n">
        <x:v>-0.0031609102217353</x:v>
      </x:c>
    </x:row>
    <x:row r="18" ht="15" hidden="0" customHeight="1">
      <x:c r="A18" s="13" t="n">
        <x:v>912</x:v>
      </x:c>
      <x:c r="B18" s="13" t="str">
        <x:v>2021-10-21</x:v>
      </x:c>
      <x:c r="C18" s="13" t="str">
        <x:v>discovery_2021_2023</x:v>
      </x:c>
      <x:c r="D18" s="14" t="b">
        <x:v>0</x:v>
      </x:c>
      <x:c r="E18" s="13" t="str">
        <x:v>none</x:v>
      </x:c>
      <x:c r="F18" s="13" t="str">
        <x:v>pre_2024_11_20</x:v>
      </x:c>
      <x:c r="G18" s="14" t="b">
        <x:v>1</x:v>
      </x:c>
      <x:c r="H18" s="13"/>
      <x:c r="I18" s="13" t="str">
        <x:v>short_iron_fly</x:v>
      </x:c>
      <x:c r="J18" s="13" t="str">
        <x:v>2021-10-21 05:22:00+00:00</x:v>
      </x:c>
      <x:c r="K18" s="13" t="str">
        <x:v>2021-10-21 11:52:00+05:30</x:v>
      </x:c>
      <x:c r="L18" s="13" t="n">
        <x:v>13.193055555555556</x:v>
      </x:c>
      <x:c r="M18" s="13" t="n">
        <x:v>18173.1992</x:v>
      </x:c>
      <x:c r="N18" s="15" t="n">
        <x:v>0.327558619120396</x:v>
      </x:c>
      <x:c r="O18" s="15" t="n">
        <x:v>0.287577738280005</x:v>
      </x:c>
      <x:c r="P18" s="15" t="n">
        <x:v>0.0245936934058176</x:v>
      </x:c>
      <x:c r="Q18" s="15" t="n">
        <x:v>0.8888888888888888</x:v>
      </x:c>
      <x:c r="R18" s="13" t="n">
        <x:v>0.5</x:v>
      </x:c>
      <x:c r="S18" s="13" t="n">
        <x:v>7</x:v>
      </x:c>
      <x:c r="T18" s="13" t="n">
        <x:v>50</x:v>
      </x:c>
      <x:c r="U18" s="16" t="n">
        <x:v>318180.7458439601</x:v>
      </x:c>
      <x:c r="V18" s="17" t="n">
        <x:v>0.3142903804493063</x:v>
      </x:c>
      <x:c r="W18" s="17" t="n">
        <x:v>0.0224265751633804</x:v>
      </x:c>
      <x:c r="X18" s="16" t="n">
        <x:v>3814.999999999999</x:v>
      </x:c>
      <x:c r="Y18" s="16" t="n">
        <x:v>249.0624561316523</x:v>
      </x:c>
      <x:c r="Z18" s="16" t="n">
        <x:v>290.5632174943054</x:v>
      </x:c>
      <x:c r="AA18" s="16" t="n">
        <x:v>539.6256736259577</x:v>
      </x:c>
      <x:c r="AB18" s="16" t="n">
        <x:v>3275.3743263740416</x:v>
      </x:c>
      <x:c r="AC18" s="16" t="n">
        <x:v>86710.33752011642</x:v>
      </x:c>
      <x:c r="AD18" s="13" t="n">
        <x:v>311.5107239579181</x:v>
      </x:c>
      <x:c r="AE18" s="13" t="n">
        <x:v>1.0174849850629613</x:v>
      </x:c>
      <x:c r="AF18" s="13" t="n">
        <x:v>0.0116626283557317</x:v>
      </x:c>
      <x:c r="AG18" s="13" t="n">
        <x:v>0.0234092852102754</x:v>
      </x:c>
      <x:c r="AH18" s="13" t="n">
        <x:v>-0.0049008978040142</x:v>
      </x:c>
      <x:c r="AI18" s="13" t="n">
        <x:v>0.04918109680076</x:v>
      </x:c>
      <x:c r="AJ18" s="13" t="n">
        <x:v>-0.0145403769104123</x:v>
      </x:c>
      <x:c r="AK18" s="13" t="n">
        <x:v>0.0637214737111724</x:v>
      </x:c>
      <x:c r="AL18" s="13" t="n">
        <x:v>0.0173203599451738</x:v>
      </x:c>
      <x:c r="AM18" s="13" t="n">
        <x:v>0</x:v>
      </x:c>
    </x:row>
    <x:row r="19" ht="15" hidden="0" customHeight="1">
      <x:c r="A19" s="13" t="n">
        <x:v>913</x:v>
      </x:c>
      <x:c r="B19" s="13" t="str">
        <x:v>2021-11-03</x:v>
      </x:c>
      <x:c r="C19" s="13" t="str">
        <x:v>discovery_2021_2023</x:v>
      </x:c>
      <x:c r="D19" s="14" t="b">
        <x:v>0</x:v>
      </x:c>
      <x:c r="E19" s="13" t="str">
        <x:v>none</x:v>
      </x:c>
      <x:c r="F19" s="13" t="str">
        <x:v>pre_2024_11_20</x:v>
      </x:c>
      <x:c r="G19" s="14" t="b">
        <x:v>1</x:v>
      </x:c>
      <x:c r="H19" s="13"/>
      <x:c r="I19" s="13" t="str">
        <x:v>short_iron_fly</x:v>
      </x:c>
      <x:c r="J19" s="13" t="str">
        <x:v>2021-11-03 07:52:00+00:00</x:v>
      </x:c>
      <x:c r="K19" s="13" t="str">
        <x:v>2021-11-03 14:22:00+05:30</x:v>
      </x:c>
      <x:c r="L19" s="13" t="n">
        <x:v>8.088888888888889</x:v>
      </x:c>
      <x:c r="M19" s="13" t="n">
        <x:v>17797.6504</x:v>
      </x:c>
      <x:c r="N19" s="15" t="n">
        <x:v>0.3123220226111127</x:v>
      </x:c>
      <x:c r="O19" s="15" t="n">
        <x:v>0.2723051166071282</x:v>
      </x:c>
      <x:c r="P19" s="15" t="n">
        <x:v>0.0233949692774746</x:v>
      </x:c>
      <x:c r="Q19" s="15" t="n">
        <x:v>0.8599033816425121</x:v>
      </x:c>
      <x:c r="R19" s="13" t="n">
        <x:v>0.75</x:v>
      </x:c>
      <x:c r="S19" s="13" t="n">
        <x:v>8</x:v>
      </x:c>
      <x:c r="T19" s="13" t="n">
        <x:v>50</x:v>
      </x:c>
      <x:c r="U19" s="16" t="n">
        <x:v>350582.6027948463</x:v>
      </x:c>
      <x:c r="V19" s="17" t="n">
        <x:v>0.3451792952406114</x:v>
      </x:c>
      <x:c r="W19" s="17" t="n">
        <x:v>0.037192269713396</x:v>
      </x:c>
      <x:c r="X19" s="16" t="n">
        <x:v>6600.000000000002</x:v>
      </x:c>
      <x:c r="Y19" s="16" t="n">
        <x:v>225.7658516039841</x:v>
      </x:c>
      <x:c r="Z19" s="16" t="n">
        <x:v>222.0018517828944</x:v>
      </x:c>
      <x:c r="AA19" s="16" t="n">
        <x:v>447.76770338687857</x:v>
      </x:c>
      <x:c r="AB19" s="16" t="n">
        <x:v>6152.232296613123</x:v>
      </x:c>
      <x:c r="AC19" s="16" t="n">
        <x:v>51743.89078912501</x:v>
      </x:c>
      <x:c r="AD19" s="13" t="n">
        <x:v>607.5442731492685</x:v>
      </x:c>
      <x:c r="AE19" s="13" t="n">
        <x:v>1.4184367116896672</x:v>
      </x:c>
      <x:c r="AF19" s="13" t="n">
        <x:v>0.0170184670316452</x:v>
      </x:c>
      <x:c r="AG19" s="13" t="n">
        <x:v>0.0154232259874397</x:v>
      </x:c>
      <x:c r="AH19" s="13" t="n">
        <x:v>0.0068036758491756</x:v>
      </x:c>
      <x:c r="AI19" s="13" t="n">
        <x:v>0.0621767372208735</x:v>
      </x:c>
      <x:c r="AJ19" s="13" t="n">
        <x:v>0.0982411691850734</x:v>
      </x:c>
      <x:c r="AK19" s="13" t="n">
        <x:v>-0.0360644319641999</x:v>
      </x:c>
      <x:c r="AL19" s="13" t="n">
        <x:v>0.0802089532029735</x:v>
      </x:c>
      <x:c r="AM19" s="13" t="n">
        <x:v>0</x:v>
      </x:c>
    </x:row>
    <x:row r="20" ht="15" hidden="0" customHeight="1">
      <x:c r="A20" s="13" t="n">
        <x:v>914</x:v>
      </x:c>
      <x:c r="B20" s="13" t="str">
        <x:v>2021-11-18</x:v>
      </x:c>
      <x:c r="C20" s="13" t="str">
        <x:v>discovery_2021_2023</x:v>
      </x:c>
      <x:c r="D20" s="14" t="b">
        <x:v>0</x:v>
      </x:c>
      <x:c r="E20" s="13" t="str">
        <x:v>none</x:v>
      </x:c>
      <x:c r="F20" s="13" t="str">
        <x:v>pre_2024_11_20</x:v>
      </x:c>
      <x:c r="G20" s="14" t="b">
        <x:v>1</x:v>
      </x:c>
      <x:c r="H20" s="13"/>
      <x:c r="I20" s="13" t="str">
        <x:v>short_iron_fly</x:v>
      </x:c>
      <x:c r="J20" s="13" t="str">
        <x:v>2021-11-18 06:18:00+00:00</x:v>
      </x:c>
      <x:c r="K20" s="13" t="str">
        <x:v>2021-11-18 12:48:00+05:30</x:v>
      </x:c>
      <x:c r="L20" s="13" t="n">
        <x:v>14.154166666666669</x:v>
      </x:c>
      <x:c r="M20" s="13" t="n">
        <x:v>17719.5996</x:v>
      </x:c>
      <x:c r="N20" s="15" t="n">
        <x:v>0.2934774554841234</x:v>
      </x:c>
      <x:c r="O20" s="15" t="n">
        <x:v>0.2362204847846117</x:v>
      </x:c>
      <x:c r="P20" s="15" t="n">
        <x:v>0.0303288994455586</x:v>
      </x:c>
      <x:c r="Q20" s="15" t="n">
        <x:v>0.8703703703703703</x:v>
      </x:c>
      <x:c r="R20" s="13" t="n">
        <x:v>0.4027777777777778</x:v>
      </x:c>
      <x:c r="S20" s="13" t="n">
        <x:v>8</x:v>
      </x:c>
      <x:c r="T20" s="13" t="n">
        <x:v>50</x:v>
      </x:c>
      <x:c r="U20" s="16" t="n">
        <x:v>348957.7349976597</x:v>
      </x:c>
      <x:c r="V20" s="17" t="n">
        <x:v>0.3415107989451176</x:v>
      </x:c>
      <x:c r="W20" s="17" t="n">
        <x:v>0.0304308918767633</x:v>
      </x:c>
      <x:c r="X20" s="16" t="n">
        <x:v>1919.9999999999995</x:v>
      </x:c>
      <x:c r="Y20" s="16" t="n">
        <x:v>240.0485382301332</x:v>
      </x:c>
      <x:c r="Z20" s="16" t="n">
        <x:v>256.26022146470063</x:v>
      </x:c>
      <x:c r="AA20" s="16" t="n">
        <x:v>496.3087596948338</x:v>
      </x:c>
      <x:c r="AB20" s="16" t="n">
        <x:v>1423.6912403051656</x:v>
      </x:c>
      <x:c r="AC20" s="16" t="n">
        <x:v>74197.60236897704</x:v>
      </x:c>
      <x:c r="AD20" s="13" t="n">
        <x:v>17.29230506740504</x:v>
      </x:c>
      <x:c r="AE20" s="13" t="n">
        <x:v>0.7404797264850518</x:v>
      </x:c>
      <x:c r="AF20" s="13" t="n">
        <x:v>0.0065936060718597</x:v>
      </x:c>
      <x:c r="AG20" s="13" t="n">
        <x:v>0.0186782647176522</x:v>
      </x:c>
      <x:c r="AH20" s="13" t="n">
        <x:v>-0.0107858130232738</x:v>
      </x:c>
      <x:c r="AI20" s="13" t="n">
        <x:v>0.0275856101092003</x:v>
      </x:c>
      <x:c r="AJ20" s="13" t="n">
        <x:v>0.0043959993053943</x:v>
      </x:c>
      <x:c r="AK20" s="13" t="n">
        <x:v>0.0231896108038059</x:v>
      </x:c>
      <x:c r="AL20" s="13" t="n">
        <x:v>0.0159908047072973</x:v>
      </x:c>
      <x:c r="AM20" s="13" t="n">
        <x:v>0</x:v>
      </x:c>
    </x:row>
    <x:row r="21" ht="15" hidden="0" customHeight="1">
      <x:c r="A21" s="13" t="n">
        <x:v>919</x:v>
      </x:c>
      <x:c r="B21" s="13" t="str">
        <x:v>2021-12-23</x:v>
      </x:c>
      <x:c r="C21" s="13" t="str">
        <x:v>discovery_2021_2023</x:v>
      </x:c>
      <x:c r="D21" s="14" t="b">
        <x:v>0</x:v>
      </x:c>
      <x:c r="E21" s="13" t="str">
        <x:v>none</x:v>
      </x:c>
      <x:c r="F21" s="13" t="str">
        <x:v>pre_2024_11_20</x:v>
      </x:c>
      <x:c r="G21" s="14" t="b">
        <x:v>1</x:v>
      </x:c>
      <x:c r="H21" s="13"/>
      <x:c r="I21" s="13" t="str">
        <x:v>short_iron_fly</x:v>
      </x:c>
      <x:c r="J21" s="13" t="str">
        <x:v>2021-12-23 05:46:00+00:00</x:v>
      </x:c>
      <x:c r="K21" s="13" t="str">
        <x:v>2021-12-23 12:16:00+05:30</x:v>
      </x:c>
      <x:c r="L21" s="13" t="n">
        <x:v>14.176388888888887</x:v>
      </x:c>
      <x:c r="M21" s="13" t="n">
        <x:v>17020.3496</x:v>
      </x:c>
      <x:c r="N21" s="15" t="n">
        <x:v>0.267190710171101</x:v>
      </x:c>
      <x:c r="O21" s="15" t="n">
        <x:v>0.2117688331875219</x:v>
      </x:c>
      <x:c r="P21" s="15" t="n">
        <x:v>0.0265448368921328</x:v>
      </x:c>
      <x:c r="Q21" s="15" t="n">
        <x:v>0.8708333333333333</x:v>
      </x:c>
      <x:c r="R21" s="13" t="n">
        <x:v>0.6805555555555556</x:v>
      </x:c>
      <x:c r="S21" s="13" t="n">
        <x:v>8</x:v>
      </x:c>
      <x:c r="T21" s="13" t="n">
        <x:v>50</x:v>
      </x:c>
      <x:c r="U21" s="16" t="n">
        <x:v>339653.6411597409</x:v>
      </x:c>
      <x:c r="V21" s="17" t="n">
        <x:v>0.3319427603986483</x:v>
      </x:c>
      <x:c r="W21" s="17" t="n">
        <x:v>0.0321085953859653</x:v>
      </x:c>
      <x:c r="X21" s="16" t="n">
        <x:v>-4940.000000000001</x:v>
      </x:c>
      <x:c r="Y21" s="16" t="n">
        <x:v>241.61702901467555</x:v>
      </x:c>
      <x:c r="Z21" s="16" t="n">
        <x:v>282.35847996684777</x:v>
      </x:c>
      <x:c r="AA21" s="16" t="n">
        <x:v>523.9755089815234</x:v>
      </x:c>
      <x:c r="AB21" s="16" t="n">
        <x:v>-5463.975508981524</x:v>
      </x:c>
      <x:c r="AC21" s="16" t="n">
        <x:v>78846.80838340057</x:v>
      </x:c>
      <x:c r="AD21" s="13" t="n">
        <x:v>-843.4537366394907</x:v>
      </x:c>
      <x:c r="AE21" s="13" t="n">
        <x:v>1.8069296174136344</x:v>
      </x:c>
      <x:c r="AF21" s="13" t="n">
        <x:v>0.0227738135221608</x:v>
      </x:c>
      <x:c r="AG21" s="13" t="n">
        <x:v>0.0231238161087851</x:v>
      </x:c>
      <x:c r="AH21" s="13" t="n">
        <x:v>0.0118706781419948</x:v>
      </x:c>
      <x:c r="AI21" s="13" t="n">
        <x:v>0.0777272203480318</x:v>
      </x:c>
      <x:c r="AJ21" s="13" t="n">
        <x:v>-0.0068379326134197</x:v>
      </x:c>
      <x:c r="AK21" s="13" t="n">
        <x:v>0.0845651529614516</x:v>
      </x:c>
      <x:c r="AL21" s="13" t="n">
        <x:v>0.035444643867306</x:v>
      </x:c>
      <x:c r="AM21" s="13" t="n">
        <x:v>-0.0053399313106405</x:v>
      </x:c>
    </x:row>
    <x:row r="22" ht="15" hidden="0" customHeight="1">
      <x:c r="A22" s="13" t="n">
        <x:v>920</x:v>
      </x:c>
      <x:c r="B22" s="13" t="str">
        <x:v>2021-12-30</x:v>
      </x:c>
      <x:c r="C22" s="13" t="str">
        <x:v>discovery_2021_2023</x:v>
      </x:c>
      <x:c r="D22" s="14" t="b">
        <x:v>0</x:v>
      </x:c>
      <x:c r="E22" s="13" t="str">
        <x:v>none</x:v>
      </x:c>
      <x:c r="F22" s="13" t="str">
        <x:v>pre_2024_11_20</x:v>
      </x:c>
      <x:c r="G22" s="14" t="b">
        <x:v>1</x:v>
      </x:c>
      <x:c r="H22" s="13"/>
      <x:c r="I22" s="13" t="str">
        <x:v>short_iron_fly</x:v>
      </x:c>
      <x:c r="J22" s="13" t="str">
        <x:v>2021-12-30 07:12:00+00:00</x:v>
      </x:c>
      <x:c r="K22" s="13" t="str">
        <x:v>2021-12-30 13:42:00+05:30</x:v>
      </x:c>
      <x:c r="L22" s="13" t="n">
        <x:v>14.116666666666667</x:v>
      </x:c>
      <x:c r="M22" s="13" t="n">
        <x:v>17243.4492</x:v>
      </x:c>
      <x:c r="N22" s="15" t="n">
        <x:v>0.2162804246497032</x:v>
      </x:c>
      <x:c r="O22" s="15" t="n">
        <x:v>0.1169911614313246</x:v>
      </x:c>
      <x:c r="P22" s="15" t="n">
        <x:v>0.0330902902336057</x:v>
      </x:c>
      <x:c r="Q22" s="15" t="n">
        <x:v>0.8693877551020408</x:v>
      </x:c>
      <x:c r="R22" s="13" t="n">
        <x:v>0.7777777777777778</x:v>
      </x:c>
      <x:c r="S22" s="13" t="n">
        <x:v>7</x:v>
      </x:c>
      <x:c r="T22" s="13" t="n">
        <x:v>50</x:v>
      </x:c>
      <x:c r="U22" s="16" t="n">
        <x:v>298122.20380186505</x:v>
      </x:c>
      <x:c r="V22" s="17" t="n">
        <x:v>0.2929183413552709</x:v>
      </x:c>
      <x:c r="W22" s="17" t="n">
        <x:v>0.0359087376199158</x:v>
      </x:c>
      <x:c r="X22" s="16" t="n">
        <x:v>2835.000000000002</x:v>
      </x:c>
      <x:c r="Y22" s="16" t="n">
        <x:v>214.51214254122291</x:v>
      </x:c>
      <x:c r="Z22" s="16" t="n">
        <x:v>182.28531723418644</x:v>
      </x:c>
      <x:c r="AA22" s="16" t="n">
        <x:v>396.7974597754094</x:v>
      </x:c>
      <x:c r="AB22" s="16" t="n">
        <x:v>2438.2025402245927</x:v>
      </x:c>
      <x:c r="AC22" s="16" t="n">
        <x:v>36602.728476808814</x:v>
      </x:c>
      <x:c r="AD22" s="13" t="n">
        <x:v>189.89181360587156</x:v>
      </x:c>
      <x:c r="AE22" s="13" t="n">
        <x:v>0.9797951434635468</x:v>
      </x:c>
      <x:c r="AF22" s="13" t="n">
        <x:v>0.0072668488649451</x:v>
      </x:c>
      <x:c r="AG22" s="13" t="n">
        <x:v>0.0106994454868827</x:v>
      </x:c>
      <x:c r="AH22" s="13" t="n">
        <x:v>-0.0046769529740785</x:v>
      </x:c>
      <x:c r="AI22" s="13" t="n">
        <x:v>0.0833360402657619</x:v>
      </x:c>
      <x:c r="AJ22" s="13" t="n">
        <x:v>0.0451978464830818</x:v>
      </x:c>
      <x:c r="AK22" s="13" t="n">
        <x:v>0.03813819378268</x:v>
      </x:c>
      <x:c r="AL22" s="13" t="n">
        <x:v>0.0642669433744219</x:v>
      </x:c>
      <x:c r="AM22" s="13" t="n">
        <x:v>-0.0029570813024681</x:v>
      </x:c>
    </x:row>
    <x:row r="23" ht="15" hidden="0" customHeight="1">
      <x:c r="A23" s="13" t="n">
        <x:v>922</x:v>
      </x:c>
      <x:c r="B23" s="13" t="str">
        <x:v>2022-01-13</x:v>
      </x:c>
      <x:c r="C23" s="13" t="str">
        <x:v>discovery_2021_2023</x:v>
      </x:c>
      <x:c r="D23" s="14" t="b">
        <x:v>0</x:v>
      </x:c>
      <x:c r="E23" s="13" t="str">
        <x:v>none</x:v>
      </x:c>
      <x:c r="F23" s="13" t="str">
        <x:v>pre_2024_11_20</x:v>
      </x:c>
      <x:c r="G23" s="14" t="b">
        <x:v>1</x:v>
      </x:c>
      <x:c r="H23" s="13"/>
      <x:c r="I23" s="13" t="str">
        <x:v>short_iron_fly</x:v>
      </x:c>
      <x:c r="J23" s="13" t="str">
        <x:v>2022-01-13 07:09:00+00:00</x:v>
      </x:c>
      <x:c r="K23" s="13" t="str">
        <x:v>2022-01-13 13:39:00+05:30</x:v>
      </x:c>
      <x:c r="L23" s="13" t="n">
        <x:v>7.11875</x:v>
      </x:c>
      <x:c r="M23" s="13" t="n">
        <x:v>18217.5</x:v>
      </x:c>
      <x:c r="N23" s="15" t="n">
        <x:v>0.2217252770027177</x:v>
      </x:c>
      <x:c r="O23" s="15" t="n">
        <x:v>0.1287506934343347</x:v>
      </x:c>
      <x:c r="P23" s="15" t="n">
        <x:v>0.0325853574021098</x:v>
      </x:c>
      <x:c r="Q23" s="15" t="n">
        <x:v>0.8666666666666667</x:v>
      </x:c>
      <x:c r="R23" s="13" t="n">
        <x:v>0.8472222222222222</x:v>
      </x:c>
      <x:c r="S23" s="13" t="n">
        <x:v>8</x:v>
      </x:c>
      <x:c r="T23" s="13" t="n">
        <x:v>50</x:v>
      </x:c>
      <x:c r="U23" s="16" t="n">
        <x:v>354212.1134356234</x:v>
      </x:c>
      <x:c r="V23" s="17" t="n">
        <x:v>0.3471974144849443</x:v>
      </x:c>
      <x:c r="W23" s="17" t="n">
        <x:v>0.0384182694613769</x:v>
      </x:c>
      <x:c r="X23" s="16" t="n">
        <x:v>4380</x:v>
      </x:c>
      <x:c r="Y23" s="16" t="n">
        <x:v>220.90440858574905</x:v>
      </x:c>
      <x:c r="Z23" s="16" t="n">
        <x:v>227.874000379846</x:v>
      </x:c>
      <x:c r="AA23" s="16" t="n">
        <x:v>448.778408965595</x:v>
      </x:c>
      <x:c r="AB23" s="16" t="n">
        <x:v>3931.221591034405</x:v>
      </x:c>
      <x:c r="AC23" s="16" t="n">
        <x:v>45414.52419319479</x:v>
      </x:c>
      <x:c r="AD23" s="13" t="n">
        <x:v>330.27194172234385</x:v>
      </x:c>
      <x:c r="AE23" s="13" t="n">
        <x:v>1.2065247942016848</x:v>
      </x:c>
      <x:c r="AF23" s="13" t="n">
        <x:v>0.0232033134752495</x:v>
      </x:c>
      <x:c r="AG23" s="13" t="n">
        <x:v>0.026859511068419</x:v>
      </x:c>
      <x:c r="AH23" s="13" t="n">
        <x:v>-0.0008847890284708</x:v>
      </x:c>
      <x:c r="AI23" s="13" t="n">
        <x:v>0.0935696365969579</x:v>
      </x:c>
      <x:c r="AJ23" s="13" t="n">
        <x:v>-0.0030603335383745</x:v>
      </x:c>
      <x:c r="AK23" s="13" t="n">
        <x:v>0.0966299701353324</x:v>
      </x:c>
      <x:c r="AL23" s="13" t="n">
        <x:v>0.0452546515292917</x:v>
      </x:c>
      <x:c r="AM23" s="13" t="n">
        <x:v>0</x:v>
      </x:c>
    </x:row>
    <x:row r="24" ht="15" hidden="0" customHeight="1">
      <x:c r="A24" s="13" t="n">
        <x:v>927</x:v>
      </x:c>
      <x:c r="B24" s="13" t="str">
        <x:v>2022-02-10</x:v>
      </x:c>
      <x:c r="C24" s="13" t="str">
        <x:v>discovery_2021_2023</x:v>
      </x:c>
      <x:c r="D24" s="14" t="b">
        <x:v>1</x:v>
      </x:c>
      <x:c r="E24" s="13" t="str">
        <x:v>rbi_mpc</x:v>
      </x:c>
      <x:c r="F24" s="13" t="str">
        <x:v>pre_2024_11_20</x:v>
      </x:c>
      <x:c r="G24" s="14" t="b">
        <x:v>1</x:v>
      </x:c>
      <x:c r="H24" s="13"/>
      <x:c r="I24" s="13" t="str">
        <x:v>short_iron_fly</x:v>
      </x:c>
      <x:c r="J24" s="13" t="str">
        <x:v>2022-02-10 07:33:00+00:00</x:v>
      </x:c>
      <x:c r="K24" s="13" t="str">
        <x:v>2022-02-10 14:03:00+05:30</x:v>
      </x:c>
      <x:c r="L24" s="13" t="n">
        <x:v>7.102083333333334</x:v>
      </x:c>
      <x:c r="M24" s="13" t="n">
        <x:v>17618.0508</x:v>
      </x:c>
      <x:c r="N24" s="15" t="n">
        <x:v>0.238813248632624</x:v>
      </x:c>
      <x:c r="O24" s="15" t="n">
        <x:v>0.1688125521119935</x:v>
      </x:c>
      <x:c r="P24" s="15" t="n">
        <x:v>0.0285340899719029</x:v>
      </x:c>
      <x:c r="Q24" s="15" t="n">
        <x:v>0.8613138686131386</x:v>
      </x:c>
      <x:c r="R24" s="13" t="n">
        <x:v>0.6388888888888888</x:v>
      </x:c>
      <x:c r="S24" s="13" t="n">
        <x:v>8</x:v>
      </x:c>
      <x:c r="T24" s="13" t="n">
        <x:v>50</x:v>
      </x:c>
      <x:c r="U24" s="16" t="n">
        <x:v>342972.8726307876</x:v>
      </x:c>
      <x:c r="V24" s="17" t="n">
        <x:v>0.3348902959888833</x:v>
      </x:c>
      <x:c r="W24" s="17" t="n">
        <x:v>0.0391691170264582</x:v>
      </x:c>
      <x:c r="X24" s="16" t="n">
        <x:v>3700</x:v>
      </x:c>
      <x:c r="Y24" s="16" t="n">
        <x:v>219.81094427299067</x:v>
      </x:c>
      <x:c r="Z24" s="16" t="n">
        <x:v>224.81068498254243</x:v>
      </x:c>
      <x:c r="AA24" s="16" t="n">
        <x:v>444.6216292555331</x:v>
      </x:c>
      <x:c r="AB24" s="16" t="n">
        <x:v>3255.378370744467</x:v>
      </x:c>
      <x:c r="AC24" s="16" t="n">
        <x:v>44051.32337170547</x:v>
      </x:c>
      <x:c r="AD24" s="13" t="n">
        <x:v>245.50152191348695</x:v>
      </x:c>
      <x:c r="AE24" s="13" t="n">
        <x:v>0.3631654730240908</x:v>
      </x:c>
      <x:c r="AF24" s="13" t="n">
        <x:v>0.0042090550522316</x:v>
      </x:c>
      <x:c r="AG24" s="13" t="n">
        <x:v>0.0030942267098733</x:v>
      </x:c>
      <x:c r="AH24" s="13" t="n">
        <x:v>0.0014371943589922</x:v>
      </x:c>
      <x:c r="AI24" s="13" t="n">
        <x:v>0.1067838051189214</x:v>
      </x:c>
      <x:c r="AJ24" s="13" t="n">
        <x:v>0.0025032671140733</x:v>
      </x:c>
      <x:c r="AK24" s="13" t="n">
        <x:v>0.1042805380048481</x:v>
      </x:c>
      <x:c r="AL24" s="13" t="n">
        <x:v>0.0546435361164973</x:v>
      </x:c>
      <x:c r="AM24" s="13" t="n">
        <x:v>0</x:v>
      </x:c>
    </x:row>
    <x:row r="25" ht="15" hidden="0" customHeight="1">
      <x:c r="A25" s="13" t="n">
        <x:v>929</x:v>
      </x:c>
      <x:c r="B25" s="13" t="str">
        <x:v>2022-02-22</x:v>
      </x:c>
      <x:c r="C25" s="13" t="str">
        <x:v>discovery_2021_2023</x:v>
      </x:c>
      <x:c r="D25" s="14" t="b">
        <x:v>0</x:v>
      </x:c>
      <x:c r="E25" s="13" t="str">
        <x:v>none</x:v>
      </x:c>
      <x:c r="F25" s="13" t="str">
        <x:v>pre_2024_11_20</x:v>
      </x:c>
      <x:c r="G25" s="14" t="b">
        <x:v>0</x:v>
      </x:c>
      <x:c r="H25" s="13" t="str">
        <x:v>confidence_score_at_or_below_0.40</x:v>
      </x:c>
      <x:c r="I25" s="13"/>
      <x:c r="J25" s="13" t="str">
        <x:v>2022-02-22 05:48:00+00:00</x:v>
      </x:c>
      <x:c r="K25" s="13"/>
      <x:c r="L25" s="13"/>
      <x:c r="M25" s="13" t="n">
        <x:v>16994.8008</x:v>
      </x:c>
      <x:c r="N25" s="15" t="n">
        <x:v>0.2988077874819156</x:v>
      </x:c>
      <x:c r="O25" s="15" t="n">
        <x:v>0.2536512585265953</x:v>
      </x:c>
      <x:c r="P25" s="15" t="n">
        <x:v>0.0249471329077119</x:v>
      </x:c>
      <x:c r="Q25" s="15" t="n">
        <x:v>0.875886524822695</x:v>
      </x:c>
      <x:c r="R25" s="13" t="n">
        <x:v>0.0277777777777777</x:v>
      </x:c>
      <x:c r="S25" s="13" t="n">
        <x:v>0</x:v>
      </x:c>
      <x:c r="T25" s="13"/>
      <x:c r="U25" s="16" t="n">
        <x:v>0</x:v>
      </x:c>
      <x:c r="V25" s="17" t="n">
        <x:v>0</x:v>
      </x:c>
      <x:c r="W25" s="17" t="n">
        <x:v>0</x:v>
      </x:c>
      <x:c r="X25" s="16" t="n">
        <x:v>0</x:v>
      </x:c>
      <x:c r="Y25" s="16" t="n">
        <x:v>0</x:v>
      </x:c>
      <x:c r="Z25" s="16" t="n">
        <x:v>0</x:v>
      </x:c>
      <x:c r="AA25" s="16" t="n">
        <x:v>0</x:v>
      </x:c>
      <x:c r="AB25" s="16" t="n">
        <x:v>0</x:v>
      </x:c>
      <x:c r="AC25" s="16" t="n">
        <x:v>0</x:v>
      </x:c>
      <x:c r="AD25" s="13" t="n">
        <x:v>-327.0437674532119</x:v>
      </x:c>
      <x:c r="AE25" s="13" t="n">
        <x:v>0.0651321159516782</x:v>
      </x:c>
      <x:c r="AF25" s="13" t="n">
        <x:v>0.0007429401556983</x:v>
      </x:c>
      <x:c r="AG25" s="13" t="n">
        <x:v>-0.0003877719549277</x:v>
      </x:c>
      <x:c r="AH25" s="13" t="n">
        <x:v>-0.0116495442350039</x:v>
      </x:c>
      <x:c r="AI25" s="13" t="n">
        <x:v>0.015829374414067</x:v>
      </x:c>
      <x:c r="AJ25" s="13" t="n">
        <x:v>-0.0113332992315701</x:v>
      </x:c>
      <x:c r="AK25" s="13" t="n">
        <x:v>0.0271626736456371</x:v>
      </x:c>
      <x:c r="AL25" s="13" t="n">
        <x:v>0.0022480375912484</x:v>
      </x:c>
      <x:c r="AM25" s="13" t="n">
        <x:v>0</x:v>
      </x:c>
    </x:row>
    <x:row r="26" ht="15" hidden="0" customHeight="1">
      <x:c r="A26" s="13" t="n">
        <x:v>939</x:v>
      </x:c>
      <x:c r="B26" s="13" t="str">
        <x:v>2022-03-16</x:v>
      </x:c>
      <x:c r="C26" s="13" t="str">
        <x:v>discovery_2021_2023</x:v>
      </x:c>
      <x:c r="D26" s="14" t="b">
        <x:v>0</x:v>
      </x:c>
      <x:c r="E26" s="13" t="str">
        <x:v>none</x:v>
      </x:c>
      <x:c r="F26" s="13" t="str">
        <x:v>pre_2024_11_20</x:v>
      </x:c>
      <x:c r="G26" s="14" t="b">
        <x:v>0</x:v>
      </x:c>
      <x:c r="H26" s="13" t="str">
        <x:v>confidence_score_at_or_below_0.40</x:v>
      </x:c>
      <x:c r="I26" s="13"/>
      <x:c r="J26" s="13" t="str">
        <x:v>2022-03-16 05:39:00+00:00</x:v>
      </x:c>
      <x:c r="K26" s="13"/>
      <x:c r="L26" s="13"/>
      <x:c r="M26" s="13" t="n">
        <x:v>16874.3496</x:v>
      </x:c>
      <x:c r="N26" s="15" t="n">
        <x:v>0.3255187316645253</x:v>
      </x:c>
      <x:c r="O26" s="15" t="n">
        <x:v>0.2747066157745964</x:v>
      </x:c>
      <x:c r="P26" s="15" t="n">
        <x:v>0.0304987199141494</x:v>
      </x:c>
      <x:c r="Q26" s="15" t="n">
        <x:v>0.875</x:v>
      </x:c>
      <x:c r="R26" s="13" t="n">
        <x:v>0.25</x:v>
      </x:c>
      <x:c r="S26" s="13" t="n">
        <x:v>0</x:v>
      </x:c>
      <x:c r="T26" s="13"/>
      <x:c r="U26" s="16" t="n">
        <x:v>0</x:v>
      </x:c>
      <x:c r="V26" s="17" t="n">
        <x:v>0</x:v>
      </x:c>
      <x:c r="W26" s="17" t="n">
        <x:v>0</x:v>
      </x:c>
      <x:c r="X26" s="16" t="n">
        <x:v>0</x:v>
      </x:c>
      <x:c r="Y26" s="16" t="n">
        <x:v>0</x:v>
      </x:c>
      <x:c r="Z26" s="16" t="n">
        <x:v>0</x:v>
      </x:c>
      <x:c r="AA26" s="16" t="n">
        <x:v>0</x:v>
      </x:c>
      <x:c r="AB26" s="16" t="n">
        <x:v>0</x:v>
      </x:c>
      <x:c r="AC26" s="16" t="n">
        <x:v>0</x:v>
      </x:c>
      <x:c r="AD26" s="13" t="n">
        <x:v>-408.7119258354139</x:v>
      </x:c>
      <x:c r="AE26" s="13" t="n">
        <x:v>0.3524969529867853</x:v>
      </x:c>
      <x:c r="AF26" s="13" t="n">
        <x:v>0.0063147621009251</x:v>
      </x:c>
      <x:c r="AG26" s="13" t="n">
        <x:v>0.0068544075134227</x:v>
      </x:c>
      <x:c r="AH26" s="13" t="n">
        <x:v>-0.0190284209083813</x:v>
      </x:c>
      <x:c r="AI26" s="13" t="n">
        <x:v>0.0192172295459536</x:v>
      </x:c>
      <x:c r="AJ26" s="13" t="n">
        <x:v>-0.0128039254716666</x:v>
      </x:c>
      <x:c r="AK26" s="13" t="n">
        <x:v>0.0320211550176202</x:v>
      </x:c>
      <x:c r="AL26" s="13" t="n">
        <x:v>0.0032066520371434</x:v>
      </x:c>
      <x:c r="AM26" s="13" t="n">
        <x:v>0</x:v>
      </x:c>
    </x:row>
    <x:row r="27" ht="15" hidden="0" customHeight="1">
      <x:c r="A27" s="13" t="n">
        <x:v>940</x:v>
      </x:c>
      <x:c r="B27" s="13" t="str">
        <x:v>2022-03-21</x:v>
      </x:c>
      <x:c r="C27" s="13" t="str">
        <x:v>discovery_2021_2023</x:v>
      </x:c>
      <x:c r="D27" s="14" t="b">
        <x:v>0</x:v>
      </x:c>
      <x:c r="E27" s="13" t="str">
        <x:v>none</x:v>
      </x:c>
      <x:c r="F27" s="13" t="str">
        <x:v>pre_2024_11_20</x:v>
      </x:c>
      <x:c r="G27" s="14" t="b">
        <x:v>0</x:v>
      </x:c>
      <x:c r="H27" s="13" t="str">
        <x:v>confidence_score_at_or_below_0.40</x:v>
      </x:c>
      <x:c r="I27" s="13"/>
      <x:c r="J27" s="13" t="str">
        <x:v>2022-03-21 05:47:00+00:00</x:v>
      </x:c>
      <x:c r="K27" s="13"/>
      <x:c r="L27" s="13"/>
      <x:c r="M27" s="13" t="n">
        <x:v>17247.8496</x:v>
      </x:c>
      <x:c r="N27" s="15" t="n">
        <x:v>0.28321460372255</x:v>
      </x:c>
      <x:c r="O27" s="15" t="n">
        <x:v>0.2297881367411919</x:v>
      </x:c>
      <x:c r="P27" s="15" t="n">
        <x:v>0.0274079239747323</x:v>
      </x:c>
      <x:c r="Q27" s="15" t="n">
        <x:v>0.8590604026845637</x:v>
      </x:c>
      <x:c r="R27" s="13" t="n">
        <x:v>0.0972222222222222</x:v>
      </x:c>
      <x:c r="S27" s="13" t="n">
        <x:v>0</x:v>
      </x:c>
      <x:c r="T27" s="13"/>
      <x:c r="U27" s="16" t="n">
        <x:v>0</x:v>
      </x:c>
      <x:c r="V27" s="17" t="n">
        <x:v>0</x:v>
      </x:c>
      <x:c r="W27" s="17" t="n">
        <x:v>0</x:v>
      </x:c>
      <x:c r="X27" s="16" t="n">
        <x:v>0</x:v>
      </x:c>
      <x:c r="Y27" s="16" t="n">
        <x:v>0</x:v>
      </x:c>
      <x:c r="Z27" s="16" t="n">
        <x:v>0</x:v>
      </x:c>
      <x:c r="AA27" s="16" t="n">
        <x:v>0</x:v>
      </x:c>
      <x:c r="AB27" s="16" t="n">
        <x:v>0</x:v>
      </x:c>
      <x:c r="AC27" s="16" t="n">
        <x:v>0</x:v>
      </x:c>
      <x:c r="AD27" s="13" t="n">
        <x:v>-461.02021822202977</x:v>
      </x:c>
      <x:c r="AE27" s="13" t="n">
        <x:v>0.1189273388396777</x:v>
      </x:c>
      <x:c r="AF27" s="13" t="n">
        <x:v>0.0014827381405028</x:v>
      </x:c>
      <x:c r="AG27" s="13" t="n">
        <x:v>0.0002407311633429</x:v>
      </x:c>
      <x:c r="AH27" s="13" t="n">
        <x:v>-0.0130663271406168</x:v>
      </x:c>
      <x:c r="AI27" s="13" t="n">
        <x:v>0.0129108455612695</x:v>
      </x:c>
      <x:c r="AJ27" s="13" t="n">
        <x:v>-0.0112180266728314</x:v>
      </x:c>
      <x:c r="AK27" s="13" t="n">
        <x:v>0.0241288722341009</x:v>
      </x:c>
      <x:c r="AL27" s="13" t="n">
        <x:v>0.000846409444219</x:v>
      </x:c>
      <x:c r="AM27" s="13" t="n">
        <x:v>0</x:v>
      </x:c>
    </x:row>
    <x:row r="28" ht="15" hidden="0" customHeight="1">
      <x:c r="A28" s="13" t="n">
        <x:v>941</x:v>
      </x:c>
      <x:c r="B28" s="13" t="str">
        <x:v>2022-03-22</x:v>
      </x:c>
      <x:c r="C28" s="13" t="str">
        <x:v>discovery_2021_2023</x:v>
      </x:c>
      <x:c r="D28" s="14" t="b">
        <x:v>0</x:v>
      </x:c>
      <x:c r="E28" s="13" t="str">
        <x:v>none</x:v>
      </x:c>
      <x:c r="F28" s="13" t="str">
        <x:v>pre_2024_11_20</x:v>
      </x:c>
      <x:c r="G28" s="14" t="b">
        <x:v>0</x:v>
      </x:c>
      <x:c r="H28" s="13" t="str">
        <x:v>confidence_score_at_or_below_0.40</x:v>
      </x:c>
      <x:c r="I28" s="13"/>
      <x:c r="J28" s="13" t="str">
        <x:v>2022-03-22 06:01:00+00:00</x:v>
      </x:c>
      <x:c r="K28" s="13"/>
      <x:c r="L28" s="13"/>
      <x:c r="M28" s="13" t="n">
        <x:v>17063.8496</x:v>
      </x:c>
      <x:c r="N28" s="15" t="n">
        <x:v>0.3125590698994552</x:v>
      </x:c>
      <x:c r="O28" s="15" t="n">
        <x:v>0.2586292213143658</x:v>
      </x:c>
      <x:c r="P28" s="15" t="n">
        <x:v>0.0308040980587373</x:v>
      </x:c>
      <x:c r="Q28" s="15" t="n">
        <x:v>0.8566666666666667</x:v>
      </x:c>
      <x:c r="R28" s="13" t="n">
        <x:v>0.0138888888888888</x:v>
      </x:c>
      <x:c r="S28" s="13" t="n">
        <x:v>0</x:v>
      </x:c>
      <x:c r="T28" s="13"/>
      <x:c r="U28" s="16" t="n">
        <x:v>0</x:v>
      </x:c>
      <x:c r="V28" s="17" t="n">
        <x:v>0</x:v>
      </x:c>
      <x:c r="W28" s="17" t="n">
        <x:v>0</x:v>
      </x:c>
      <x:c r="X28" s="16" t="n">
        <x:v>0</x:v>
      </x:c>
      <x:c r="Y28" s="16" t="n">
        <x:v>0</x:v>
      </x:c>
      <x:c r="Z28" s="16" t="n">
        <x:v>0</x:v>
      </x:c>
      <x:c r="AA28" s="16" t="n">
        <x:v>0</x:v>
      </x:c>
      <x:c r="AB28" s="16" t="n">
        <x:v>0</x:v>
      </x:c>
      <x:c r="AC28" s="16" t="n">
        <x:v>0</x:v>
      </x:c>
      <x:c r="AD28" s="13" t="n">
        <x:v>-425.4516727828343</x:v>
      </x:c>
      <x:c r="AE28" s="13" t="n">
        <x:v>0.0575663817528129</x:v>
      </x:c>
      <x:c r="AF28" s="13" t="n">
        <x:v>0.0014759591329751</x:v>
      </x:c>
      <x:c r="AG28" s="13" t="n">
        <x:v>-0.0004761643303231</x:v>
      </x:c>
      <x:c r="AH28" s="13" t="n">
        <x:v>-0.0143402457041533</x:v>
      </x:c>
      <x:c r="AI28" s="13" t="n">
        <x:v>0.0104947559407375</x:v>
      </x:c>
      <x:c r="AJ28" s="13" t="n">
        <x:v>-0.005645635100721</x:v>
      </x:c>
      <x:c r="AK28" s="13" t="n">
        <x:v>0.0161403910414585</x:v>
      </x:c>
      <x:c r="AL28" s="13" t="n">
        <x:v>0.0024245604200082</x:v>
      </x:c>
      <x:c r="AM28" s="13" t="n">
        <x:v>0</x:v>
      </x:c>
    </x:row>
    <x:row r="29" ht="15" hidden="0" customHeight="1">
      <x:c r="A29" s="13" t="n">
        <x:v>944</x:v>
      </x:c>
      <x:c r="B29" s="13" t="str">
        <x:v>2022-04-13</x:v>
      </x:c>
      <x:c r="C29" s="13" t="str">
        <x:v>discovery_2021_2023</x:v>
      </x:c>
      <x:c r="D29" s="14" t="b">
        <x:v>1</x:v>
      </x:c>
      <x:c r="E29" s="13" t="str">
        <x:v>rbi_mpc</x:v>
      </x:c>
      <x:c r="F29" s="13" t="str">
        <x:v>pre_2024_11_20</x:v>
      </x:c>
      <x:c r="G29" s="14" t="b">
        <x:v>1</x:v>
      </x:c>
      <x:c r="H29" s="13"/>
      <x:c r="I29" s="13" t="str">
        <x:v>short_iron_fly</x:v>
      </x:c>
      <x:c r="J29" s="13" t="str">
        <x:v>2022-04-13 06:10:00+00:00</x:v>
      </x:c>
      <x:c r="K29" s="13" t="str">
        <x:v>2022-04-13 12:40:00+05:30</x:v>
      </x:c>
      <x:c r="L29" s="13" t="n">
        <x:v>8.159722222222221</x:v>
      </x:c>
      <x:c r="M29" s="13" t="n">
        <x:v>17534.5508</x:v>
      </x:c>
      <x:c r="N29" s="15" t="n">
        <x:v>0.2763142016402708</x:v>
      </x:c>
      <x:c r="O29" s="15" t="n">
        <x:v>0.2071626682272233</x:v>
      </x:c>
      <x:c r="P29" s="15" t="n">
        <x:v>0.0334331669210776</x:v>
      </x:c>
      <x:c r="Q29" s="15" t="n">
        <x:v>0.8575949367088608</x:v>
      </x:c>
      <x:c r="R29" s="13" t="n">
        <x:v>0.5555555555555556</x:v>
      </x:c>
      <x:c r="S29" s="13" t="n">
        <x:v>8</x:v>
      </x:c>
      <x:c r="T29" s="13" t="n">
        <x:v>50</x:v>
      </x:c>
      <x:c r="U29" s="16" t="n">
        <x:v>343792.7025017413</x:v>
      </x:c>
      <x:c r="V29" s="17" t="n">
        <x:v>0.3346271391972832</x:v>
      </x:c>
      <x:c r="W29" s="17" t="n">
        <x:v>0.0325820295359939</x:v>
      </x:c>
      <x:c r="X29" s="16" t="n">
        <x:v>-1720.000000000001</x:v>
      </x:c>
      <x:c r="Y29" s="16" t="n">
        <x:v>239.69273915089508</x:v>
      </x:c>
      <x:c r="Z29" s="16" t="n">
        <x:v>285.89072747061084</x:v>
      </x:c>
      <x:c r="AA29" s="16" t="n">
        <x:v>525.583466621506</x:v>
      </x:c>
      <x:c r="AB29" s="16" t="n">
        <x:v>-2245.583466621507</x:v>
      </x:c>
      <x:c r="AC29" s="16" t="n">
        <x:v>74936.64374958148</x:v>
      </x:c>
      <x:c r="AD29" s="13" t="n">
        <x:v>-441.0694065576975</x:v>
      </x:c>
      <x:c r="AE29" s="13" t="n">
        <x:v>1.0984103651609405</x:v>
      </x:c>
      <x:c r="AF29" s="13" t="n">
        <x:v>0.0145315297449877</x:v>
      </x:c>
      <x:c r="AG29" s="13" t="n">
        <x:v>0.011684277695677</x:v>
      </x:c>
      <x:c r="AH29" s="13" t="n">
        <x:v>0.0061337536236109</x:v>
      </x:c>
      <x:c r="AI29" s="13" t="n">
        <x:v>0.0186791650550826</x:v>
      </x:c>
      <x:c r="AJ29" s="13" t="n">
        <x:v>0.0433089536647837</x:v>
      </x:c>
      <x:c r="AK29" s="13" t="n">
        <x:v>-0.0246297886097011</x:v>
      </x:c>
      <x:c r="AL29" s="13" t="n">
        <x:v>0.0309940593599332</x:v>
      </x:c>
      <x:c r="AM29" s="13" t="n">
        <x:v>-0.0021857158857537</x:v>
      </x:c>
    </x:row>
    <x:row r="30" ht="15" hidden="0" customHeight="1">
      <x:c r="A30" s="13" t="n">
        <x:v>945</x:v>
      </x:c>
      <x:c r="B30" s="13" t="str">
        <x:v>2022-04-21</x:v>
      </x:c>
      <x:c r="C30" s="13" t="str">
        <x:v>discovery_2021_2023</x:v>
      </x:c>
      <x:c r="D30" s="14" t="b">
        <x:v>0</x:v>
      </x:c>
      <x:c r="E30" s="13" t="str">
        <x:v>none</x:v>
      </x:c>
      <x:c r="F30" s="13" t="str">
        <x:v>pre_2024_11_20</x:v>
      </x:c>
      <x:c r="G30" s="14" t="b">
        <x:v>0</x:v>
      </x:c>
      <x:c r="H30" s="13" t="str">
        <x:v>confidence_score_at_or_below_0.40</x:v>
      </x:c>
      <x:c r="I30" s="13"/>
      <x:c r="J30" s="13" t="str">
        <x:v>2022-04-21 07:05:00+00:00</x:v>
      </x:c>
      <x:c r="K30" s="13"/>
      <x:c r="L30" s="13"/>
      <x:c r="M30" s="13" t="n">
        <x:v>17342.1504</x:v>
      </x:c>
      <x:c r="N30" s="15" t="n">
        <x:v>0.2413165981942967</x:v>
      </x:c>
      <x:c r="O30" s="15" t="n">
        <x:v>0.1622572436646792</x:v>
      </x:c>
      <x:c r="P30" s="15" t="n">
        <x:v>0.0319062874424085</x:v>
      </x:c>
      <x:c r="Q30" s="15" t="n">
        <x:v>0.834375</x:v>
      </x:c>
      <x:c r="R30" s="13" t="n">
        <x:v>0.0833333333333333</x:v>
      </x:c>
      <x:c r="S30" s="13" t="n">
        <x:v>0</x:v>
      </x:c>
      <x:c r="T30" s="13"/>
      <x:c r="U30" s="16" t="n">
        <x:v>0</x:v>
      </x:c>
      <x:c r="V30" s="17" t="n">
        <x:v>0</x:v>
      </x:c>
      <x:c r="W30" s="17" t="n">
        <x:v>0</x:v>
      </x:c>
      <x:c r="X30" s="16" t="n">
        <x:v>0</x:v>
      </x:c>
      <x:c r="Y30" s="16" t="n">
        <x:v>0</x:v>
      </x:c>
      <x:c r="Z30" s="16" t="n">
        <x:v>0</x:v>
      </x:c>
      <x:c r="AA30" s="16" t="n">
        <x:v>0</x:v>
      </x:c>
      <x:c r="AB30" s="16" t="n">
        <x:v>0</x:v>
      </x:c>
      <x:c r="AC30" s="16" t="n">
        <x:v>0</x:v>
      </x:c>
      <x:c r="AD30" s="13" t="n">
        <x:v>179.93501473975053</x:v>
      </x:c>
      <x:c r="AE30" s="13" t="n">
        <x:v>0.0048445897576457</x:v>
      </x:c>
      <x:c r="AF30" s="13" t="n">
        <x:v>-0.000413427320679</x:v>
      </x:c>
      <x:c r="AG30" s="13" t="n">
        <x:v>-0.0010921262855095</x:v>
      </x:c>
      <x:c r="AH30" s="13" t="n">
        <x:v>-0.0023388632298083</x:v>
      </x:c>
      <x:c r="AI30" s="13" t="n">
        <x:v>0.0882356034719874</x:v>
      </x:c>
      <x:c r="AJ30" s="13" t="n">
        <x:v>0.0401400322932743</x:v>
      </x:c>
      <x:c r="AK30" s="13" t="n">
        <x:v>0.0480955711787131</x:v>
      </x:c>
      <x:c r="AL30" s="13" t="n">
        <x:v>0.0641878178826309</x:v>
      </x:c>
      <x:c r="AM30" s="13" t="n">
        <x:v>-0.0021857158857537</x:v>
      </x:c>
    </x:row>
    <x:row r="31" ht="15" hidden="0" customHeight="1">
      <x:c r="A31" s="13" t="n">
        <x:v>946</x:v>
      </x:c>
      <x:c r="B31" s="13" t="str">
        <x:v>2022-04-27</x:v>
      </x:c>
      <x:c r="C31" s="13" t="str">
        <x:v>discovery_2021_2023</x:v>
      </x:c>
      <x:c r="D31" s="14" t="b">
        <x:v>1</x:v>
      </x:c>
      <x:c r="E31" s="13" t="str">
        <x:v>rbi_mpc</x:v>
      </x:c>
      <x:c r="F31" s="13" t="str">
        <x:v>pre_2024_11_20</x:v>
      </x:c>
      <x:c r="G31" s="14" t="b">
        <x:v>0</x:v>
      </x:c>
      <x:c r="H31" s="13" t="str">
        <x:v>confidence_score_at_or_below_0.40</x:v>
      </x:c>
      <x:c r="I31" s="13"/>
      <x:c r="J31" s="13" t="str">
        <x:v>2022-04-27 05:38:00+00:00</x:v>
      </x:c>
      <x:c r="K31" s="13"/>
      <x:c r="L31" s="13"/>
      <x:c r="M31" s="13" t="n">
        <x:v>17054.5996</x:v>
      </x:c>
      <x:c r="N31" s="15" t="n">
        <x:v>0.2303460016168736</x:v>
      </x:c>
      <x:c r="O31" s="15" t="n">
        <x:v>0.1708760196073338</x:v>
      </x:c>
      <x:c r="P31" s="15" t="n">
        <x:v>0.0238606663840348</x:v>
      </x:c>
      <x:c r="Q31" s="15" t="n">
        <x:v>0.8513931888544891</x:v>
      </x:c>
      <x:c r="R31" s="13" t="n">
        <x:v>0.1527777777777778</x:v>
      </x:c>
      <x:c r="S31" s="13" t="n">
        <x:v>0</x:v>
      </x:c>
      <x:c r="T31" s="13"/>
      <x:c r="U31" s="16" t="n">
        <x:v>0</x:v>
      </x:c>
      <x:c r="V31" s="17" t="n">
        <x:v>0</x:v>
      </x:c>
      <x:c r="W31" s="17" t="n">
        <x:v>0</x:v>
      </x:c>
      <x:c r="X31" s="16" t="n">
        <x:v>0</x:v>
      </x:c>
      <x:c r="Y31" s="16" t="n">
        <x:v>0</x:v>
      </x:c>
      <x:c r="Z31" s="16" t="n">
        <x:v>0</x:v>
      </x:c>
      <x:c r="AA31" s="16" t="n">
        <x:v>0</x:v>
      </x:c>
      <x:c r="AB31" s="16" t="n">
        <x:v>0</x:v>
      </x:c>
      <x:c r="AC31" s="16" t="n">
        <x:v>0</x:v>
      </x:c>
      <x:c r="AD31" s="13" t="n">
        <x:v>-252.96422054000897</x:v>
      </x:c>
      <x:c r="AE31" s="13" t="n">
        <x:v>0.0809797604836141</x:v>
      </x:c>
      <x:c r="AF31" s="13" t="n">
        <x:v>0.0023462610056972</x:v>
      </x:c>
      <x:c r="AG31" s="13" t="n">
        <x:v>-0.0002026199382458</x:v>
      </x:c>
      <x:c r="AH31" s="13" t="n">
        <x:v>-0.0011575875815471</x:v>
      </x:c>
      <x:c r="AI31" s="13" t="n">
        <x:v>0.0140117276698046</x:v>
      </x:c>
      <x:c r="AJ31" s="13" t="n">
        <x:v>-0.0058249642118743</x:v>
      </x:c>
      <x:c r="AK31" s="13" t="n">
        <x:v>0.019836691881679</x:v>
      </x:c>
      <x:c r="AL31" s="13" t="n">
        <x:v>0.0040933817289651</x:v>
      </x:c>
      <x:c r="AM31" s="13" t="n">
        <x:v>-0.0021857158857537</x:v>
      </x:c>
    </x:row>
    <x:row r="32" ht="15" hidden="0" customHeight="1">
      <x:c r="A32" s="13" t="n">
        <x:v>947</x:v>
      </x:c>
      <x:c r="B32" s="13" t="str">
        <x:v>2022-04-28</x:v>
      </x:c>
      <x:c r="C32" s="13" t="str">
        <x:v>discovery_2021_2023</x:v>
      </x:c>
      <x:c r="D32" s="14" t="b">
        <x:v>1</x:v>
      </x:c>
      <x:c r="E32" s="13" t="str">
        <x:v>rbi_mpc</x:v>
      </x:c>
      <x:c r="F32" s="13" t="str">
        <x:v>pre_2024_11_20</x:v>
      </x:c>
      <x:c r="G32" s="14" t="b">
        <x:v>1</x:v>
      </x:c>
      <x:c r="H32" s="13"/>
      <x:c r="I32" s="13" t="str">
        <x:v>short_iron_fly</x:v>
      </x:c>
      <x:c r="J32" s="13" t="str">
        <x:v>2022-04-28 08:09:00+00:00</x:v>
      </x:c>
      <x:c r="K32" s="13" t="str">
        <x:v>2022-04-28 14:39:00+05:30</x:v>
      </x:c>
      <x:c r="L32" s="13" t="n">
        <x:v>14.077083333333333</x:v>
      </x:c>
      <x:c r="M32" s="13" t="n">
        <x:v>17249.0508</x:v>
      </x:c>
      <x:c r="N32" s="15" t="n">
        <x:v>0.2498971972584342</x:v>
      </x:c>
      <x:c r="O32" s="15" t="n">
        <x:v>0.1848617994241483</x:v>
      </x:c>
      <x:c r="P32" s="15" t="n">
        <x:v>0.0282747243112867</x:v>
      </x:c>
      <x:c r="Q32" s="15" t="n">
        <x:v>0.8738461538461538</x:v>
      </x:c>
      <x:c r="R32" s="13" t="n">
        <x:v>0.4444444444444444</x:v>
      </x:c>
      <x:c r="S32" s="13" t="n">
        <x:v>7</x:v>
      </x:c>
      <x:c r="T32" s="13" t="n">
        <x:v>50</x:v>
      </x:c>
      <x:c r="U32" s="16" t="n">
        <x:v>293262.0766389842</x:v>
      </x:c>
      <x:c r="V32" s="17" t="n">
        <x:v>0.2860689325581363</x:v>
      </x:c>
      <x:c r="W32" s="17" t="n">
        <x:v>0.0367769286949059</x:v>
      </x:c>
      <x:c r="X32" s="16" t="n">
        <x:v>-2695.000000000001</x:v>
      </x:c>
      <x:c r="Y32" s="16" t="n">
        <x:v>214.64133391348017</x:v>
      </x:c>
      <x:c r="Z32" s="16" t="n">
        <x:v>216.31825399535268</x:v>
      </x:c>
      <x:c r="AA32" s="16" t="n">
        <x:v>430.9595879088328</x:v>
      </x:c>
      <x:c r="AB32" s="16" t="n">
        <x:v>-3125.959587908834</x:v>
      </x:c>
      <x:c r="AC32" s="16" t="n">
        <x:v>38698.82979713447</x:v>
      </x:c>
      <x:c r="AD32" s="13" t="n">
        <x:v>-604.6206958606865</x:v>
      </x:c>
      <x:c r="AE32" s="13" t="n">
        <x:v>0.2226057409266664</x:v>
      </x:c>
      <x:c r="AF32" s="13" t="n">
        <x:v>0.0012891931801011</x:v>
      </x:c>
      <x:c r="AG32" s="13" t="n">
        <x:v>0.013965655274239</x:v>
      </x:c>
      <x:c r="AH32" s="13" t="n">
        <x:v>-0.0054282729032637</x:v>
      </x:c>
      <x:c r="AI32" s="13" t="n">
        <x:v>0.1143284239845862</x:v>
      </x:c>
      <x:c r="AJ32" s="13" t="n">
        <x:v>0.0411870806579002</x:v>
      </x:c>
      <x:c r="AK32" s="13" t="n">
        <x:v>0.0731413433266859</x:v>
      </x:c>
      <x:c r="AL32" s="13" t="n">
        <x:v>0.0777577523212432</x:v>
      </x:c>
      <x:c r="AM32" s="13" t="n">
        <x:v>-0.0052283369377319</x:v>
      </x:c>
    </x:row>
    <x:row r="33" ht="15" hidden="0" customHeight="1">
      <x:c r="A33" s="13" t="n">
        <x:v>950</x:v>
      </x:c>
      <x:c r="B33" s="13" t="str">
        <x:v>2022-05-17</x:v>
      </x:c>
      <x:c r="C33" s="13" t="str">
        <x:v>discovery_2021_2023</x:v>
      </x:c>
      <x:c r="D33" s="14" t="b">
        <x:v>0</x:v>
      </x:c>
      <x:c r="E33" s="13" t="str">
        <x:v>none</x:v>
      </x:c>
      <x:c r="F33" s="13" t="str">
        <x:v>pre_2024_11_20</x:v>
      </x:c>
      <x:c r="G33" s="14" t="b">
        <x:v>0</x:v>
      </x:c>
      <x:c r="H33" s="13" t="str">
        <x:v>confidence_score_at_or_below_0.40</x:v>
      </x:c>
      <x:c r="I33" s="13"/>
      <x:c r="J33" s="13" t="str">
        <x:v>2022-05-17 08:21:00+00:00</x:v>
      </x:c>
      <x:c r="K33" s="13"/>
      <x:c r="L33" s="13"/>
      <x:c r="M33" s="13" t="n">
        <x:v>16150.5498</x:v>
      </x:c>
      <x:c r="N33" s="15" t="n">
        <x:v>0.275860243381489</x:v>
      </x:c>
      <x:c r="O33" s="15" t="n">
        <x:v>0.2289020471585035</x:v>
      </x:c>
      <x:c r="P33" s="15" t="n">
        <x:v>0.0237027266851406</x:v>
      </x:c>
      <x:c r="Q33" s="15" t="n">
        <x:v>0.8664688427299704</x:v>
      </x:c>
      <x:c r="R33" s="13" t="n">
        <x:v>0.1805555555555555</x:v>
      </x:c>
      <x:c r="S33" s="13" t="n">
        <x:v>0</x:v>
      </x:c>
      <x:c r="T33" s="13"/>
      <x:c r="U33" s="16" t="n">
        <x:v>0</x:v>
      </x:c>
      <x:c r="V33" s="17" t="n">
        <x:v>0</x:v>
      </x:c>
      <x:c r="W33" s="17" t="n">
        <x:v>0</x:v>
      </x:c>
      <x:c r="X33" s="16" t="n">
        <x:v>0</x:v>
      </x:c>
      <x:c r="Y33" s="16" t="n">
        <x:v>0</x:v>
      </x:c>
      <x:c r="Z33" s="16" t="n">
        <x:v>0</x:v>
      </x:c>
      <x:c r="AA33" s="16" t="n">
        <x:v>0</x:v>
      </x:c>
      <x:c r="AB33" s="16" t="n">
        <x:v>0</x:v>
      </x:c>
      <x:c r="AC33" s="16" t="n">
        <x:v>0</x:v>
      </x:c>
      <x:c r="AD33" s="13" t="n">
        <x:v>-473.2622708214166</x:v>
      </x:c>
      <x:c r="AE33" s="13" t="n">
        <x:v>0.0866037072058972</x:v>
      </x:c>
      <x:c r="AF33" s="13" t="n">
        <x:v>0.000215520823756</x:v>
      </x:c>
      <x:c r="AG33" s="13" t="n">
        <x:v>0.0009267845077344</x:v>
      </x:c>
      <x:c r="AH33" s="13" t="n">
        <x:v>0.0043584667071143</x:v>
      </x:c>
      <x:c r="AI33" s="13" t="n">
        <x:v>0.023556990756831</x:v>
      </x:c>
      <x:c r="AJ33" s="13" t="n">
        <x:v>-0.0213290828121176</x:v>
      </x:c>
      <x:c r="AK33" s="13" t="n">
        <x:v>0.0448860735689486</x:v>
      </x:c>
      <x:c r="AL33" s="13" t="n">
        <x:v>0.0011139539723566</x:v>
      </x:c>
      <x:c r="AM33" s="13" t="n">
        <x:v>-0.0052283369377319</x:v>
      </x:c>
    </x:row>
    <x:row r="34" ht="15" hidden="0" customHeight="1">
      <x:c r="A34" s="13" t="n">
        <x:v>952</x:v>
      </x:c>
      <x:c r="B34" s="13" t="str">
        <x:v>2022-05-23</x:v>
      </x:c>
      <x:c r="C34" s="13" t="str">
        <x:v>discovery_2021_2023</x:v>
      </x:c>
      <x:c r="D34" s="14" t="b">
        <x:v>0</x:v>
      </x:c>
      <x:c r="E34" s="13" t="str">
        <x:v>none</x:v>
      </x:c>
      <x:c r="F34" s="13" t="str">
        <x:v>pre_2024_11_20</x:v>
      </x:c>
      <x:c r="G34" s="14" t="b">
        <x:v>0</x:v>
      </x:c>
      <x:c r="H34" s="13" t="str">
        <x:v>confidence_score_at_or_below_0.40</x:v>
      </x:c>
      <x:c r="I34" s="13"/>
      <x:c r="J34" s="13" t="str">
        <x:v>2022-05-23 06:43:00+00:00</x:v>
      </x:c>
      <x:c r="K34" s="13"/>
      <x:c r="L34" s="13"/>
      <x:c r="M34" s="13" t="n">
        <x:v>16374.7002</x:v>
      </x:c>
      <x:c r="N34" s="15" t="n">
        <x:v>0.2638547457197756</x:v>
      </x:c>
      <x:c r="O34" s="15" t="n">
        <x:v>0.1853693204055481</x:v>
      </x:c>
      <x:c r="P34" s="15" t="n">
        <x:v>0.0352575418912326</x:v>
      </x:c>
      <x:c r="Q34" s="15" t="n">
        <x:v>0.8387096774193549</x:v>
      </x:c>
      <x:c r="R34" s="13" t="n">
        <x:v>0.0416666666666666</x:v>
      </x:c>
      <x:c r="S34" s="13" t="n">
        <x:v>0</x:v>
      </x:c>
      <x:c r="T34" s="13"/>
      <x:c r="U34" s="16" t="n">
        <x:v>0</x:v>
      </x:c>
      <x:c r="V34" s="17" t="n">
        <x:v>0</x:v>
      </x:c>
      <x:c r="W34" s="17" t="n">
        <x:v>0</x:v>
      </x:c>
      <x:c r="X34" s="16" t="n">
        <x:v>0</x:v>
      </x:c>
      <x:c r="Y34" s="16" t="n">
        <x:v>0</x:v>
      </x:c>
      <x:c r="Z34" s="16" t="n">
        <x:v>0</x:v>
      </x:c>
      <x:c r="AA34" s="16" t="n">
        <x:v>0</x:v>
      </x:c>
      <x:c r="AB34" s="16" t="n">
        <x:v>0</x:v>
      </x:c>
      <x:c r="AC34" s="16" t="n">
        <x:v>0</x:v>
      </x:c>
      <x:c r="AD34" s="13" t="n">
        <x:v>-318.01896631099254</x:v>
      </x:c>
      <x:c r="AE34" s="13" t="n">
        <x:v>0.0380002698514397</x:v>
      </x:c>
      <x:c r="AF34" s="13" t="n">
        <x:v>-0.0001424598284304</x:v>
      </x:c>
      <x:c r="AG34" s="13" t="n">
        <x:v>-0.0007047601364609</x:v>
      </x:c>
      <x:c r="AH34" s="13" t="n">
        <x:v>-0.0065506263340191</x:v>
      </x:c>
      <x:c r="AI34" s="13" t="n">
        <x:v>0.012123989696186</x:v>
      </x:c>
      <x:c r="AJ34" s="13" t="n">
        <x:v>-0.0109410258238282</x:v>
      </x:c>
      <x:c r="AK34" s="13" t="n">
        <x:v>0.0230650155200142</x:v>
      </x:c>
      <x:c r="AL34" s="13" t="n">
        <x:v>0.0005914819361788</x:v>
      </x:c>
      <x:c r="AM34" s="13" t="n">
        <x:v>-0.0052283369377319</x:v>
      </x:c>
    </x:row>
    <x:row r="35" ht="15" hidden="0" customHeight="1">
      <x:c r="A35" s="13" t="n">
        <x:v>954</x:v>
      </x:c>
      <x:c r="B35" s="13" t="str">
        <x:v>2022-05-26</x:v>
      </x:c>
      <x:c r="C35" s="13" t="str">
        <x:v>discovery_2021_2023</x:v>
      </x:c>
      <x:c r="D35" s="14" t="b">
        <x:v>0</x:v>
      </x:c>
      <x:c r="E35" s="13" t="str">
        <x:v>none</x:v>
      </x:c>
      <x:c r="F35" s="13" t="str">
        <x:v>pre_2024_11_20</x:v>
      </x:c>
      <x:c r="G35" s="14" t="b">
        <x:v>1</x:v>
      </x:c>
      <x:c r="H35" s="13"/>
      <x:c r="I35" s="13" t="str">
        <x:v>short_iron_fly</x:v>
      </x:c>
      <x:c r="J35" s="13" t="str">
        <x:v>2022-05-26 07:43:00+00:00</x:v>
      </x:c>
      <x:c r="K35" s="13" t="str">
        <x:v>2022-05-26 14:13:00+05:30</x:v>
      </x:c>
      <x:c r="L35" s="13" t="n">
        <x:v>14.095138888888888</x:v>
      </x:c>
      <x:c r="M35" s="13" t="n">
        <x:v>16083.4004</x:v>
      </x:c>
      <x:c r="N35" s="15" t="n">
        <x:v>0.4096893352378309</x:v>
      </x:c>
      <x:c r="O35" s="15" t="n">
        <x:v>0.3640281082556976</x:v>
      </x:c>
      <x:c r="P35" s="15" t="n">
        <x:v>0.0353288878073939</x:v>
      </x:c>
      <x:c r="Q35" s="15" t="n">
        <x:v>0.877906976744186</x:v>
      </x:c>
      <x:c r="R35" s="13" t="n">
        <x:v>0.625</x:v>
      </x:c>
      <x:c r="S35" s="13" t="n">
        <x:v>8</x:v>
      </x:c>
      <x:c r="T35" s="13" t="n">
        <x:v>50</x:v>
      </x:c>
      <x:c r="U35" s="16" t="n">
        <x:v>321590.4072490079</x:v>
      </x:c>
      <x:c r="V35" s="17" t="n">
        <x:v>0.314661918889122</x:v>
      </x:c>
      <x:c r="W35" s="17" t="n">
        <x:v>0.0315399898095519</x:v>
      </x:c>
      <x:c r="X35" s="16" t="n">
        <x:v>9719.999999999998</x:v>
      </x:c>
      <x:c r="Y35" s="16" t="n">
        <x:v>233.9880568392948</x:v>
      </x:c>
      <x:c r="Z35" s="16" t="n">
        <x:v>326.95596403953164</x:v>
      </x:c>
      <x:c r="AA35" s="16" t="n">
        <x:v>560.9440208788264</x:v>
      </x:c>
      <x:c r="AB35" s="16" t="n">
        <x:v>9159.05597912117</x:v>
      </x:c>
      <x:c r="AC35" s="16" t="n">
        <x:v>62705.80608905319</x:v>
      </x:c>
      <x:c r="AD35" s="13" t="n">
        <x:v>984.867614914021</x:v>
      </x:c>
      <x:c r="AE35" s="13" t="n">
        <x:v>1.3983351148851506</x:v>
      </x:c>
      <x:c r="AF35" s="13" t="n">
        <x:v>0.0227340727666181</x:v>
      </x:c>
      <x:c r="AG35" s="13" t="n">
        <x:v>0.0244943701386451</x:v>
      </x:c>
      <x:c r="AH35" s="13" t="n">
        <x:v>0.0031901786497464</x:v>
      </x:c>
      <x:c r="AI35" s="13" t="n">
        <x:v>0.0630174825593031</x:v>
      </x:c>
      <x:c r="AJ35" s="13" t="n">
        <x:v>0.0051122940852254</x:v>
      </x:c>
      <x:c r="AK35" s="13" t="n">
        <x:v>0.0579051884740776</x:v>
      </x:c>
      <x:c r="AL35" s="13" t="n">
        <x:v>0.0340648883222642</x:v>
      </x:c>
      <x:c r="AM35" s="13" t="n">
        <x:v>0</x:v>
      </x:c>
    </x:row>
    <x:row r="36" ht="15" hidden="0" customHeight="1">
      <x:c r="A36" s="13" t="n">
        <x:v>955</x:v>
      </x:c>
      <x:c r="B36" s="13" t="str">
        <x:v>2022-05-30</x:v>
      </x:c>
      <x:c r="C36" s="13" t="str">
        <x:v>discovery_2021_2023</x:v>
      </x:c>
      <x:c r="D36" s="14" t="b">
        <x:v>0</x:v>
      </x:c>
      <x:c r="E36" s="13" t="str">
        <x:v>none</x:v>
      </x:c>
      <x:c r="F36" s="13" t="str">
        <x:v>pre_2024_11_20</x:v>
      </x:c>
      <x:c r="G36" s="14" t="b">
        <x:v>1</x:v>
      </x:c>
      <x:c r="H36" s="13"/>
      <x:c r="I36" s="13" t="str">
        <x:v>short_iron_fly</x:v>
      </x:c>
      <x:c r="J36" s="13" t="str">
        <x:v>2022-05-30 08:25:00+00:00</x:v>
      </x:c>
      <x:c r="K36" s="13" t="str">
        <x:v>2022-05-30 14:55:00+05:30</x:v>
      </x:c>
      <x:c r="L36" s="13" t="n">
        <x:v>10.06597222222222</x:v>
      </x:c>
      <x:c r="M36" s="13" t="n">
        <x:v>16646.0996</x:v>
      </x:c>
      <x:c r="N36" s="15" t="n">
        <x:v>0.2251285276993983</x:v>
      </x:c>
      <x:c r="O36" s="15" t="n">
        <x:v>0.1835554084772841</x:v>
      </x:c>
      <x:c r="P36" s="15" t="n">
        <x:v>0.0169902660028361</x:v>
      </x:c>
      <x:c r="Q36" s="15" t="n">
        <x:v>0.8554913294797688</x:v>
      </x:c>
      <x:c r="R36" s="13" t="n">
        <x:v>0.4861111111111111</x:v>
      </x:c>
      <x:c r="S36" s="13" t="n">
        <x:v>7</x:v>
      </x:c>
      <x:c r="T36" s="13" t="n">
        <x:v>50</x:v>
      </x:c>
      <x:c r="U36" s="16" t="n">
        <x:v>338319.7224174202</x:v>
      </x:c>
      <x:c r="V36" s="17" t="n">
        <x:v>0.32809055150609</x:v>
      </x:c>
      <x:c r="W36" s="17" t="n">
        <x:v>0.0107490444345756</x:v>
      </x:c>
      <x:c r="X36" s="16" t="n">
        <x:v>69.99999999999851</x:v>
      </x:c>
      <x:c r="Y36" s="16" t="n">
        <x:v>386.7342883485561</x:v>
      </x:c>
      <x:c r="Z36" s="16" t="n">
        <x:v>921.8718037053447</x:v>
      </x:c>
      <x:c r="AA36" s="16" t="n">
        <x:v>1308.6060920539007</x:v>
      </x:c>
      <x:c r="AB36" s="16" t="n">
        <x:v>-1238.6060920539023</x:v>
      </x:c>
      <x:c r="AC36" s="16" t="n">
        <x:v>289064.2690943647</x:v>
      </x:c>
      <x:c r="AD36" s="13" t="n">
        <x:v>-321.05556848882406</x:v>
      </x:c>
      <x:c r="AE36" s="13" t="n">
        <x:v>0.1737349134467236</x:v>
      </x:c>
      <x:c r="AF36" s="13" t="n">
        <x:v>0.0011616340384627</x:v>
      </x:c>
      <x:c r="AG36" s="13" t="n">
        <x:v>0.0008810618413493</x:v>
      </x:c>
      <x:c r="AH36" s="13" t="n">
        <x:v>0.007575303201225</x:v>
      </x:c>
      <x:c r="AI36" s="13" t="n">
        <x:v>0.0104992603802828</x:v>
      </x:c>
      <x:c r="AJ36" s="13" t="n">
        <x:v>-0.009709364716984</x:v>
      </x:c>
      <x:c r="AK36" s="13" t="n">
        <x:v>0.0202086250972668</x:v>
      </x:c>
      <x:c r="AL36" s="13" t="n">
        <x:v>0.0003949478316493</x:v>
      </x:c>
      <x:c r="AM36" s="13" t="n">
        <x:v>-0.001201156565562</x:v>
      </x:c>
    </x:row>
    <x:row r="37" ht="15" hidden="0" customHeight="1">
      <x:c r="A37" s="13" t="n">
        <x:v>957</x:v>
      </x:c>
      <x:c r="B37" s="13" t="str">
        <x:v>2022-06-07</x:v>
      </x:c>
      <x:c r="C37" s="13" t="str">
        <x:v>discovery_2021_2023</x:v>
      </x:c>
      <x:c r="D37" s="14" t="b">
        <x:v>1</x:v>
      </x:c>
      <x:c r="E37" s="13" t="str">
        <x:v>rbi_mpc</x:v>
      </x:c>
      <x:c r="F37" s="13" t="str">
        <x:v>pre_2024_11_20</x:v>
      </x:c>
      <x:c r="G37" s="14" t="b">
        <x:v>0</x:v>
      </x:c>
      <x:c r="H37" s="13" t="str">
        <x:v>confidence_score_at_or_below_0.40</x:v>
      </x:c>
      <x:c r="I37" s="13"/>
      <x:c r="J37" s="13" t="str">
        <x:v>2022-06-07 05:47:00+00:00</x:v>
      </x:c>
      <x:c r="K37" s="13"/>
      <x:c r="L37" s="13"/>
      <x:c r="M37" s="13" t="n">
        <x:v>16369.0996</x:v>
      </x:c>
      <x:c r="N37" s="15" t="n">
        <x:v>0.2350456937295133</x:v>
      </x:c>
      <x:c r="O37" s="15" t="n">
        <x:v>0.1640419066192945</x:v>
      </x:c>
      <x:c r="P37" s="15" t="n">
        <x:v>0.0283367310134948</x:v>
      </x:c>
      <x:c r="Q37" s="15" t="n">
        <x:v>0.8575498575498576</x:v>
      </x:c>
      <x:c r="R37" s="13" t="n">
        <x:v>0.1944444444444444</x:v>
      </x:c>
      <x:c r="S37" s="13" t="n">
        <x:v>0</x:v>
      </x:c>
      <x:c r="T37" s="13"/>
      <x:c r="U37" s="16" t="n">
        <x:v>0</x:v>
      </x:c>
      <x:c r="V37" s="17" t="n">
        <x:v>0</x:v>
      </x:c>
      <x:c r="W37" s="17" t="n">
        <x:v>0</x:v>
      </x:c>
      <x:c r="X37" s="16" t="n">
        <x:v>0</x:v>
      </x:c>
      <x:c r="Y37" s="16" t="n">
        <x:v>0</x:v>
      </x:c>
      <x:c r="Z37" s="16" t="n">
        <x:v>0</x:v>
      </x:c>
      <x:c r="AA37" s="16" t="n">
        <x:v>0</x:v>
      </x:c>
      <x:c r="AB37" s="16" t="n">
        <x:v>0</x:v>
      </x:c>
      <x:c r="AC37" s="16" t="n">
        <x:v>0</x:v>
      </x:c>
      <x:c r="AD37" s="13" t="n">
        <x:v>-316.10787525287805</x:v>
      </x:c>
      <x:c r="AE37" s="13" t="n">
        <x:v>0.0715967085196408</x:v>
      </x:c>
      <x:c r="AF37" s="13" t="n">
        <x:v>0.0013805331360152</x:v>
      </x:c>
      <x:c r="AG37" s="13" t="n">
        <x:v>-0.0003122444941386</x:v>
      </x:c>
      <x:c r="AH37" s="13" t="n">
        <x:v>-0.012932556505705</x:v>
      </x:c>
      <x:c r="AI37" s="13" t="n">
        <x:v>0.0046381898032836</x:v>
      </x:c>
      <x:c r="AJ37" s="13" t="n">
        <x:v>-0.006238732835964</x:v>
      </x:c>
      <x:c r="AK37" s="13" t="n">
        <x:v>0.0108769226392477</x:v>
      </x:c>
      <x:c r="AL37" s="13" t="n">
        <x:v>-0.0008002715163402</x:v>
      </x:c>
      <x:c r="AM37" s="13" t="n">
        <x:v>-0.001201156565562</x:v>
      </x:c>
    </x:row>
    <x:row r="38" ht="15" hidden="0" customHeight="1">
      <x:c r="A38" s="13" t="n">
        <x:v>959</x:v>
      </x:c>
      <x:c r="B38" s="13" t="str">
        <x:v>2022-06-13</x:v>
      </x:c>
      <x:c r="C38" s="13" t="str">
        <x:v>discovery_2021_2023</x:v>
      </x:c>
      <x:c r="D38" s="14" t="b">
        <x:v>1</x:v>
      </x:c>
      <x:c r="E38" s="13" t="str">
        <x:v>rbi_mpc</x:v>
      </x:c>
      <x:c r="F38" s="13" t="str">
        <x:v>pre_2024_11_20</x:v>
      </x:c>
      <x:c r="G38" s="14" t="b">
        <x:v>0</x:v>
      </x:c>
      <x:c r="H38" s="13" t="str">
        <x:v>confidence_score_at_or_below_0.40</x:v>
      </x:c>
      <x:c r="I38" s="13"/>
      <x:c r="J38" s="13" t="str">
        <x:v>2022-06-13 05:16:00+00:00</x:v>
      </x:c>
      <x:c r="K38" s="13"/>
      <x:c r="L38" s="13"/>
      <x:c r="M38" s="13" t="n">
        <x:v>15782.5498</x:v>
      </x:c>
      <x:c r="N38" s="15" t="n">
        <x:v>0.253390622567574</x:v>
      </x:c>
      <x:c r="O38" s="15" t="n">
        <x:v>0.2194671162530639</x:v>
      </x:c>
      <x:c r="P38" s="15" t="n">
        <x:v>0.0160409924887468</x:v>
      </x:c>
      <x:c r="Q38" s="15" t="n">
        <x:v>0.8535211267605634</x:v>
      </x:c>
      <x:c r="R38" s="13" t="n">
        <x:v>0.125</x:v>
      </x:c>
      <x:c r="S38" s="13" t="n">
        <x:v>0</x:v>
      </x:c>
      <x:c r="T38" s="13"/>
      <x:c r="U38" s="16" t="n">
        <x:v>0</x:v>
      </x:c>
      <x:c r="V38" s="17" t="n">
        <x:v>0</x:v>
      </x:c>
      <x:c r="W38" s="17" t="n">
        <x:v>0</x:v>
      </x:c>
      <x:c r="X38" s="16" t="n">
        <x:v>0</x:v>
      </x:c>
      <x:c r="Y38" s="16" t="n">
        <x:v>0</x:v>
      </x:c>
      <x:c r="Z38" s="16" t="n">
        <x:v>0</x:v>
      </x:c>
      <x:c r="AA38" s="16" t="n">
        <x:v>0</x:v>
      </x:c>
      <x:c r="AB38" s="16" t="n">
        <x:v>0</x:v>
      </x:c>
      <x:c r="AC38" s="16" t="n">
        <x:v>0</x:v>
      </x:c>
      <x:c r="AD38" s="13" t="n">
        <x:v>-350.78699648134665</x:v>
      </x:c>
      <x:c r="AE38" s="13" t="n">
        <x:v>0.0370192039241394</x:v>
      </x:c>
      <x:c r="AF38" s="13" t="n">
        <x:v>-0.0001759256055379</x:v>
      </x:c>
      <x:c r="AG38" s="13" t="n">
        <x:v>0.000727099433771</x:v>
      </x:c>
      <x:c r="AH38" s="13" t="n">
        <x:v>-0.006220177214642</x:v>
      </x:c>
      <x:c r="AI38" s="13" t="n">
        <x:v>0.0046234808738529</x:v>
      </x:c>
      <x:c r="AJ38" s="13" t="n">
        <x:v>-0.0039430585043392</x:v>
      </x:c>
      <x:c r="AK38" s="13" t="n">
        <x:v>0.0085665393781922</x:v>
      </x:c>
      <x:c r="AL38" s="13" t="n">
        <x:v>0.0003402111847568</x:v>
      </x:c>
      <x:c r="AM38" s="13" t="n">
        <x:v>-0.001201156565562</x:v>
      </x:c>
    </x:row>
    <x:row r="39" ht="15" hidden="0" customHeight="1">
      <x:c r="A39" s="13" t="n">
        <x:v>960</x:v>
      </x:c>
      <x:c r="B39" s="13" t="str">
        <x:v>2022-06-14</x:v>
      </x:c>
      <x:c r="C39" s="13" t="str">
        <x:v>discovery_2021_2023</x:v>
      </x:c>
      <x:c r="D39" s="14" t="b">
        <x:v>1</x:v>
      </x:c>
      <x:c r="E39" s="13" t="str">
        <x:v>rbi_mpc</x:v>
      </x:c>
      <x:c r="F39" s="13" t="str">
        <x:v>pre_2024_11_20</x:v>
      </x:c>
      <x:c r="G39" s="14" t="b">
        <x:v>0</x:v>
      </x:c>
      <x:c r="H39" s="13" t="str">
        <x:v>confidence_score_at_or_below_0.40</x:v>
      </x:c>
      <x:c r="I39" s="13"/>
      <x:c r="J39" s="13" t="str">
        <x:v>2022-06-14 05:25:00+00:00</x:v>
      </x:c>
      <x:c r="K39" s="13"/>
      <x:c r="L39" s="13"/>
      <x:c r="M39" s="13" t="n">
        <x:v>15814.0498</x:v>
      </x:c>
      <x:c r="N39" s="15" t="n">
        <x:v>0.2874484109997946</x:v>
      </x:c>
      <x:c r="O39" s="15" t="n">
        <x:v>0.2449988513067904</x:v>
      </x:c>
      <x:c r="P39" s="15" t="n">
        <x:v>0.02260215184466</x:v>
      </x:c>
      <x:c r="Q39" s="15" t="n">
        <x:v>0.8595505617977528</x:v>
      </x:c>
      <x:c r="R39" s="13" t="n">
        <x:v>0.1111111111111111</x:v>
      </x:c>
      <x:c r="S39" s="13" t="n">
        <x:v>0</x:v>
      </x:c>
      <x:c r="T39" s="13"/>
      <x:c r="U39" s="16" t="n">
        <x:v>0</x:v>
      </x:c>
      <x:c r="V39" s="17" t="n">
        <x:v>0</x:v>
      </x:c>
      <x:c r="W39" s="17" t="n">
        <x:v>0</x:v>
      </x:c>
      <x:c r="X39" s="16" t="n">
        <x:v>0</x:v>
      </x:c>
      <x:c r="Y39" s="16" t="n">
        <x:v>0</x:v>
      </x:c>
      <x:c r="Z39" s="16" t="n">
        <x:v>0</x:v>
      </x:c>
      <x:c r="AA39" s="16" t="n">
        <x:v>0</x:v>
      </x:c>
      <x:c r="AB39" s="16" t="n">
        <x:v>0</x:v>
      </x:c>
      <x:c r="AC39" s="16" t="n">
        <x:v>0</x:v>
      </x:c>
      <x:c r="AD39" s="13" t="n">
        <x:v>-307.9037076198691</x:v>
      </x:c>
      <x:c r="AE39" s="13" t="n">
        <x:v>0.0383895354645209</x:v>
      </x:c>
      <x:c r="AF39" s="13" t="n">
        <x:v>0.0002668835202849</x:v>
      </x:c>
      <x:c r="AG39" s="13" t="n">
        <x:v>0.0033591924189576</x:v>
      </x:c>
      <x:c r="AH39" s="13" t="n">
        <x:v>-0.0257015632571906</x:v>
      </x:c>
      <x:c r="AI39" s="13" t="n">
        <x:v>0.0054954090230244</x:v>
      </x:c>
      <x:c r="AJ39" s="13" t="n">
        <x:v>-0.0059577143462829</x:v>
      </x:c>
      <x:c r="AK39" s="13" t="n">
        <x:v>0.0114531233693073</x:v>
      </x:c>
      <x:c r="AL39" s="13" t="n">
        <x:v>-0.0002311526616292</x:v>
      </x:c>
      <x:c r="AM39" s="13" t="n">
        <x:v>-0.001201156565562</x:v>
      </x:c>
    </x:row>
    <x:row r="40" ht="15" hidden="0" customHeight="1">
      <x:c r="A40" s="13" t="n">
        <x:v>962</x:v>
      </x:c>
      <x:c r="B40" s="13" t="str">
        <x:v>2022-06-16</x:v>
      </x:c>
      <x:c r="C40" s="13" t="str">
        <x:v>discovery_2021_2023</x:v>
      </x:c>
      <x:c r="D40" s="14" t="b">
        <x:v>0</x:v>
      </x:c>
      <x:c r="E40" s="13" t="str">
        <x:v>none</x:v>
      </x:c>
      <x:c r="F40" s="13" t="str">
        <x:v>pre_2024_11_20</x:v>
      </x:c>
      <x:c r="G40" s="14" t="b">
        <x:v>1</x:v>
      </x:c>
      <x:c r="H40" s="13"/>
      <x:c r="I40" s="13" t="str">
        <x:v>short_iron_fly</x:v>
      </x:c>
      <x:c r="J40" s="13" t="str">
        <x:v>2022-06-16 06:40:00+00:00</x:v>
      </x:c>
      <x:c r="K40" s="13" t="str">
        <x:v>2022-06-16 13:10:00+05:30</x:v>
      </x:c>
      <x:c r="L40" s="13" t="n">
        <x:v>7.138888888888889</x:v>
      </x:c>
      <x:c r="M40" s="13" t="n">
        <x:v>15553.1504</x:v>
      </x:c>
      <x:c r="N40" s="15" t="n">
        <x:v>0.4128268835219122</x:v>
      </x:c>
      <x:c r="O40" s="15" t="n">
        <x:v>0.3503079398930041</x:v>
      </x:c>
      <x:c r="P40" s="15" t="n">
        <x:v>0.0477103830063338</x:v>
      </x:c>
      <x:c r="Q40" s="15" t="n">
        <x:v>0.8857938718662952</x:v>
      </x:c>
      <x:c r="R40" s="13" t="n">
        <x:v>0.5416666666666666</x:v>
      </x:c>
      <x:c r="S40" s="13" t="n">
        <x:v>9</x:v>
      </x:c>
      <x:c r="T40" s="13" t="n">
        <x:v>50</x:v>
      </x:c>
      <x:c r="U40" s="16" t="n">
        <x:v>358243.1285137405</x:v>
      </x:c>
      <x:c r="V40" s="17" t="n">
        <x:v>0.3478293665825202</x:v>
      </x:c>
      <x:c r="W40" s="17" t="n">
        <x:v>0.0324919830111924</x:v>
      </x:c>
      <x:c r="X40" s="16" t="n">
        <x:v>-2519.999999999999</x:v>
      </x:c>
      <x:c r="Y40" s="16" t="n">
        <x:v>264.5445645946839</x:v>
      </x:c>
      <x:c r="Z40" s="16" t="n">
        <x:v>473.7735803466496</x:v>
      </x:c>
      <x:c r="AA40" s="16" t="n">
        <x:v>738.3181449413335</x:v>
      </x:c>
      <x:c r="AB40" s="16" t="n">
        <x:v>-3258.3181449413323</x:v>
      </x:c>
      <x:c r="AC40" s="16" t="n">
        <x:v>111532.40339123146</x:v>
      </x:c>
      <x:c r="AD40" s="13" t="n">
        <x:v>-522.1878951802479</x:v>
      </x:c>
      <x:c r="AE40" s="13" t="n">
        <x:v>1.5378165285969263</x:v>
      </x:c>
      <x:c r="AF40" s="13" t="n">
        <x:v>0.0356134123944303</x:v>
      </x:c>
      <x:c r="AG40" s="13" t="n">
        <x:v>0.0168179704118843</x:v>
      </x:c>
      <x:c r="AH40" s="13" t="n">
        <x:v>0.0139693423265332</x:v>
      </x:c>
      <x:c r="AI40" s="13" t="n">
        <x:v>0.0371816413039397</x:v>
      </x:c>
      <x:c r="AJ40" s="13" t="n">
        <x:v>0.040579395962817</x:v>
      </x:c>
      <x:c r="AK40" s="13" t="n">
        <x:v>-0.0033977546588772</x:v>
      </x:c>
      <x:c r="AL40" s="13" t="n">
        <x:v>0.0388805186333783</x:v>
      </x:c>
      <x:c r="AM40" s="13" t="n">
        <x:v>-0.0043609587477034</x:v>
      </x:c>
    </x:row>
    <x:row r="41" ht="15" hidden="0" customHeight="1">
      <x:c r="A41" s="13" t="n">
        <x:v>963</x:v>
      </x:c>
      <x:c r="B41" s="13" t="str">
        <x:v>2022-06-23</x:v>
      </x:c>
      <x:c r="C41" s="13" t="str">
        <x:v>discovery_2021_2023</x:v>
      </x:c>
      <x:c r="D41" s="14" t="b">
        <x:v>0</x:v>
      </x:c>
      <x:c r="E41" s="13" t="str">
        <x:v>none</x:v>
      </x:c>
      <x:c r="F41" s="13" t="str">
        <x:v>pre_2024_11_20</x:v>
      </x:c>
      <x:c r="G41" s="14" t="b">
        <x:v>0</x:v>
      </x:c>
      <x:c r="H41" s="13" t="str">
        <x:v>confidence_score_at_or_below_0.40</x:v>
      </x:c>
      <x:c r="I41" s="13"/>
      <x:c r="J41" s="13" t="str">
        <x:v>2022-06-23 05:03:00+00:00</x:v>
      </x:c>
      <x:c r="K41" s="13"/>
      <x:c r="L41" s="13"/>
      <x:c r="M41" s="13" t="n">
        <x:v>15588</x:v>
      </x:c>
      <x:c r="N41" s="15" t="n">
        <x:v>0.3409474388403724</x:v>
      </x:c>
      <x:c r="O41" s="15" t="n">
        <x:v>0.3083945560266035</x:v>
      </x:c>
      <x:c r="P41" s="15" t="n">
        <x:v>0.0211379538649635</x:v>
      </x:c>
      <x:c r="Q41" s="15" t="n">
        <x:v>0.9090909090909092</x:v>
      </x:c>
      <x:c r="R41" s="13" t="n">
        <x:v>0.1666666666666666</x:v>
      </x:c>
      <x:c r="S41" s="13" t="n">
        <x:v>0</x:v>
      </x:c>
      <x:c r="T41" s="13"/>
      <x:c r="U41" s="16" t="n">
        <x:v>0</x:v>
      </x:c>
      <x:c r="V41" s="17" t="n">
        <x:v>0</x:v>
      </x:c>
      <x:c r="W41" s="17" t="n">
        <x:v>0</x:v>
      </x:c>
      <x:c r="X41" s="16" t="n">
        <x:v>0</x:v>
      </x:c>
      <x:c r="Y41" s="16" t="n">
        <x:v>0</x:v>
      </x:c>
      <x:c r="Z41" s="16" t="n">
        <x:v>0</x:v>
      </x:c>
      <x:c r="AA41" s="16" t="n">
        <x:v>0</x:v>
      </x:c>
      <x:c r="AB41" s="16" t="n">
        <x:v>0</x:v>
      </x:c>
      <x:c r="AC41" s="16" t="n">
        <x:v>0</x:v>
      </x:c>
      <x:c r="AD41" s="13" t="n">
        <x:v>-96.275696058449</x:v>
      </x:c>
      <x:c r="AE41" s="13" t="n">
        <x:v>0.1820054878421516</x:v>
      </x:c>
      <x:c r="AF41" s="13" t="n">
        <x:v>0.0038976556883091</x:v>
      </x:c>
      <x:c r="AG41" s="13" t="n">
        <x:v>0.0045512996962346</x:v>
      </x:c>
      <x:c r="AH41" s="13" t="n">
        <x:v>-0.0226504742337745</x:v>
      </x:c>
      <x:c r="AI41" s="13" t="n">
        <x:v>0.0638682943768382</x:v>
      </x:c>
      <x:c r="AJ41" s="13" t="n">
        <x:v>-0.0099461197478823</x:v>
      </x:c>
      <x:c r="AK41" s="13" t="n">
        <x:v>0.0738144141247206</x:v>
      </x:c>
      <x:c r="AL41" s="13" t="n">
        <x:v>0.0269610873144779</x:v>
      </x:c>
      <x:c r="AM41" s="13" t="n">
        <x:v>-0.0043609587477034</x:v>
      </x:c>
    </x:row>
    <x:row r="42" ht="15" hidden="0" customHeight="1">
      <x:c r="A42" s="13" t="n">
        <x:v>968</x:v>
      </x:c>
      <x:c r="B42" s="13" t="str">
        <x:v>2022-07-27</x:v>
      </x:c>
      <x:c r="C42" s="13" t="str">
        <x:v>discovery_2021_2023</x:v>
      </x:c>
      <x:c r="D42" s="14" t="b">
        <x:v>0</x:v>
      </x:c>
      <x:c r="E42" s="13" t="str">
        <x:v>none</x:v>
      </x:c>
      <x:c r="F42" s="13" t="str">
        <x:v>pre_2024_11_20</x:v>
      </x:c>
      <x:c r="G42" s="14" t="b">
        <x:v>0</x:v>
      </x:c>
      <x:c r="H42" s="13" t="str">
        <x:v>confidence_score_at_or_below_0.40</x:v>
      </x:c>
      <x:c r="I42" s="13"/>
      <x:c r="J42" s="13" t="str">
        <x:v>2022-07-27 06:08:00+00:00</x:v>
      </x:c>
      <x:c r="K42" s="13"/>
      <x:c r="L42" s="13"/>
      <x:c r="M42" s="13" t="n">
        <x:v>16554.3496</x:v>
      </x:c>
      <x:c r="N42" s="15" t="n">
        <x:v>0.2208768626705436</x:v>
      </x:c>
      <x:c r="O42" s="15" t="n">
        <x:v>0.1182262035066431</x:v>
      </x:c>
      <x:c r="P42" s="15" t="n">
        <x:v>0.034809153267588</x:v>
      </x:c>
      <x:c r="Q42" s="15" t="n">
        <x:v>0.8505154639175257</x:v>
      </x:c>
      <x:c r="R42" s="13" t="n">
        <x:v>0.3472222222222222</x:v>
      </x:c>
      <x:c r="S42" s="13" t="n">
        <x:v>0</x:v>
      </x:c>
      <x:c r="T42" s="13"/>
      <x:c r="U42" s="16" t="n">
        <x:v>0</x:v>
      </x:c>
      <x:c r="V42" s="17" t="n">
        <x:v>0</x:v>
      </x:c>
      <x:c r="W42" s="17" t="n">
        <x:v>0</x:v>
      </x:c>
      <x:c r="X42" s="16" t="n">
        <x:v>0</x:v>
      </x:c>
      <x:c r="Y42" s="16" t="n">
        <x:v>0</x:v>
      </x:c>
      <x:c r="Z42" s="16" t="n">
        <x:v>0</x:v>
      </x:c>
      <x:c r="AA42" s="16" t="n">
        <x:v>0</x:v>
      </x:c>
      <x:c r="AB42" s="16" t="n">
        <x:v>0</x:v>
      </x:c>
      <x:c r="AC42" s="16" t="n">
        <x:v>0</x:v>
      </x:c>
      <x:c r="AD42" s="13" t="n">
        <x:v>-276.53026895494827</x:v>
      </x:c>
      <x:c r="AE42" s="13" t="n">
        <x:v>0.1518489388423902</x:v>
      </x:c>
      <x:c r="AF42" s="13" t="n">
        <x:v>0.0007306013683254</x:v>
      </x:c>
      <x:c r="AG42" s="13" t="n">
        <x:v>0.00248821373623</x:v>
      </x:c>
      <x:c r="AH42" s="13" t="n">
        <x:v>-0.0040274448944812</x:v>
      </x:c>
      <x:c r="AI42" s="13" t="n">
        <x:v>0.0158421857715712</x:v>
      </x:c>
      <x:c r="AJ42" s="13" t="n">
        <x:v>-0.0114629828440162</x:v>
      </x:c>
      <x:c r="AK42" s="13" t="n">
        <x:v>0.0273051686155874</x:v>
      </x:c>
      <x:c r="AL42" s="13" t="n">
        <x:v>0.0021896014637775</x:v>
      </x:c>
      <x:c r="AM42" s="13" t="n">
        <x:v>-0.0043609587477034</x:v>
      </x:c>
    </x:row>
    <x:row r="43" ht="15" hidden="0" customHeight="1">
      <x:c r="A43" s="13" t="n">
        <x:v>969</x:v>
      </x:c>
      <x:c r="B43" s="13" t="str">
        <x:v>2022-07-28</x:v>
      </x:c>
      <x:c r="C43" s="13" t="str">
        <x:v>discovery_2021_2023</x:v>
      </x:c>
      <x:c r="D43" s="14" t="b">
        <x:v>0</x:v>
      </x:c>
      <x:c r="E43" s="13" t="str">
        <x:v>none</x:v>
      </x:c>
      <x:c r="F43" s="13" t="str">
        <x:v>pre_2024_11_20</x:v>
      </x:c>
      <x:c r="G43" s="14" t="b">
        <x:v>1</x:v>
      </x:c>
      <x:c r="H43" s="13"/>
      <x:c r="I43" s="13" t="str">
        <x:v>short_iron_fly</x:v>
      </x:c>
      <x:c r="J43" s="13" t="str">
        <x:v>2022-07-28 06:19:00+00:00</x:v>
      </x:c>
      <x:c r="K43" s="13" t="str">
        <x:v>2022-07-28 12:49:00+05:30</x:v>
      </x:c>
      <x:c r="L43" s="13" t="n">
        <x:v>14.153472222222222</x:v>
      </x:c>
      <x:c r="M43" s="13" t="n">
        <x:v>16885.9492</x:v>
      </x:c>
      <x:c r="N43" s="15" t="n">
        <x:v>0.2330201908820344</x:v>
      </x:c>
      <x:c r="O43" s="15" t="n">
        <x:v>0.1301085016385381</x:v>
      </x:c>
      <x:c r="P43" s="15" t="n">
        <x:v>0.0373701871600742</x:v>
      </x:c>
      <x:c r="Q43" s="15" t="n">
        <x:v>0.8586118251928021</x:v>
      </x:c>
      <x:c r="R43" s="13" t="n">
        <x:v>0.5277777777777778</x:v>
      </x:c>
      <x:c r="S43" s="13" t="n">
        <x:v>8</x:v>
      </x:c>
      <x:c r="T43" s="13" t="n">
        <x:v>50</x:v>
      </x:c>
      <x:c r="U43" s="16" t="n">
        <x:v>334431.1736446539</x:v>
      </x:c>
      <x:c r="V43" s="17" t="n">
        <x:v>0.3257401130526938</x:v>
      </x:c>
      <x:c r="W43" s="17" t="n">
        <x:v>0.0371824012394065</x:v>
      </x:c>
      <x:c r="X43" s="16" t="n">
        <x:v>2399.999999999999</x:v>
      </x:c>
      <x:c r="Y43" s="16" t="n">
        <x:v>226.94806966915465</x:v>
      </x:c>
      <x:c r="Z43" s="16" t="n">
        <x:v>229.9487817114779</x:v>
      </x:c>
      <x:c r="AA43" s="16" t="n">
        <x:v>456.8968513806325</x:v>
      </x:c>
      <x:c r="AB43" s="16" t="n">
        <x:v>1943.1031486193665</x:v>
      </x:c>
      <x:c r="AC43" s="16" t="n">
        <x:v>54911.35197970454</x:v>
      </x:c>
      <x:c r="AD43" s="13" t="n">
        <x:v>81.497883059142</x:v>
      </x:c>
      <x:c r="AE43" s="13" t="n">
        <x:v>0.6226809308273865</x:v>
      </x:c>
      <x:c r="AF43" s="13" t="n">
        <x:v>0.0047656648168659</x:v>
      </x:c>
      <x:c r="AG43" s="13" t="n">
        <x:v>0.0061262110704251</x:v>
      </x:c>
      <x:c r="AH43" s="13" t="n">
        <x:v>0.0003287932741775</x:v>
      </x:c>
      <x:c r="AI43" s="13" t="n">
        <x:v>0.0702796096882132</x:v>
      </x:c>
      <x:c r="AJ43" s="13" t="n">
        <x:v>0.0389260776984912</x:v>
      </x:c>
      <x:c r="AK43" s="13" t="n">
        <x:v>0.031353531989722</x:v>
      </x:c>
      <x:c r="AL43" s="13" t="n">
        <x:v>0.0546028436933522</x:v>
      </x:c>
      <x:c r="AM43" s="13" t="n">
        <x:v>-0.0024766057483912</x:v>
      </x:c>
    </x:row>
    <x:row r="44" ht="15" hidden="0" customHeight="1">
      <x:c r="A44" s="13" t="n">
        <x:v>971</x:v>
      </x:c>
      <x:c r="B44" s="13" t="str">
        <x:v>2022-08-10</x:v>
      </x:c>
      <x:c r="C44" s="13" t="str">
        <x:v>discovery_2021_2023</x:v>
      </x:c>
      <x:c r="D44" s="14" t="b">
        <x:v>1</x:v>
      </x:c>
      <x:c r="E44" s="13" t="str">
        <x:v>rbi_mpc</x:v>
      </x:c>
      <x:c r="F44" s="13" t="str">
        <x:v>pre_2024_11_20</x:v>
      </x:c>
      <x:c r="G44" s="14" t="b">
        <x:v>1</x:v>
      </x:c>
      <x:c r="H44" s="13"/>
      <x:c r="I44" s="13" t="str">
        <x:v>short_iron_fly</x:v>
      </x:c>
      <x:c r="J44" s="13" t="str">
        <x:v>2022-08-10 08:11:00+00:00</x:v>
      </x:c>
      <x:c r="K44" s="13" t="str">
        <x:v>2022-08-10 14:41:00+05:30</x:v>
      </x:c>
      <x:c r="L44" s="13" t="n">
        <x:v>8.075694444444444</x:v>
      </x:c>
      <x:c r="M44" s="13" t="n">
        <x:v>17492</x:v>
      </x:c>
      <x:c r="N44" s="15" t="n">
        <x:v>0.2207790943028868</x:v>
      </x:c>
      <x:c r="O44" s="15" t="n">
        <x:v>0.1468174260270419</x:v>
      </x:c>
      <x:c r="P44" s="15" t="n">
        <x:v>0.027188051895997</x:v>
      </x:c>
      <x:c r="Q44" s="15" t="n">
        <x:v>0.8589420654911839</x:v>
      </x:c>
      <x:c r="R44" s="13" t="n">
        <x:v>0.5694444444444444</x:v>
      </x:c>
      <x:c r="S44" s="13" t="n">
        <x:v>7</x:v>
      </x:c>
      <x:c r="T44" s="13" t="n">
        <x:v>50</x:v>
      </x:c>
      <x:c r="U44" s="16" t="n">
        <x:v>318951.7261956677</x:v>
      </x:c>
      <x:c r="V44" s="17" t="n">
        <x:v>0.3100760871121622</x:v>
      </x:c>
      <x:c r="W44" s="17" t="n">
        <x:v>0.0162369105175674</x:v>
      </x:c>
      <x:c r="X44" s="16" t="n">
        <x:v>-454.999999999999</x:v>
      </x:c>
      <x:c r="Y44" s="16" t="n">
        <x:v>296.03358958920785</x:v>
      </x:c>
      <x:c r="Z44" s="16" t="n">
        <x:v>474.06489022131154</x:v>
      </x:c>
      <x:c r="AA44" s="16" t="n">
        <x:v>770.0984798105194</x:v>
      </x:c>
      <x:c r="AB44" s="16" t="n">
        <x:v>-1225.0984798105185</x:v>
      </x:c>
      <x:c r="AC44" s="16" t="n">
        <x:v>156764.79404057848</x:v>
      </x:c>
      <x:c r="AD44" s="13" t="n">
        <x:v>-328.4388680113974</x:v>
      </x:c>
      <x:c r="AE44" s="13" t="n">
        <x:v>0.1925686346032388</x:v>
      </x:c>
      <x:c r="AF44" s="13" t="n">
        <x:v>0.0013439737737266</x:v>
      </x:c>
      <x:c r="AG44" s="13" t="n">
        <x:v>0.0011011009422218</x:v>
      </x:c>
      <x:c r="AH44" s="13" t="n">
        <x:v>-0.014388713393821</x:v>
      </x:c>
      <x:c r="AI44" s="13" t="n">
        <x:v>0.0147571059090174</x:v>
      </x:c>
      <x:c r="AJ44" s="13" t="n">
        <x:v>-0.0104217411182912</x:v>
      </x:c>
      <x:c r="AK44" s="13" t="n">
        <x:v>0.0251788470273086</x:v>
      </x:c>
      <x:c r="AL44" s="13" t="n">
        <x:v>0.0021676823953631</x:v>
      </x:c>
      <x:c r="AM44" s="13" t="n">
        <x:v>-0.0036646631073246</x:v>
      </x:c>
    </x:row>
    <x:row r="45" ht="15" hidden="0" customHeight="1">
      <x:c r="A45" s="13" t="n">
        <x:v>975</x:v>
      </x:c>
      <x:c r="B45" s="13" t="str">
        <x:v>2022-08-25</x:v>
      </x:c>
      <x:c r="C45" s="13" t="str">
        <x:v>discovery_2021_2023</x:v>
      </x:c>
      <x:c r="D45" s="14" t="b">
        <x:v>0</x:v>
      </x:c>
      <x:c r="E45" s="13" t="str">
        <x:v>none</x:v>
      </x:c>
      <x:c r="F45" s="13" t="str">
        <x:v>pre_2024_11_20</x:v>
      </x:c>
      <x:c r="G45" s="14" t="b">
        <x:v>0</x:v>
      </x:c>
      <x:c r="H45" s="13" t="str">
        <x:v>confidence_score_at_or_below_0.40</x:v>
      </x:c>
      <x:c r="I45" s="13"/>
      <x:c r="J45" s="13" t="str">
        <x:v>2022-08-25 07:04:00+00:00</x:v>
      </x:c>
      <x:c r="K45" s="13"/>
      <x:c r="L45" s="13"/>
      <x:c r="M45" s="13" t="n">
        <x:v>17695.9492</x:v>
      </x:c>
      <x:c r="N45" s="15" t="n">
        <x:v>0.236881322461239</x:v>
      </x:c>
      <x:c r="O45" s="15" t="n">
        <x:v>0.1405921598294045</x:v>
      </x:c>
      <x:c r="P45" s="15" t="n">
        <x:v>0.0363466055254886</x:v>
      </x:c>
      <x:c r="Q45" s="15" t="n">
        <x:v>0.8574938574938575</x:v>
      </x:c>
      <x:c r="R45" s="13" t="n">
        <x:v>0.2916666666666667</x:v>
      </x:c>
      <x:c r="S45" s="13" t="n">
        <x:v>0</x:v>
      </x:c>
      <x:c r="T45" s="13"/>
      <x:c r="U45" s="16" t="n">
        <x:v>0</x:v>
      </x:c>
      <x:c r="V45" s="17" t="n">
        <x:v>0</x:v>
      </x:c>
      <x:c r="W45" s="17" t="n">
        <x:v>0</x:v>
      </x:c>
      <x:c r="X45" s="16" t="n">
        <x:v>0</x:v>
      </x:c>
      <x:c r="Y45" s="16" t="n">
        <x:v>0</x:v>
      </x:c>
      <x:c r="Z45" s="16" t="n">
        <x:v>0</x:v>
      </x:c>
      <x:c r="AA45" s="16" t="n">
        <x:v>0</x:v>
      </x:c>
      <x:c r="AB45" s="16" t="n">
        <x:v>0</x:v>
      </x:c>
      <x:c r="AC45" s="16" t="n">
        <x:v>0</x:v>
      </x:c>
      <x:c r="AD45" s="13" t="n">
        <x:v>204.39160433453063</x:v>
      </x:c>
      <x:c r="AE45" s="13" t="n">
        <x:v>0.162044186032127</x:v>
      </x:c>
      <x:c r="AF45" s="13" t="n">
        <x:v>0.005060637716537</x:v>
      </x:c>
      <x:c r="AG45" s="13" t="n">
        <x:v>0.0007444761327963</x:v>
      </x:c>
      <x:c r="AH45" s="13" t="n">
        <x:v>-0.0056521801789669</x:v>
      </x:c>
      <x:c r="AI45" s="13" t="n">
        <x:v>0.0958961182144652</x:v>
      </x:c>
      <x:c r="AJ45" s="13" t="n">
        <x:v>0.0099390395568347</x:v>
      </x:c>
      <x:c r="AK45" s="13" t="n">
        <x:v>0.0859570786576305</x:v>
      </x:c>
      <x:c r="AL45" s="13" t="n">
        <x:v>0.0529175788856499</x:v>
      </x:c>
      <x:c r="AM45" s="13" t="n">
        <x:v>-0.0036646631073246</x:v>
      </x:c>
    </x:row>
    <x:row r="46" ht="15" hidden="0" customHeight="1">
      <x:c r="A46" s="13" t="n">
        <x:v>985</x:v>
      </x:c>
      <x:c r="B46" s="13" t="str">
        <x:v>2022-10-06</x:v>
      </x:c>
      <x:c r="C46" s="13" t="str">
        <x:v>discovery_2021_2023</x:v>
      </x:c>
      <x:c r="D46" s="14" t="b">
        <x:v>1</x:v>
      </x:c>
      <x:c r="E46" s="13" t="str">
        <x:v>rbi_mpc</x:v>
      </x:c>
      <x:c r="F46" s="13" t="str">
        <x:v>pre_2024_11_20</x:v>
      </x:c>
      <x:c r="G46" s="14" t="b">
        <x:v>1</x:v>
      </x:c>
      <x:c r="H46" s="13"/>
      <x:c r="I46" s="13" t="str">
        <x:v>short_iron_fly</x:v>
      </x:c>
      <x:c r="J46" s="13" t="str">
        <x:v>2022-10-06 05:00:00+00:00</x:v>
      </x:c>
      <x:c r="K46" s="13" t="str">
        <x:v>2022-10-06 11:30:00+05:30</x:v>
      </x:c>
      <x:c r="L46" s="13" t="n">
        <x:v>7.208333333333333</x:v>
      </x:c>
      <x:c r="M46" s="13" t="n">
        <x:v>17416</x:v>
      </x:c>
      <x:c r="N46" s="15" t="n">
        <x:v>0.2604125263195229</x:v>
      </x:c>
      <x:c r="O46" s="15" t="n">
        <x:v>0.2327181936239801</x:v>
      </x:c>
      <x:c r="P46" s="15" t="n">
        <x:v>0.0136569262205079</x:v>
      </x:c>
      <x:c r="Q46" s="15" t="n">
        <x:v>0.8640552995391705</x:v>
      </x:c>
      <x:c r="R46" s="13" t="n">
        <x:v>0.4305555555555556</x:v>
      </x:c>
      <x:c r="S46" s="13" t="n">
        <x:v>8</x:v>
      </x:c>
      <x:c r="T46" s="13" t="n">
        <x:v>50</x:v>
      </x:c>
      <x:c r="U46" s="16" t="n">
        <x:v>342779.99582660454</x:v>
      </x:c>
      <x:c r="V46" s="17" t="n">
        <x:v>0.3336386407898699</x:v>
      </x:c>
      <x:c r="W46" s="17" t="n">
        <x:v>0.0307713600261841</x:v>
      </x:c>
      <x:c r="X46" s="16" t="n">
        <x:v>859.9999999999994</x:v>
      </x:c>
      <x:c r="Y46" s="16" t="n">
        <x:v>242.3236733708449</x:v>
      </x:c>
      <x:c r="Z46" s="16" t="n">
        <x:v>308.99729194001225</x:v>
      </x:c>
      <x:c r="AA46" s="16" t="n">
        <x:v>551.3209653108572</x:v>
      </x:c>
      <x:c r="AB46" s="16" t="n">
        <x:v>308.6790346891422</x:v>
      </x:c>
      <x:c r="AC46" s="16" t="n">
        <x:v>77898.36473599325</x:v>
      </x:c>
      <x:c r="AD46" s="13" t="n">
        <x:v>-121.73410365227234</x:v>
      </x:c>
      <x:c r="AE46" s="13" t="n">
        <x:v>0.3869277575150788</x:v>
      </x:c>
      <x:c r="AF46" s="13" t="n">
        <x:v>0.0028509148755109</x:v>
      </x:c>
      <x:c r="AG46" s="13" t="n">
        <x:v>0.0033718474556951</x:v>
      </x:c>
      <x:c r="AH46" s="13" t="n">
        <x:v>-0.0118949017200008</x:v>
      </x:c>
      <x:c r="AI46" s="13" t="n">
        <x:v>0.0640614393856863</x:v>
      </x:c>
      <x:c r="AJ46" s="13" t="n">
        <x:v>-0.0326439014172176</x:v>
      </x:c>
      <x:c r="AK46" s="13" t="n">
        <x:v>0.096705340802904</x:v>
      </x:c>
      <x:c r="AL46" s="13" t="n">
        <x:v>0.0157087689842343</x:v>
      </x:c>
      <x:c r="AM46" s="13" t="n">
        <x:v>-0.0033653170508609</x:v>
      </x:c>
    </x:row>
    <x:row r="47" ht="15" hidden="0" customHeight="1">
      <x:c r="A47" s="13" t="n">
        <x:v>989</x:v>
      </x:c>
      <x:c r="B47" s="13" t="str">
        <x:v>2022-11-02</x:v>
      </x:c>
      <x:c r="C47" s="13" t="str">
        <x:v>discovery_2021_2023</x:v>
      </x:c>
      <x:c r="D47" s="14" t="b">
        <x:v>0</x:v>
      </x:c>
      <x:c r="E47" s="13" t="str">
        <x:v>none</x:v>
      </x:c>
      <x:c r="F47" s="13" t="str">
        <x:v>pre_2024_11_20</x:v>
      </x:c>
      <x:c r="G47" s="14" t="b">
        <x:v>1</x:v>
      </x:c>
      <x:c r="H47" s="13"/>
      <x:c r="I47" s="13" t="str">
        <x:v>short_iron_fly</x:v>
      </x:c>
      <x:c r="J47" s="13" t="str">
        <x:v>2022-11-02 08:25:00+00:00</x:v>
      </x:c>
      <x:c r="K47" s="13" t="str">
        <x:v>2022-11-02 14:55:00+05:30</x:v>
      </x:c>
      <x:c r="L47" s="13" t="n">
        <x:v>8.065972222222221</x:v>
      </x:c>
      <x:c r="M47" s="13" t="n">
        <x:v>18072.8008</x:v>
      </x:c>
      <x:c r="N47" s="15" t="n">
        <x:v>0.2101483824723304</x:v>
      </x:c>
      <x:c r="O47" s="15" t="n">
        <x:v>0.1420055871053592</x:v>
      </x:c>
      <x:c r="P47" s="15" t="n">
        <x:v>0.0239967558865991</x:v>
      </x:c>
      <x:c r="Q47" s="15" t="n">
        <x:v>0.8584070796460177</x:v>
      </x:c>
      <x:c r="R47" s="13" t="n">
        <x:v>0.6944444444444444</x:v>
      </x:c>
      <x:c r="S47" s="13" t="n">
        <x:v>7</x:v>
      </x:c>
      <x:c r="T47" s="13" t="n">
        <x:v>50</x:v>
      </x:c>
      <x:c r="U47" s="16" t="n">
        <x:v>327318.7284100634</x:v>
      </x:c>
      <x:c r="V47" s="17" t="n">
        <x:v>0.318494008278812</x:v>
      </x:c>
      <x:c r="W47" s="17" t="n">
        <x:v>0.0157745998789139</x:v>
      </x:c>
      <x:c r="X47" s="16" t="n">
        <x:v>-245.00000000000347</x:v>
      </x:c>
      <x:c r="Y47" s="16" t="n">
        <x:v>296.2755203678662</x:v>
      </x:c>
      <x:c r="Z47" s="16" t="n">
        <x:v>379.5891612291018</x:v>
      </x:c>
      <x:c r="AA47" s="16" t="n">
        <x:v>675.864681596968</x:v>
      </x:c>
      <x:c r="AB47" s="16" t="n">
        <x:v>-920.8646815969714</x:v>
      </x:c>
      <x:c r="AC47" s="16" t="n">
        <x:v>157013.36499320876</x:v>
      </x:c>
      <x:c r="AD47" s="13" t="n">
        <x:v>-286.04436542611063</x:v>
      </x:c>
      <x:c r="AE47" s="13" t="n">
        <x:v>0.2854662893070429</x:v>
      </x:c>
      <x:c r="AF47" s="13" t="n">
        <x:v>0.0047453071937012</x:v>
      </x:c>
      <x:c r="AG47" s="13" t="n">
        <x:v>0.0021864476054921</x:v>
      </x:c>
      <x:c r="AH47" s="13" t="n">
        <x:v>-0.0005516127844549</x:v>
      </x:c>
      <x:c r="AI47" s="13" t="n">
        <x:v>0.0103941972725469</x:v>
      </x:c>
      <x:c r="AJ47" s="13" t="n">
        <x:v>-0.0094279849346167</x:v>
      </x:c>
      <x:c r="AK47" s="13" t="n">
        <x:v>0.0198221822071636</x:v>
      </x:c>
      <x:c r="AL47" s="13" t="n">
        <x:v>0.000483106168965</x:v>
      </x:c>
      <x:c r="AM47" s="13" t="n">
        <x:v>-0.0042583391871079</x:v>
      </x:c>
    </x:row>
    <x:row r="48" ht="15" hidden="0" customHeight="1">
      <x:c r="A48" s="13" t="n">
        <x:v>990</x:v>
      </x:c>
      <x:c r="B48" s="13" t="str">
        <x:v>2022-11-03</x:v>
      </x:c>
      <x:c r="C48" s="13" t="str">
        <x:v>discovery_2021_2023</x:v>
      </x:c>
      <x:c r="D48" s="14" t="b">
        <x:v>0</x:v>
      </x:c>
      <x:c r="E48" s="13" t="str">
        <x:v>none</x:v>
      </x:c>
      <x:c r="F48" s="13" t="str">
        <x:v>pre_2024_11_20</x:v>
      </x:c>
      <x:c r="G48" s="14" t="b">
        <x:v>1</x:v>
      </x:c>
      <x:c r="H48" s="13"/>
      <x:c r="I48" s="13" t="str">
        <x:v>short_iron_fly</x:v>
      </x:c>
      <x:c r="J48" s="13" t="str">
        <x:v>2022-11-03 05:34:00+00:00</x:v>
      </x:c>
      <x:c r="K48" s="13" t="str">
        <x:v>2022-11-03 12:04:00+05:30</x:v>
      </x:c>
      <x:c r="L48" s="13" t="n">
        <x:v>7.184722222222222</x:v>
      </x:c>
      <x:c r="M48" s="13" t="n">
        <x:v>18072.3008</x:v>
      </x:c>
      <x:c r="N48" s="15" t="n">
        <x:v>0.2431495538130793</x:v>
      </x:c>
      <x:c r="O48" s="15" t="n">
        <x:v>0.1751282417412746</x:v>
      </x:c>
      <x:c r="P48" s="15" t="n">
        <x:v>0.0284518044641092</x:v>
      </x:c>
      <x:c r="Q48" s="15" t="n">
        <x:v>0.8606194690265486</x:v>
      </x:c>
      <x:c r="R48" s="13" t="n">
        <x:v>0.4722222222222222</x:v>
      </x:c>
      <x:c r="S48" s="13" t="n">
        <x:v>8</x:v>
      </x:c>
      <x:c r="T48" s="13" t="n">
        <x:v>50</x:v>
      </x:c>
      <x:c r="U48" s="16" t="n">
        <x:v>354060.6496066319</x:v>
      </x:c>
      <x:c r="V48" s="17" t="n">
        <x:v>0.3448239255487301</x:v>
      </x:c>
      <x:c r="W48" s="17" t="n">
        <x:v>0.0321726614523195</x:v>
      </x:c>
      <x:c r="X48" s="16" t="n">
        <x:v>4519.999999999997</x:v>
      </x:c>
      <x:c r="Y48" s="16" t="n">
        <x:v>234.0206692864527</x:v>
      </x:c>
      <x:c r="Z48" s="16" t="n">
        <x:v>239.0749388232295</x:v>
      </x:c>
      <x:c r="AA48" s="16" t="n">
        <x:v>473.0956081096822</x:v>
      </x:c>
      <x:c r="AB48" s="16" t="n">
        <x:v>4046.9043918903153</x:v>
      </x:c>
      <x:c r="AC48" s="16" t="n">
        <x:v>64506.06753834232</x:v>
      </x:c>
      <x:c r="AD48" s="13" t="n">
        <x:v>344.64195969283395</x:v>
      </x:c>
      <x:c r="AE48" s="13" t="n">
        <x:v>0.4455481353233547</x:v>
      </x:c>
      <x:c r="AF48" s="13" t="n">
        <x:v>0.0077969105303051</x:v>
      </x:c>
      <x:c r="AG48" s="13" t="n">
        <x:v>0.0040567240724054</x:v>
      </x:c>
      <x:c r="AH48" s="13" t="n">
        <x:v>-0.0128192015538756</x:v>
      </x:c>
      <x:c r="AI48" s="13" t="n">
        <x:v>0.0659522569234207</x:v>
      </x:c>
      <x:c r="AJ48" s="13" t="n">
        <x:v>-0.0214441238307445</x:v>
      </x:c>
      <x:c r="AK48" s="13" t="n">
        <x:v>0.0873963807541653</x:v>
      </x:c>
      <x:c r="AL48" s="13" t="n">
        <x:v>0.022254066546338</x:v>
      </x:c>
      <x:c r="AM48" s="13" t="n">
        <x:v>-0.0003337938359222</x:v>
      </x:c>
    </x:row>
    <x:row r="49" ht="15" hidden="0" customHeight="1">
      <x:c r="A49" s="13" t="n">
        <x:v>991</x:v>
      </x:c>
      <x:c r="B49" s="13" t="str">
        <x:v>2022-11-10</x:v>
      </x:c>
      <x:c r="C49" s="13" t="str">
        <x:v>discovery_2021_2023</x:v>
      </x:c>
      <x:c r="D49" s="14" t="b">
        <x:v>0</x:v>
      </x:c>
      <x:c r="E49" s="13" t="str">
        <x:v>none</x:v>
      </x:c>
      <x:c r="F49" s="13" t="str">
        <x:v>pre_2024_11_20</x:v>
      </x:c>
      <x:c r="G49" s="14" t="b">
        <x:v>1</x:v>
      </x:c>
      <x:c r="H49" s="13"/>
      <x:c r="I49" s="13" t="str">
        <x:v>short_iron_fly</x:v>
      </x:c>
      <x:c r="J49" s="13" t="str">
        <x:v>2022-11-10 08:11:00+00:00</x:v>
      </x:c>
      <x:c r="K49" s="13" t="str">
        <x:v>2022-11-10 14:41:00+05:30</x:v>
      </x:c>
      <x:c r="L49" s="13" t="n">
        <x:v>7.075694444444444</x:v>
      </x:c>
      <x:c r="M49" s="13" t="n">
        <x:v>18001.25</x:v>
      </x:c>
      <x:c r="N49" s="15" t="n">
        <x:v>0.2144992012045928</x:v>
      </x:c>
      <x:c r="O49" s="15" t="n">
        <x:v>0.1318280367561988</x:v>
      </x:c>
      <x:c r="P49" s="15" t="n">
        <x:v>0.0286312760424146</x:v>
      </x:c>
      <x:c r="Q49" s="15" t="n">
        <x:v>0.8512035010940919</x:v>
      </x:c>
      <x:c r="R49" s="13" t="n">
        <x:v>0.8888888888888888</x:v>
      </x:c>
      <x:c r="S49" s="13" t="n">
        <x:v>7</x:v>
      </x:c>
      <x:c r="T49" s="13" t="n">
        <x:v>50</x:v>
      </x:c>
      <x:c r="U49" s="16" t="n">
        <x:v>305598.97940672975</x:v>
      </x:c>
      <x:c r="V49" s="17" t="n">
        <x:v>0.2964580832081173</x:v>
      </x:c>
      <x:c r="W49" s="17" t="n">
        <x:v>0.0381188327369835</x:v>
      </x:c>
      <x:c r="X49" s="16" t="n">
        <x:v>4830</x:v>
      </x:c>
      <x:c r="Y49" s="16" t="n">
        <x:v>208.20254817710168</x:v>
      </x:c>
      <x:c r="Z49" s="16" t="n">
        <x:v>174.76563671867535</x:v>
      </x:c>
      <x:c r="AA49" s="16" t="n">
        <x:v>382.968184895777</x:v>
      </x:c>
      <x:c r="AB49" s="16" t="n">
        <x:v>4447.031815104223</x:v>
      </x:c>
      <x:c r="AC49" s="16" t="n">
        <x:v>26709.2674725084</x:v>
      </x:c>
      <x:c r="AD49" s="13" t="n">
        <x:v>476.47925232329015</x:v>
      </x:c>
      <x:c r="AE49" s="13" t="n">
        <x:v>0.6847490426126429</x:v>
      </x:c>
      <x:c r="AF49" s="13" t="n">
        <x:v>0.0091732802162327</x:v>
      </x:c>
      <x:c r="AG49" s="13" t="n">
        <x:v>0.0068513684302788</x:v>
      </x:c>
      <x:c r="AH49" s="13" t="n">
        <x:v>-0.0009419440305637</x:v>
      </x:c>
      <x:c r="AI49" s="13" t="n">
        <x:v>0.0794880132100647</x:v>
      </x:c>
      <x:c r="AJ49" s="13" t="n">
        <x:v>0.0902922015665849</x:v>
      </x:c>
      <x:c r="AK49" s="13" t="n">
        <x:v>-0.0108041883565201</x:v>
      </x:c>
      <x:c r="AL49" s="13" t="n">
        <x:v>0.0848901073883248</x:v>
      </x:c>
      <x:c r="AM49" s="13" t="n">
        <x:v>0</x:v>
      </x:c>
    </x:row>
    <x:row r="50" ht="15" hidden="0" customHeight="1">
      <x:c r="A50" s="13" t="n">
        <x:v>992</x:v>
      </x:c>
      <x:c r="B50" s="13" t="str">
        <x:v>2022-11-17</x:v>
      </x:c>
      <x:c r="C50" s="13" t="str">
        <x:v>discovery_2021_2023</x:v>
      </x:c>
      <x:c r="D50" s="14" t="b">
        <x:v>0</x:v>
      </x:c>
      <x:c r="E50" s="13" t="str">
        <x:v>none</x:v>
      </x:c>
      <x:c r="F50" s="13" t="str">
        <x:v>pre_2024_11_20</x:v>
      </x:c>
      <x:c r="G50" s="14" t="b">
        <x:v>1</x:v>
      </x:c>
      <x:c r="H50" s="13"/>
      <x:c r="I50" s="13" t="str">
        <x:v>short_iron_fly</x:v>
      </x:c>
      <x:c r="J50" s="13" t="str">
        <x:v>2022-11-17 08:21:00+00:00</x:v>
      </x:c>
      <x:c r="K50" s="13" t="str">
        <x:v>2022-11-17 14:51:00+05:30</x:v>
      </x:c>
      <x:c r="L50" s="13" t="n">
        <x:v>14.06875</x:v>
      </x:c>
      <x:c r="M50" s="13" t="n">
        <x:v>18402.8008</x:v>
      </x:c>
      <x:c r="N50" s="15" t="n">
        <x:v>0.1905464581524755</x:v>
      </x:c>
      <x:c r="O50" s="15" t="n">
        <x:v>0.0991293773233527</x:v>
      </x:c>
      <x:c r="P50" s="15" t="n">
        <x:v>0.0264813192659374</x:v>
      </x:c>
      <x:c r="Q50" s="15" t="n">
        <x:v>0.8571428571428571</x:v>
      </x:c>
      <x:c r="R50" s="13" t="n">
        <x:v>0.875</x:v>
      </x:c>
      <x:c r="S50" s="13" t="n">
        <x:v>7</x:v>
      </x:c>
      <x:c r="T50" s="13" t="n">
        <x:v>50</x:v>
      </x:c>
      <x:c r="U50" s="16" t="n">
        <x:v>314188.6680510025</x:v>
      </x:c>
      <x:c r="V50" s="17" t="n">
        <x:v>0.303481617959162</x:v>
      </x:c>
      <x:c r="W50" s="17" t="n">
        <x:v>0.039831396588728</x:v>
      </x:c>
      <x:c r="X50" s="16" t="n">
        <x:v>4585</x:v>
      </x:c>
      <x:c r="Y50" s="16" t="n">
        <x:v>205.4544236372652</x:v>
      </x:c>
      <x:c r="Z50" s="16" t="n">
        <x:v>175.2662155296934</x:v>
      </x:c>
      <x:c r="AA50" s="16" t="n">
        <x:v>380.7206391669586</x:v>
      </x:c>
      <x:c r="AB50" s="16" t="n">
        <x:v>4204.279360833041</x:v>
      </x:c>
      <x:c r="AC50" s="16" t="n">
        <x:v>22785.762302299994</x:v>
      </x:c>
      <x:c r="AD50" s="13" t="n">
        <x:v>441.8940403750726</x:v>
      </x:c>
      <x:c r="AE50" s="13" t="n">
        <x:v>0.542483555184574</x:v>
      </x:c>
      <x:c r="AF50" s="13" t="n">
        <x:v>0.0056881852654012</x:v>
      </x:c>
      <x:c r="AG50" s="13" t="n">
        <x:v>0.0051892449614906</x:v>
      </x:c>
      <x:c r="AH50" s="13" t="n">
        <x:v>-0.0012641199229087</x:v>
      </x:c>
      <x:c r="AI50" s="13" t="n">
        <x:v>0.130502315911395</x:v>
      </x:c>
      <x:c r="AJ50" s="13" t="n">
        <x:v>0.0669225540745528</x:v>
      </x:c>
      <x:c r="AK50" s="13" t="n">
        <x:v>0.0635797618368422</x:v>
      </x:c>
      <x:c r="AL50" s="13" t="n">
        <x:v>0.0987124349929739</x:v>
      </x:c>
      <x:c r="AM50" s="13" t="n">
        <x:v>0</x:v>
      </x:c>
    </x:row>
    <x:row r="51" ht="15" hidden="0" customHeight="1">
      <x:c r="A51" s="13" t="n">
        <x:v>995</x:v>
      </x:c>
      <x:c r="B51" s="13" t="str">
        <x:v>2022-12-08</x:v>
      </x:c>
      <x:c r="C51" s="13" t="str">
        <x:v>discovery_2021_2023</x:v>
      </x:c>
      <x:c r="D51" s="14" t="b">
        <x:v>1</x:v>
      </x:c>
      <x:c r="E51" s="13" t="str">
        <x:v>rbi_mpc</x:v>
      </x:c>
      <x:c r="F51" s="13" t="str">
        <x:v>pre_2024_11_20</x:v>
      </x:c>
      <x:c r="G51" s="14" t="b">
        <x:v>1</x:v>
      </x:c>
      <x:c r="H51" s="13"/>
      <x:c r="I51" s="13" t="str">
        <x:v>short_iron_fly</x:v>
      </x:c>
      <x:c r="J51" s="13" t="str">
        <x:v>2022-12-08 07:49:00+00:00</x:v>
      </x:c>
      <x:c r="K51" s="13" t="str">
        <x:v>2022-12-08 14:19:00+05:30</x:v>
      </x:c>
      <x:c r="L51" s="13" t="n">
        <x:v>7.090972222222222</x:v>
      </x:c>
      <x:c r="M51" s="13" t="n">
        <x:v>18586.25</x:v>
      </x:c>
      <x:c r="N51" s="15" t="n">
        <x:v>0.2092514360434441</x:v>
      </x:c>
      <x:c r="O51" s="15" t="n">
        <x:v>0.1047020214874061</x:v>
      </x:c>
      <x:c r="P51" s="15" t="n">
        <x:v>0.0328236501826943</x:v>
      </x:c>
      <x:c r="Q51" s="15" t="n">
        <x:v>0.8658280922431866</x:v>
      </x:c>
      <x:c r="R51" s="13" t="n">
        <x:v>0.7361111111111112</x:v>
      </x:c>
      <x:c r="S51" s="13" t="n">
        <x:v>7</x:v>
      </x:c>
      <x:c r="T51" s="13" t="n">
        <x:v>50</x:v>
      </x:c>
      <x:c r="U51" s="16" t="n">
        <x:v>312700.4571041132</x:v>
      </x:c>
      <x:c r="V51" s="17" t="n">
        <x:v>0.300822481511344</x:v>
      </x:c>
      <x:c r="W51" s="17" t="n">
        <x:v>0.036673619112831</x:v>
      </x:c>
      <x:c r="X51" s="16" t="n">
        <x:v>1925.000000000001</x:v>
      </x:c>
      <x:c r="Y51" s="16" t="n">
        <x:v>212.1944714209525</x:v>
      </x:c>
      <x:c r="Z51" s="16" t="n">
        <x:v>173.34352790718043</x:v>
      </x:c>
      <x:c r="AA51" s="16" t="n">
        <x:v>385.53799932813297</x:v>
      </x:c>
      <x:c r="AB51" s="16" t="n">
        <x:v>1539.4620006718678</x:v>
      </x:c>
      <x:c r="AC51" s="16" t="n">
        <x:v>33530.33574350082</x:v>
      </x:c>
      <x:c r="AD51" s="13" t="n">
        <x:v>60.91676012428803</x:v>
      </x:c>
      <x:c r="AE51" s="13" t="n">
        <x:v>0.1732609970866498</x:v>
      </x:c>
      <x:c r="AF51" s="13" t="n">
        <x:v>0.0027910475131886</x:v>
      </x:c>
      <x:c r="AG51" s="13" t="n">
        <x:v>0.0085687374290111</x:v>
      </x:c>
      <x:c r="AH51" s="13" t="n">
        <x:v>-0.02283624899847</x:v>
      </x:c>
      <x:c r="AI51" s="13" t="n">
        <x:v>0.0768627741980206</x:v>
      </x:c>
      <x:c r="AJ51" s="13" t="n">
        <x:v>0.0875530886452488</x:v>
      </x:c>
      <x:c r="AK51" s="13" t="n">
        <x:v>-0.0106903144472282</x:v>
      </x:c>
      <x:c r="AL51" s="13" t="n">
        <x:v>0.0822079314216347</x:v>
      </x:c>
      <x:c r="AM51" s="13" t="n">
        <x:v>0</x:v>
      </x:c>
    </x:row>
    <x:row r="52" ht="15" hidden="0" customHeight="1">
      <x:c r="A52" s="13" t="n">
        <x:v>996</x:v>
      </x:c>
      <x:c r="B52" s="13" t="str">
        <x:v>2022-12-15</x:v>
      </x:c>
      <x:c r="C52" s="13" t="str">
        <x:v>discovery_2021_2023</x:v>
      </x:c>
      <x:c r="D52" s="14" t="b">
        <x:v>0</x:v>
      </x:c>
      <x:c r="E52" s="13" t="str">
        <x:v>none</x:v>
      </x:c>
      <x:c r="F52" s="13" t="str">
        <x:v>pre_2024_11_20</x:v>
      </x:c>
      <x:c r="G52" s="14" t="b">
        <x:v>1</x:v>
      </x:c>
      <x:c r="H52" s="13"/>
      <x:c r="I52" s="13" t="str">
        <x:v>short_iron_fly</x:v>
      </x:c>
      <x:c r="J52" s="13" t="str">
        <x:v>2022-12-15 07:28:00+00:00</x:v>
      </x:c>
      <x:c r="K52" s="13" t="str">
        <x:v>2022-12-15 13:58:00+05:30</x:v>
      </x:c>
      <x:c r="L52" s="13" t="n">
        <x:v>7.105555555555555</x:v>
      </x:c>
      <x:c r="M52" s="13" t="n">
        <x:v>18518.3008</x:v>
      </x:c>
      <x:c r="N52" s="15" t="n">
        <x:v>0.2074189887413431</x:v>
      </x:c>
      <x:c r="O52" s="15" t="n">
        <x:v>0.1114907606519598</x:v>
      </x:c>
      <x:c r="P52" s="15" t="n">
        <x:v>0.0305924471797288</x:v>
      </x:c>
      <x:c r="Q52" s="15" t="n">
        <x:v>0.8506224066390041</x:v>
      </x:c>
      <x:c r="R52" s="13" t="n">
        <x:v>0.8194444444444444</x:v>
      </x:c>
      <x:c r="S52" s="13" t="n">
        <x:v>8</x:v>
      </x:c>
      <x:c r="T52" s="13" t="n">
        <x:v>50</x:v>
      </x:c>
      <x:c r="U52" s="16" t="n">
        <x:v>358992.8072722229</x:v>
      </x:c>
      <x:c r="V52" s="17" t="n">
        <x:v>0.3448456981357901</x:v>
      </x:c>
      <x:c r="W52" s="17" t="n">
        <x:v>0.0394750220589947</x:v>
      </x:c>
      <x:c r="X52" s="16" t="n">
        <x:v>3580.000000000001</x:v>
      </x:c>
      <x:c r="Y52" s="16" t="n">
        <x:v>219.48986701317068</x:v>
      </x:c>
      <x:c r="Z52" s="16" t="n">
        <x:v>204.594585380126</x:v>
      </x:c>
      <x:c r="AA52" s="16" t="n">
        <x:v>424.0844523932967</x:v>
      </x:c>
      <x:c r="AB52" s="16" t="n">
        <x:v>3155.9155476067044</x:v>
      </x:c>
      <x:c r="AC52" s="16" t="n">
        <x:v>43617.10498856931</x:v>
      </x:c>
      <x:c r="AD52" s="13" t="n">
        <x:v>232.64877149054144</x:v>
      </x:c>
      <x:c r="AE52" s="13" t="n">
        <x:v>0.6894909137227571</x:v>
      </x:c>
      <x:c r="AF52" s="13" t="n">
        <x:v>0.0049750329422312</x:v>
      </x:c>
      <x:c r="AG52" s="13" t="n">
        <x:v>0.0161395533930132</x:v>
      </x:c>
      <x:c r="AH52" s="13" t="n">
        <x:v>-0.0007679524541411</x:v>
      </x:c>
      <x:c r="AI52" s="13" t="n">
        <x:v>0.0850914367422333</x:v>
      </x:c>
      <x:c r="AJ52" s="13" t="n">
        <x:v>0.063188361831497</x:v>
      </x:c>
      <x:c r="AK52" s="13" t="n">
        <x:v>0.0219030749107362</x:v>
      </x:c>
      <x:c r="AL52" s="13" t="n">
        <x:v>0.0741398992868651</x:v>
      </x:c>
      <x:c r="AM52" s="13" t="n">
        <x:v>0</x:v>
      </x:c>
    </x:row>
    <x:row r="53" ht="15" hidden="0" customHeight="1">
      <x:c r="A53" s="13" t="n">
        <x:v>997</x:v>
      </x:c>
      <x:c r="B53" s="13" t="str">
        <x:v>2022-12-22</x:v>
      </x:c>
      <x:c r="C53" s="13" t="str">
        <x:v>discovery_2021_2023</x:v>
      </x:c>
      <x:c r="D53" s="14" t="b">
        <x:v>0</x:v>
      </x:c>
      <x:c r="E53" s="13" t="str">
        <x:v>none</x:v>
      </x:c>
      <x:c r="F53" s="13" t="str">
        <x:v>pre_2024_11_20</x:v>
      </x:c>
      <x:c r="G53" s="14" t="b">
        <x:v>1</x:v>
      </x:c>
      <x:c r="H53" s="13"/>
      <x:c r="I53" s="13" t="str">
        <x:v>short_iron_fly</x:v>
      </x:c>
      <x:c r="J53" s="13" t="str">
        <x:v>2022-12-22 06:21:00+00:00</x:v>
      </x:c>
      <x:c r="K53" s="13" t="str">
        <x:v>2022-12-22 12:51:00+05:30</x:v>
      </x:c>
      <x:c r="L53" s="13" t="n">
        <x:v>14.152083333333334</x:v>
      </x:c>
      <x:c r="M53" s="13" t="n">
        <x:v>18084.0508</x:v>
      </x:c>
      <x:c r="N53" s="15" t="n">
        <x:v>0.3068486019701584</x:v>
      </x:c>
      <x:c r="O53" s="15" t="n">
        <x:v>0.2421948775803825</x:v>
      </x:c>
      <x:c r="P53" s="15" t="n">
        <x:v>0.0354977058048642</x:v>
      </x:c>
      <x:c r="Q53" s="15" t="n">
        <x:v>0.864476386036961</x:v>
      </x:c>
      <x:c r="R53" s="13" t="n">
        <x:v>0.4583333333333333</x:v>
      </x:c>
      <x:c r="S53" s="13" t="n">
        <x:v>8</x:v>
      </x:c>
      <x:c r="T53" s="13" t="n">
        <x:v>50</x:v>
      </x:c>
      <x:c r="U53" s="16" t="n">
        <x:v>359636.81273169874</x:v>
      </x:c>
      <x:c r="V53" s="17" t="n">
        <x:v>0.3444201984324091</x:v>
      </x:c>
      <x:c r="W53" s="17" t="n">
        <x:v>0.0304108986162771</x:v>
      </x:c>
      <x:c r="X53" s="16" t="n">
        <x:v>3560.000000000001</x:v>
      </x:c>
      <x:c r="Y53" s="16" t="n">
        <x:v>241.8256692659892</x:v>
      </x:c>
      <x:c r="Z53" s="16" t="n">
        <x:v>248.4231453782452</x:v>
      </x:c>
      <x:c r="AA53" s="16" t="n">
        <x:v>490.2488146442344</x:v>
      </x:c>
      <x:c r="AB53" s="16" t="n">
        <x:v>3069.7511853557667</x:v>
      </x:c>
      <x:c r="AC53" s="16" t="n">
        <x:v>76225.35314144478</x:v>
      </x:c>
      <x:c r="AD53" s="13" t="n">
        <x:v>222.4722709573764</x:v>
      </x:c>
      <x:c r="AE53" s="13" t="n">
        <x:v>1.0786091713011683</x:v>
      </x:c>
      <x:c r="AF53" s="13" t="n">
        <x:v>0.0080469393327553</x:v>
      </x:c>
      <x:c r="AG53" s="13" t="n">
        <x:v>0.0117951696029959</x:v>
      </x:c>
      <x:c r="AH53" s="13" t="n">
        <x:v>0.0045458412846136</x:v>
      </x:c>
      <x:c r="AI53" s="13" t="n">
        <x:v>0.0216848556727724</x:v>
      </x:c>
      <x:c r="AJ53" s="13" t="n">
        <x:v>0.0538327102750326</x:v>
      </x:c>
      <x:c r="AK53" s="13" t="n">
        <x:v>-0.0321478546022602</x:v>
      </x:c>
      <x:c r="AL53" s="13" t="n">
        <x:v>0.0377587829739025</x:v>
      </x:c>
      <x:c r="AM53" s="13" t="n">
        <x:v>0</x:v>
      </x:c>
    </x:row>
    <x:row r="54" ht="15" hidden="0" customHeight="1">
      <x:c r="A54" s="13" t="n">
        <x:v>1001</x:v>
      </x:c>
      <x:c r="B54" s="13" t="str">
        <x:v>2023-01-19</x:v>
      </x:c>
      <x:c r="C54" s="13" t="str">
        <x:v>discovery_2021_2023</x:v>
      </x:c>
      <x:c r="D54" s="14" t="b">
        <x:v>0</x:v>
      </x:c>
      <x:c r="E54" s="13" t="str">
        <x:v>none</x:v>
      </x:c>
      <x:c r="F54" s="13" t="str">
        <x:v>pre_2024_11_20</x:v>
      </x:c>
      <x:c r="G54" s="14" t="b">
        <x:v>1</x:v>
      </x:c>
      <x:c r="H54" s="13"/>
      <x:c r="I54" s="13" t="str">
        <x:v>short_iron_fly</x:v>
      </x:c>
      <x:c r="J54" s="13" t="str">
        <x:v>2023-01-19 05:28:00+00:00</x:v>
      </x:c>
      <x:c r="K54" s="13" t="str">
        <x:v>2023-01-19 11:58:00+05:30</x:v>
      </x:c>
      <x:c r="L54" s="13" t="n">
        <x:v>14.188888888888888</x:v>
      </x:c>
      <x:c r="M54" s="13" t="n">
        <x:v>18123.5508</x:v>
      </x:c>
      <x:c r="N54" s="15" t="n">
        <x:v>0.2225892806668535</x:v>
      </x:c>
      <x:c r="O54" s="15" t="n">
        <x:v>0.1555130235250982</x:v>
      </x:c>
      <x:c r="P54" s="15" t="n">
        <x:v>0.0253616873818695</x:v>
      </x:c>
      <x:c r="Q54" s="15" t="n">
        <x:v>0.8675889328063241</x:v>
      </x:c>
      <x:c r="R54" s="13" t="n">
        <x:v>0.6111111111111112</x:v>
      </x:c>
      <x:c r="S54" s="13" t="n">
        <x:v>8</x:v>
      </x:c>
      <x:c r="T54" s="13" t="n">
        <x:v>50</x:v>
      </x:c>
      <x:c r="U54" s="16" t="n">
        <x:v>356776.71298375493</x:v>
      </x:c>
      <x:c r="V54" s="17" t="n">
        <x:v>0.3406795600175973</x:v>
      </x:c>
      <x:c r="W54" s="17" t="n">
        <x:v>0.0332054994747151</x:v>
      </x:c>
      <x:c r="X54" s="16" t="n">
        <x:v>2540</x:v>
      </x:c>
      <x:c r="Y54" s="16" t="n">
        <x:v>231.60653189650333</x:v>
      </x:c>
      <x:c r="Z54" s="16" t="n">
        <x:v>221.29769961642472</x:v>
      </x:c>
      <x:c r="AA54" s="16" t="n">
        <x:v>452.9042315129281</x:v>
      </x:c>
      <x:c r="AB54" s="16" t="n">
        <x:v>2087.095768487072</x:v>
      </x:c>
      <x:c r="AC54" s="16" t="n">
        <x:v>61656.75594720015</x:v>
      </x:c>
      <x:c r="AD54" s="13" t="n">
        <x:v>99.21531252093496</x:v>
      </x:c>
      <x:c r="AE54" s="13" t="n">
        <x:v>0.6344490190635813</x:v>
      </x:c>
      <x:c r="AF54" s="13" t="n">
        <x:v>0.0066336715621976</x:v>
      </x:c>
      <x:c r="AG54" s="13" t="n">
        <x:v>0.0062637006049127</x:v>
      </x:c>
      <x:c r="AH54" s="13" t="n">
        <x:v>-0.0029184804379206</x:v>
      </x:c>
      <x:c r="AI54" s="13" t="n">
        <x:v>0.0609710714818122</x:v>
      </x:c>
      <x:c r="AJ54" s="13" t="n">
        <x:v>-0.0006148644313346</x:v>
      </x:c>
      <x:c r="AK54" s="13" t="n">
        <x:v>0.0615859359131469</x:v>
      </x:c>
      <x:c r="AL54" s="13" t="n">
        <x:v>0.0301781035252387</x:v>
      </x:c>
      <x:c r="AM54" s="13" t="n">
        <x:v>0</x:v>
      </x:c>
    </x:row>
    <x:row r="55" ht="15" hidden="0" customHeight="1">
      <x:c r="A55" s="13" t="n">
        <x:v>1002</x:v>
      </x:c>
      <x:c r="B55" s="13" t="str">
        <x:v>2023-01-25</x:v>
      </x:c>
      <x:c r="C55" s="13" t="str">
        <x:v>discovery_2021_2023</x:v>
      </x:c>
      <x:c r="D55" s="14" t="b">
        <x:v>1</x:v>
      </x:c>
      <x:c r="E55" s="13" t="str">
        <x:v>union_budget</x:v>
      </x:c>
      <x:c r="F55" s="13" t="str">
        <x:v>pre_2024_11_20</x:v>
      </x:c>
      <x:c r="G55" s="14" t="b">
        <x:v>0</x:v>
      </x:c>
      <x:c r="H55" s="13" t="str">
        <x:v>confidence_score_at_or_below_0.40</x:v>
      </x:c>
      <x:c r="I55" s="13"/>
      <x:c r="J55" s="13" t="str">
        <x:v>2023-01-25 08:19:00+00:00</x:v>
      </x:c>
      <x:c r="K55" s="13"/>
      <x:c r="L55" s="13"/>
      <x:c r="M55" s="13" t="n">
        <x:v>17916.9004</x:v>
      </x:c>
      <x:c r="N55" s="15" t="n">
        <x:v>0.2478882313687649</x:v>
      </x:c>
      <x:c r="O55" s="15" t="n">
        <x:v>0.1696336848962651</x:v>
      </x:c>
      <x:c r="P55" s="15" t="n">
        <x:v>0.032672988199649</x:v>
      </x:c>
      <x:c r="Q55" s="15" t="n">
        <x:v>0.8786692759295499</x:v>
      </x:c>
      <x:c r="R55" s="13" t="n">
        <x:v>0.3055555555555556</x:v>
      </x:c>
      <x:c r="S55" s="13" t="n">
        <x:v>0</x:v>
      </x:c>
      <x:c r="T55" s="13"/>
      <x:c r="U55" s="16" t="n">
        <x:v>0</x:v>
      </x:c>
      <x:c r="V55" s="17" t="n">
        <x:v>0</x:v>
      </x:c>
      <x:c r="W55" s="17" t="n">
        <x:v>0</x:v>
      </x:c>
      <x:c r="X55" s="16" t="n">
        <x:v>0</x:v>
      </x:c>
      <x:c r="Y55" s="16" t="n">
        <x:v>0</x:v>
      </x:c>
      <x:c r="Z55" s="16" t="n">
        <x:v>0</x:v>
      </x:c>
      <x:c r="AA55" s="16" t="n">
        <x:v>0</x:v>
      </x:c>
      <x:c r="AB55" s="16" t="n">
        <x:v>0</x:v>
      </x:c>
      <x:c r="AC55" s="16" t="n">
        <x:v>0</x:v>
      </x:c>
      <x:c r="AD55" s="13" t="n">
        <x:v>840.9220225999154</x:v>
      </x:c>
      <x:c r="AE55" s="13" t="n">
        <x:v>0.117661603725187</x:v>
      </x:c>
      <x:c r="AF55" s="13" t="n">
        <x:v>0.00046070837005</x:v>
      </x:c>
      <x:c r="AG55" s="13" t="n">
        <x:v>0.0045368846365298</x:v>
      </x:c>
      <x:c r="AH55" s="13" t="n">
        <x:v>-0.0231738149158502</x:v>
      </x:c>
      <x:c r="AI55" s="13" t="n">
        <x:v>0.1242823992464489</x:v>
      </x:c>
      <x:c r="AJ55" s="13" t="n">
        <x:v>0.0588409717836822</x:v>
      </x:c>
      <x:c r="AK55" s="13" t="n">
        <x:v>0.0654414274627667</x:v>
      </x:c>
      <x:c r="AL55" s="13" t="n">
        <x:v>0.0915616855150656</x:v>
      </x:c>
      <x:c r="AM55" s="13" t="n">
        <x:v>0</x:v>
      </x:c>
    </x:row>
    <x:row r="56" ht="15" hidden="0" customHeight="1">
      <x:c r="A56" s="13" t="n">
        <x:v>1003</x:v>
      </x:c>
      <x:c r="B56" s="13" t="str">
        <x:v>2023-01-31</x:v>
      </x:c>
      <x:c r="C56" s="13" t="str">
        <x:v>discovery_2021_2023</x:v>
      </x:c>
      <x:c r="D56" s="14" t="b">
        <x:v>1</x:v>
      </x:c>
      <x:c r="E56" s="13" t="str">
        <x:v>union_budget</x:v>
      </x:c>
      <x:c r="F56" s="13" t="str">
        <x:v>pre_2024_11_20</x:v>
      </x:c>
      <x:c r="G56" s="14" t="b">
        <x:v>0</x:v>
      </x:c>
      <x:c r="H56" s="13" t="str">
        <x:v>confidence_score_at_or_below_0.40</x:v>
      </x:c>
      <x:c r="I56" s="13"/>
      <x:c r="J56" s="13" t="str">
        <x:v>2023-01-31 06:15:00+00:00</x:v>
      </x:c>
      <x:c r="K56" s="13"/>
      <x:c r="L56" s="13"/>
      <x:c r="M56" s="13" t="n">
        <x:v>17620.0508</x:v>
      </x:c>
      <x:c r="N56" s="15" t="n">
        <x:v>0.285727839854295</x:v>
      </x:c>
      <x:c r="O56" s="15" t="n">
        <x:v>0.2087528018756657</x:v>
      </x:c>
      <x:c r="P56" s="15" t="n">
        <x:v>0.0380626661768607</x:v>
      </x:c>
      <x:c r="Q56" s="15" t="n">
        <x:v>0.8735408560311284</x:v>
      </x:c>
      <x:c r="R56" s="13" t="n">
        <x:v>0.1388888888888889</x:v>
      </x:c>
      <x:c r="S56" s="13" t="n">
        <x:v>0</x:v>
      </x:c>
      <x:c r="T56" s="13"/>
      <x:c r="U56" s="16" t="n">
        <x:v>0</x:v>
      </x:c>
      <x:c r="V56" s="17" t="n">
        <x:v>0</x:v>
      </x:c>
      <x:c r="W56" s="17" t="n">
        <x:v>0</x:v>
      </x:c>
      <x:c r="X56" s="16" t="n">
        <x:v>0</x:v>
      </x:c>
      <x:c r="Y56" s="16" t="n">
        <x:v>0</x:v>
      </x:c>
      <x:c r="Z56" s="16" t="n">
        <x:v>0</x:v>
      </x:c>
      <x:c r="AA56" s="16" t="n">
        <x:v>0</x:v>
      </x:c>
      <x:c r="AB56" s="16" t="n">
        <x:v>0</x:v>
      </x:c>
      <x:c r="AC56" s="16" t="n">
        <x:v>0</x:v>
      </x:c>
      <x:c r="AD56" s="13" t="n">
        <x:v>-364.0984296452814</x:v>
      </x:c>
      <x:c r="AE56" s="13" t="n">
        <x:v>0.1054915017531919</x:v>
      </x:c>
      <x:c r="AF56" s="13" t="n">
        <x:v>0.0003646311151462</x:v>
      </x:c>
      <x:c r="AG56" s="13" t="n">
        <x:v>0.0001844792154703</x:v>
      </x:c>
      <x:c r="AH56" s="13" t="n">
        <x:v>-0.0199361488875026</x:v>
      </x:c>
      <x:c r="AI56" s="13" t="n">
        <x:v>0.0052917721098275</x:v>
      </x:c>
      <x:c r="AJ56" s="13" t="n">
        <x:v>-0.0029525856526005</x:v>
      </x:c>
      <x:c r="AK56" s="13" t="n">
        <x:v>0.0082443577624281</x:v>
      </x:c>
      <x:c r="AL56" s="13" t="n">
        <x:v>0.0011695932286134</x:v>
      </x:c>
      <x:c r="AM56" s="13" t="n">
        <x:v>0</x:v>
      </x:c>
    </x:row>
    <x:row r="57" ht="15" hidden="0" customHeight="1">
      <x:c r="A57" s="13" t="n">
        <x:v>1004</x:v>
      </x:c>
      <x:c r="B57" s="13" t="str">
        <x:v>2023-02-02</x:v>
      </x:c>
      <x:c r="C57" s="13" t="str">
        <x:v>discovery_2021_2023</x:v>
      </x:c>
      <x:c r="D57" s="14" t="b">
        <x:v>1</x:v>
      </x:c>
      <x:c r="E57" s="13" t="str">
        <x:v>rbi_mpc|union_budget</x:v>
      </x:c>
      <x:c r="F57" s="13" t="str">
        <x:v>pre_2024_11_20</x:v>
      </x:c>
      <x:c r="G57" s="14" t="b">
        <x:v>0</x:v>
      </x:c>
      <x:c r="H57" s="13" t="str">
        <x:v>confidence_score_at_or_below_0.40</x:v>
      </x:c>
      <x:c r="I57" s="13"/>
      <x:c r="J57" s="13" t="str">
        <x:v>2023-02-02 06:50:00+00:00</x:v>
      </x:c>
      <x:c r="K57" s="13"/>
      <x:c r="L57" s="13"/>
      <x:c r="M57" s="13" t="n">
        <x:v>17589.3008</x:v>
      </x:c>
      <x:c r="N57" s="15" t="n">
        <x:v>0.345441872616382</x:v>
      </x:c>
      <x:c r="O57" s="15" t="n">
        <x:v>0.287906558791466</x:v>
      </x:c>
      <x:c r="P57" s="15" t="n">
        <x:v>0.0364399007615688</x:v>
      </x:c>
      <x:c r="Q57" s="15" t="n">
        <x:v>0.8604651162790697</x:v>
      </x:c>
      <x:c r="R57" s="13" t="n">
        <x:v>0.2083333333333333</x:v>
      </x:c>
      <x:c r="S57" s="13" t="n">
        <x:v>0</x:v>
      </x:c>
      <x:c r="T57" s="13"/>
      <x:c r="U57" s="16" t="n">
        <x:v>0</x:v>
      </x:c>
      <x:c r="V57" s="17" t="n">
        <x:v>0</x:v>
      </x:c>
      <x:c r="W57" s="17" t="n">
        <x:v>0</x:v>
      </x:c>
      <x:c r="X57" s="16" t="n">
        <x:v>0</x:v>
      </x:c>
      <x:c r="Y57" s="16" t="n">
        <x:v>0</x:v>
      </x:c>
      <x:c r="Z57" s="16" t="n">
        <x:v>0</x:v>
      </x:c>
      <x:c r="AA57" s="16" t="n">
        <x:v>0</x:v>
      </x:c>
      <x:c r="AB57" s="16" t="n">
        <x:v>0</x:v>
      </x:c>
      <x:c r="AC57" s="16" t="n">
        <x:v>0</x:v>
      </x:c>
      <x:c r="AD57" s="13" t="n">
        <x:v>80.2365645006472</x:v>
      </x:c>
      <x:c r="AE57" s="13" t="n">
        <x:v>0.189971752170038</x:v>
      </x:c>
      <x:c r="AF57" s="13" t="n">
        <x:v>0.0010315631237947</x:v>
      </x:c>
      <x:c r="AG57" s="13" t="n">
        <x:v>0.0079261963063775</x:v>
      </x:c>
      <x:c r="AH57" s="13" t="n">
        <x:v>-0.0169968704227328</x:v>
      </x:c>
      <x:c r="AI57" s="13" t="n">
        <x:v>0.073577444690943</x:v>
      </x:c>
      <x:c r="AJ57" s="13" t="n">
        <x:v>0.0040863625151756</x:v>
      </x:c>
      <x:c r="AK57" s="13" t="n">
        <x:v>0.0694910821757673</x:v>
      </x:c>
      <x:c r="AL57" s="13" t="n">
        <x:v>0.0388319036030593</x:v>
      </x:c>
      <x:c r="AM57" s="13" t="n">
        <x:v>0</x:v>
      </x:c>
    </x:row>
    <x:row r="58" ht="15" hidden="0" customHeight="1">
      <x:c r="A58" s="13" t="n">
        <x:v>1006</x:v>
      </x:c>
      <x:c r="B58" s="13" t="str">
        <x:v>2023-02-16</x:v>
      </x:c>
      <x:c r="C58" s="13" t="str">
        <x:v>discovery_2021_2023</x:v>
      </x:c>
      <x:c r="D58" s="14" t="b">
        <x:v>0</x:v>
      </x:c>
      <x:c r="E58" s="13" t="str">
        <x:v>none</x:v>
      </x:c>
      <x:c r="F58" s="13" t="str">
        <x:v>pre_2024_11_20</x:v>
      </x:c>
      <x:c r="G58" s="14" t="b">
        <x:v>0</x:v>
      </x:c>
      <x:c r="H58" s="13" t="str">
        <x:v>confidence_score_at_or_below_0.40</x:v>
      </x:c>
      <x:c r="I58" s="13"/>
      <x:c r="J58" s="13" t="str">
        <x:v>2023-02-16 07:12:00+00:00</x:v>
      </x:c>
      <x:c r="K58" s="13"/>
      <x:c r="L58" s="13"/>
      <x:c r="M58" s="13" t="n">
        <x:v>18065.0508</x:v>
      </x:c>
      <x:c r="N58" s="15" t="n">
        <x:v>0.2221399574455541</x:v>
      </x:c>
      <x:c r="O58" s="15" t="n">
        <x:v>0.1280734637756865</x:v>
      </x:c>
      <x:c r="P58" s="15" t="n">
        <x:v>0.0329433485704105</x:v>
      </x:c>
      <x:c r="Q58" s="15" t="n">
        <x:v>0.8517110266159695</x:v>
      </x:c>
      <x:c r="R58" s="13" t="n">
        <x:v>0.3333333333333333</x:v>
      </x:c>
      <x:c r="S58" s="13" t="n">
        <x:v>0</x:v>
      </x:c>
      <x:c r="T58" s="13"/>
      <x:c r="U58" s="16" t="n">
        <x:v>0</x:v>
      </x:c>
      <x:c r="V58" s="17" t="n">
        <x:v>0</x:v>
      </x:c>
      <x:c r="W58" s="17" t="n">
        <x:v>0</x:v>
      </x:c>
      <x:c r="X58" s="16" t="n">
        <x:v>0</x:v>
      </x:c>
      <x:c r="Y58" s="16" t="n">
        <x:v>0</x:v>
      </x:c>
      <x:c r="Z58" s="16" t="n">
        <x:v>0</x:v>
      </x:c>
      <x:c r="AA58" s="16" t="n">
        <x:v>0</x:v>
      </x:c>
      <x:c r="AB58" s="16" t="n">
        <x:v>0</x:v>
      </x:c>
      <x:c r="AC58" s="16" t="n">
        <x:v>0</x:v>
      </x:c>
      <x:c r="AD58" s="13" t="n">
        <x:v>-463.9679351953805</x:v>
      </x:c>
      <x:c r="AE58" s="13" t="n">
        <x:v>0.1266842815072288</x:v>
      </x:c>
      <x:c r="AF58" s="13" t="n">
        <x:v>0.0005319381851473</x:v>
      </x:c>
      <x:c r="AG58" s="13" t="n">
        <x:v>0.0196600777239086</x:v>
      </x:c>
      <x:c r="AH58" s="13" t="n">
        <x:v>-0.0048839225077552</x:v>
      </x:c>
      <x:c r="AI58" s="13" t="n">
        <x:v>0.1003359330741091</x:v>
      </x:c>
      <x:c r="AJ58" s="13" t="n">
        <x:v>0.0372009674488817</x:v>
      </x:c>
      <x:c r="AK58" s="13" t="n">
        <x:v>0.0631349656252274</x:v>
      </x:c>
      <x:c r="AL58" s="13" t="n">
        <x:v>0.0687684502614954</x:v>
      </x:c>
      <x:c r="AM58" s="13" t="n">
        <x:v>0</x:v>
      </x:c>
    </x:row>
    <x:row r="59" ht="15" hidden="0" customHeight="1">
      <x:c r="A59" s="13" t="n">
        <x:v>1007</x:v>
      </x:c>
      <x:c r="B59" s="13" t="str">
        <x:v>2023-02-23</x:v>
      </x:c>
      <x:c r="C59" s="13" t="str">
        <x:v>discovery_2021_2023</x:v>
      </x:c>
      <x:c r="D59" s="14" t="b">
        <x:v>0</x:v>
      </x:c>
      <x:c r="E59" s="13" t="str">
        <x:v>none</x:v>
      </x:c>
      <x:c r="F59" s="13" t="str">
        <x:v>pre_2024_11_20</x:v>
      </x:c>
      <x:c r="G59" s="14" t="b">
        <x:v>0</x:v>
      </x:c>
      <x:c r="H59" s="13" t="str">
        <x:v>confidence_score_at_or_below_0.40</x:v>
      </x:c>
      <x:c r="I59" s="13"/>
      <x:c r="J59" s="13" t="str">
        <x:v>2023-02-23 07:03:00+00:00</x:v>
      </x:c>
      <x:c r="K59" s="13"/>
      <x:c r="L59" s="13"/>
      <x:c r="M59" s="13" t="n">
        <x:v>17540.4004</x:v>
      </x:c>
      <x:c r="N59" s="15" t="n">
        <x:v>0.2378218938912482</x:v>
      </x:c>
      <x:c r="O59" s="15" t="n">
        <x:v>0.1427093034273752</x:v>
      </x:c>
      <x:c r="P59" s="15" t="n">
        <x:v>0.0361933079292935</x:v>
      </x:c>
      <x:c r="Q59" s="15" t="n">
        <x:v>0.871939736346516</x:v>
      </x:c>
      <x:c r="R59" s="13" t="n">
        <x:v>0.3611111111111111</x:v>
      </x:c>
      <x:c r="S59" s="13" t="n">
        <x:v>0</x:v>
      </x:c>
      <x:c r="T59" s="13"/>
      <x:c r="U59" s="16" t="n">
        <x:v>0</x:v>
      </x:c>
      <x:c r="V59" s="17" t="n">
        <x:v>0</x:v>
      </x:c>
      <x:c r="W59" s="17" t="n">
        <x:v>0</x:v>
      </x:c>
      <x:c r="X59" s="16" t="n">
        <x:v>0</x:v>
      </x:c>
      <x:c r="Y59" s="16" t="n">
        <x:v>0</x:v>
      </x:c>
      <x:c r="Z59" s="16" t="n">
        <x:v>0</x:v>
      </x:c>
      <x:c r="AA59" s="16" t="n">
        <x:v>0</x:v>
      </x:c>
      <x:c r="AB59" s="16" t="n">
        <x:v>0</x:v>
      </x:c>
      <x:c r="AC59" s="16" t="n">
        <x:v>0</x:v>
      </x:c>
      <x:c r="AD59" s="13" t="n">
        <x:v>294.6679970865645</x:v>
      </x:c>
      <x:c r="AE59" s="13" t="n">
        <x:v>0.2376590264383326</x:v>
      </x:c>
      <x:c r="AF59" s="13" t="n">
        <x:v>0.0045797875261775</x:v>
      </x:c>
      <x:c r="AG59" s="13" t="n">
        <x:v>0.0016279033300733</x:v>
      </x:c>
      <x:c r="AH59" s="13" t="n">
        <x:v>-0.0118427575394888</x:v>
      </x:c>
      <x:c r="AI59" s="13" t="n">
        <x:v>0.0713377075620811</x:v>
      </x:c>
      <x:c r="AJ59" s="13" t="n">
        <x:v>0.048323098224535</x:v>
      </x:c>
      <x:c r="AK59" s="13" t="n">
        <x:v>0.023014609337546</x:v>
      </x:c>
      <x:c r="AL59" s="13" t="n">
        <x:v>0.0598304028933081</x:v>
      </x:c>
      <x:c r="AM59" s="13" t="n">
        <x:v>0</x:v>
      </x:c>
    </x:row>
    <x:row r="60" ht="15" hidden="0" customHeight="1">
      <x:c r="A60" s="13" t="n">
        <x:v>1011</x:v>
      </x:c>
      <x:c r="B60" s="13" t="str">
        <x:v>2023-03-29</x:v>
      </x:c>
      <x:c r="C60" s="13" t="str">
        <x:v>discovery_2021_2023</x:v>
      </x:c>
      <x:c r="D60" s="14" t="b">
        <x:v>0</x:v>
      </x:c>
      <x:c r="E60" s="13" t="str">
        <x:v>none</x:v>
      </x:c>
      <x:c r="F60" s="13" t="str">
        <x:v>pre_2024_11_20</x:v>
      </x:c>
      <x:c r="G60" s="14" t="b">
        <x:v>0</x:v>
      </x:c>
      <x:c r="H60" s="13" t="str">
        <x:v>confidence_score_at_or_below_0.40</x:v>
      </x:c>
      <x:c r="I60" s="13"/>
      <x:c r="J60" s="13" t="str">
        <x:v>2023-03-29 06:50:00+00:00</x:v>
      </x:c>
      <x:c r="K60" s="13"/>
      <x:c r="L60" s="13"/>
      <x:c r="M60" s="13" t="n">
        <x:v>16945.6992</x:v>
      </x:c>
      <x:c r="N60" s="15" t="n">
        <x:v>0.2552249583974785</x:v>
      </x:c>
      <x:c r="O60" s="15" t="n">
        <x:v>0.1733659810204961</x:v>
      </x:c>
      <x:c r="P60" s="15" t="n">
        <x:v>0.0350840160137955</x:v>
      </x:c>
      <x:c r="Q60" s="15" t="n">
        <x:v>0.855595667870036</x:v>
      </x:c>
      <x:c r="R60" s="13" t="n">
        <x:v>0.0555555555555555</x:v>
      </x:c>
      <x:c r="S60" s="13" t="n">
        <x:v>0</x:v>
      </x:c>
      <x:c r="T60" s="13"/>
      <x:c r="U60" s="16" t="n">
        <x:v>0</x:v>
      </x:c>
      <x:c r="V60" s="17" t="n">
        <x:v>0</x:v>
      </x:c>
      <x:c r="W60" s="17" t="n">
        <x:v>0</x:v>
      </x:c>
      <x:c r="X60" s="16" t="n">
        <x:v>0</x:v>
      </x:c>
      <x:c r="Y60" s="16" t="n">
        <x:v>0</x:v>
      </x:c>
      <x:c r="Z60" s="16" t="n">
        <x:v>0</x:v>
      </x:c>
      <x:c r="AA60" s="16" t="n">
        <x:v>0</x:v>
      </x:c>
      <x:c r="AB60" s="16" t="n">
        <x:v>0</x:v>
      </x:c>
      <x:c r="AC60" s="16" t="n">
        <x:v>0</x:v>
      </x:c>
      <x:c r="AD60" s="13" t="n">
        <x:v>-786.0985291880852</x:v>
      </x:c>
      <x:c r="AE60" s="13" t="n">
        <x:v>0.0112200744842642</x:v>
      </x:c>
      <x:c r="AF60" s="13" t="n">
        <x:v>0.0019873246581793</x:v>
      </x:c>
      <x:c r="AG60" s="13" t="n">
        <x:v>-0.001017639894041</x:v>
      </x:c>
      <x:c r="AH60" s="13" t="n">
        <x:v>-0.012801188340634</x:v>
      </x:c>
      <x:c r="AI60" s="13" t="n">
        <x:v>0.0364655958344722</x:v>
      </x:c>
      <x:c r="AJ60" s="13" t="n">
        <x:v>0.0442917420146241</x:v>
      </x:c>
      <x:c r="AK60" s="13" t="n">
        <x:v>-0.0078261461801518</x:v>
      </x:c>
      <x:c r="AL60" s="13" t="n">
        <x:v>0.0403786689245482</x:v>
      </x:c>
      <x:c r="AM60" s="13" t="n">
        <x:v>0</x:v>
      </x:c>
    </x:row>
    <x:row r="61" ht="15" hidden="0" customHeight="1">
      <x:c r="A61" s="13" t="n">
        <x:v>1012</x:v>
      </x:c>
      <x:c r="B61" s="13" t="str">
        <x:v>2023-04-20</x:v>
      </x:c>
      <x:c r="C61" s="13" t="str">
        <x:v>discovery_2021_2023</x:v>
      </x:c>
      <x:c r="D61" s="14" t="b">
        <x:v>0</x:v>
      </x:c>
      <x:c r="E61" s="13" t="str">
        <x:v>none</x:v>
      </x:c>
      <x:c r="F61" s="13" t="str">
        <x:v>pre_2024_11_20</x:v>
      </x:c>
      <x:c r="G61" s="14" t="b">
        <x:v>1</x:v>
      </x:c>
      <x:c r="H61" s="13"/>
      <x:c r="I61" s="13" t="str">
        <x:v>short_iron_fly</x:v>
      </x:c>
      <x:c r="J61" s="13" t="str">
        <x:v>2023-04-20 07:16:00+00:00</x:v>
      </x:c>
      <x:c r="K61" s="13" t="str">
        <x:v>2023-04-20 13:46:00+05:30</x:v>
      </x:c>
      <x:c r="L61" s="13" t="n">
        <x:v>14.113888888888887</x:v>
      </x:c>
      <x:c r="M61" s="13" t="n">
        <x:v>17610.4004</x:v>
      </x:c>
      <x:c r="N61" s="15" t="n">
        <x:v>0.2160826874901587</x:v>
      </x:c>
      <x:c r="O61" s="15" t="n">
        <x:v>0.1082191093902947</x:v>
      </x:c>
      <x:c r="P61" s="15" t="n">
        <x:v>0.034980352195741</x:v>
      </x:c>
      <x:c r="Q61" s="15" t="n">
        <x:v>0.8568904593639576</x:v>
      </x:c>
      <x:c r="R61" s="13" t="n">
        <x:v>0.6666666666666666</x:v>
      </x:c>
      <x:c r="S61" s="13" t="n">
        <x:v>8</x:v>
      </x:c>
      <x:c r="T61" s="13" t="n">
        <x:v>50</x:v>
      </x:c>
      <x:c r="U61" s="16" t="n">
        <x:v>345522.2653977801</x:v>
      </x:c>
      <x:c r="V61" s="17" t="n">
        <x:v>0.3292766685751678</x:v>
      </x:c>
      <x:c r="W61" s="17" t="n">
        <x:v>0.0393147814049538</x:v>
      </x:c>
      <x:c r="X61" s="16" t="n">
        <x:v>4459.999999999999</x:v>
      </x:c>
      <x:c r="Y61" s="16" t="n">
        <x:v>220.41776718542465</x:v>
      </x:c>
      <x:c r="Z61" s="16" t="n">
        <x:v>201.24054269560537</x:v>
      </x:c>
      <x:c r="AA61" s="16" t="n">
        <x:v>421.6583098810301</x:v>
      </x:c>
      <x:c r="AB61" s="16" t="n">
        <x:v>4038.341690118969</x:v>
      </x:c>
      <x:c r="AC61" s="16" t="n">
        <x:v>40579.49798628838</x:v>
      </x:c>
      <x:c r="AD61" s="13" t="n">
        <x:v>342.8513837231775</x:v>
      </x:c>
      <x:c r="AE61" s="13" t="n">
        <x:v>0.601791780899145</x:v>
      </x:c>
      <x:c r="AF61" s="13" t="n">
        <x:v>0.0042826893646236</x:v>
      </x:c>
      <x:c r="AG61" s="13" t="n">
        <x:v>0.0178571596117468</x:v>
      </x:c>
      <x:c r="AH61" s="13" t="n">
        <x:v>-0.0092405632177492</x:v>
      </x:c>
      <x:c r="AI61" s="13" t="n">
        <x:v>0.0628122174273544</x:v>
      </x:c>
      <x:c r="AJ61" s="13" t="n">
        <x:v>0.0400756798922829</x:v>
      </x:c>
      <x:c r="AK61" s="13" t="n">
        <x:v>0.0227365375350714</x:v>
      </x:c>
      <x:c r="AL61" s="13" t="n">
        <x:v>0.0514439486598186</x:v>
      </x:c>
      <x:c r="AM61" s="13" t="n">
        <x:v>0</x:v>
      </x:c>
    </x:row>
    <x:row r="62" ht="15" hidden="0" customHeight="1">
      <x:c r="A62" s="13" t="n">
        <x:v>1013</x:v>
      </x:c>
      <x:c r="B62" s="13" t="str">
        <x:v>2023-05-11</x:v>
      </x:c>
      <x:c r="C62" s="13" t="str">
        <x:v>discovery_2021_2023</x:v>
      </x:c>
      <x:c r="D62" s="14" t="b">
        <x:v>0</x:v>
      </x:c>
      <x:c r="E62" s="13" t="str">
        <x:v>none</x:v>
      </x:c>
      <x:c r="F62" s="13" t="str">
        <x:v>pre_2024_11_20</x:v>
      </x:c>
      <x:c r="G62" s="14" t="b">
        <x:v>1</x:v>
      </x:c>
      <x:c r="H62" s="13"/>
      <x:c r="I62" s="13" t="str">
        <x:v>short_iron_fly</x:v>
      </x:c>
      <x:c r="J62" s="13" t="str">
        <x:v>2023-05-11 07:34:00+00:00</x:v>
      </x:c>
      <x:c r="K62" s="13" t="str">
        <x:v>2023-05-11 14:04:00+05:30</x:v>
      </x:c>
      <x:c r="L62" s="13" t="n">
        <x:v>7.101388888888889</x:v>
      </x:c>
      <x:c r="M62" s="13" t="n">
        <x:v>18321.44921875</x:v>
      </x:c>
      <x:c r="N62" s="15" t="n">
        <x:v>0.211972553564507</x:v>
      </x:c>
      <x:c r="O62" s="15" t="n">
        <x:v>0.1210257102384303</x:v>
      </x:c>
      <x:c r="P62" s="15" t="n">
        <x:v>0.0302851409259413</x:v>
      </x:c>
      <x:c r="Q62" s="15" t="n">
        <x:v>0.8568965517241379</x:v>
      </x:c>
      <x:c r="R62" s="13" t="n">
        <x:v>0.6527777777777778</x:v>
      </x:c>
      <x:c r="S62" s="13" t="n">
        <x:v>8</x:v>
      </x:c>
      <x:c r="T62" s="13" t="n">
        <x:v>50</x:v>
      </x:c>
      <x:c r="U62" s="16" t="n">
        <x:v>354955.0813274163</x:v>
      </x:c>
      <x:c r="V62" s="17" t="n">
        <x:v>0.3369691616362426</x:v>
      </x:c>
      <x:c r="W62" s="17" t="n">
        <x:v>0.0387083818059244</x:v>
      </x:c>
      <x:c r="X62" s="16" t="n">
        <x:v>3060</x:v>
      </x:c>
      <x:c r="Y62" s="16" t="n">
        <x:v>222.27176636942704</x:v>
      </x:c>
      <x:c r="Z62" s="16" t="n">
        <x:v>204.74496950269423</x:v>
      </x:c>
      <x:c r="AA62" s="16" t="n">
        <x:v>427.0167358721213</x:v>
      </x:c>
      <x:c r="AB62" s="16" t="n">
        <x:v>2632.9832641278786</x:v>
      </x:c>
      <x:c r="AC62" s="16" t="n">
        <x:v>43616.586487382745</x:v>
      </x:c>
      <x:c r="AD62" s="13" t="n">
        <x:v>167.27890623968227</x:v>
      </x:c>
      <x:c r="AE62" s="13" t="n">
        <x:v>0.1287890765521005</x:v>
      </x:c>
      <x:c r="AF62" s="13" t="n">
        <x:v>0.0025750371048949</x:v>
      </x:c>
      <x:c r="AG62" s="13" t="n">
        <x:v>0.0025640202060945</x:v>
      </x:c>
      <x:c r="AH62" s="13" t="n">
        <x:v>-0.0237810450768083</x:v>
      </x:c>
      <x:c r="AI62" s="13" t="n">
        <x:v>0.107768099946895</x:v>
      </x:c>
      <x:c r="AJ62" s="13" t="n">
        <x:v>0.0309168045621698</x:v>
      </x:c>
      <x:c r="AK62" s="13" t="n">
        <x:v>0.0768512953847252</x:v>
      </x:c>
      <x:c r="AL62" s="13" t="n">
        <x:v>0.0693424522545324</x:v>
      </x:c>
      <x:c r="AM62" s="13" t="n">
        <x:v>0</x:v>
      </x:c>
    </x:row>
    <x:row r="63" ht="15" hidden="0" customHeight="1">
      <x:c r="A63" s="13" t="n">
        <x:v>1015</x:v>
      </x:c>
      <x:c r="B63" s="13" t="str">
        <x:v>2023-05-25</x:v>
      </x:c>
      <x:c r="C63" s="13" t="str">
        <x:v>discovery_2021_2023</x:v>
      </x:c>
      <x:c r="D63" s="14" t="b">
        <x:v>0</x:v>
      </x:c>
      <x:c r="E63" s="13" t="str">
        <x:v>none</x:v>
      </x:c>
      <x:c r="F63" s="13" t="str">
        <x:v>pre_2024_11_20</x:v>
      </x:c>
      <x:c r="G63" s="14" t="b">
        <x:v>1</x:v>
      </x:c>
      <x:c r="H63" s="13"/>
      <x:c r="I63" s="13" t="str">
        <x:v>short_iron_fly</x:v>
      </x:c>
      <x:c r="J63" s="13" t="str">
        <x:v>2023-05-25 08:18:00+00:00</x:v>
      </x:c>
      <x:c r="K63" s="13" t="str">
        <x:v>2023-05-25 14:48:00+05:30</x:v>
      </x:c>
      <x:c r="L63" s="13" t="n">
        <x:v>14.070833333333333</x:v>
      </x:c>
      <x:c r="M63" s="13" t="n">
        <x:v>18220.05</x:v>
      </x:c>
      <x:c r="N63" s="15" t="n">
        <x:v>0.2119451744528371</x:v>
      </x:c>
      <x:c r="O63" s="15" t="n">
        <x:v>0.1313397445147413</x:v>
      </x:c>
      <x:c r="P63" s="15" t="n">
        <x:v>0.027670628484646</x:v>
      </x:c>
      <x:c r="Q63" s="15" t="n">
        <x:v>0.8694915254237288</x:v>
      </x:c>
      <x:c r="R63" s="13" t="n">
        <x:v>0.8611111111111112</x:v>
      </x:c>
      <x:c r="S63" s="13" t="n">
        <x:v>7</x:v>
      </x:c>
      <x:c r="T63" s="13" t="n">
        <x:v>50</x:v>
      </x:c>
      <x:c r="U63" s="16" t="n">
        <x:v>310667.63937818207</x:v>
      </x:c>
      <x:c r="V63" s="17" t="n">
        <x:v>0.2941904586149818</x:v>
      </x:c>
      <x:c r="W63" s="17" t="n">
        <x:v>0.0367129385301579</x:v>
      </x:c>
      <x:c r="X63" s="16" t="n">
        <x:v>-7577.499999999998</x:v>
      </x:c>
      <x:c r="Y63" s="16" t="n">
        <x:v>216.6707985159276</x:v>
      </x:c>
      <x:c r="Z63" s="16" t="n">
        <x:v>187.55901362940196</x:v>
      </x:c>
      <x:c r="AA63" s="16" t="n">
        <x:v>404.2298121453295</x:v>
      </x:c>
      <x:c r="AB63" s="16" t="n">
        <x:v>-7981.729812145328</x:v>
      </x:c>
      <x:c r="AC63" s="16" t="n">
        <x:v>40352.36207002541</x:v>
      </x:c>
      <x:c r="AD63" s="13" t="n">
        <x:v>-1298.9783974846584</x:v>
      </x:c>
      <x:c r="AE63" s="13" t="n">
        <x:v>0.963695983189336</x:v>
      </x:c>
      <x:c r="AF63" s="13" t="n">
        <x:v>0.0071397535350159</x:v>
      </x:c>
      <x:c r="AG63" s="13" t="n">
        <x:v>0.0160804908562376</x:v>
      </x:c>
      <x:c r="AH63" s="13" t="n">
        <x:v>0.0005252107948703</x:v>
      </x:c>
      <x:c r="AI63" s="13" t="n">
        <x:v>0.1122762581196627</x:v>
      </x:c>
      <x:c r="AJ63" s="13" t="n">
        <x:v>0.070908911504407</x:v>
      </x:c>
      <x:c r="AK63" s="13" t="n">
        <x:v>0.0413673466152557</x:v>
      </x:c>
      <x:c r="AL63" s="13" t="n">
        <x:v>0.0915925848120348</x:v>
      </x:c>
      <x:c r="AM63" s="13" t="n">
        <x:v>-0.0075583950702939</x:v>
      </x:c>
    </x:row>
    <x:row r="64" ht="15" hidden="0" customHeight="1">
      <x:c r="A64" s="13" t="n">
        <x:v>1016</x:v>
      </x:c>
      <x:c r="B64" s="13" t="str">
        <x:v>2023-06-01</x:v>
      </x:c>
      <x:c r="C64" s="13" t="str">
        <x:v>discovery_2021_2023</x:v>
      </x:c>
      <x:c r="D64" s="14" t="b">
        <x:v>1</x:v>
      </x:c>
      <x:c r="E64" s="13" t="str">
        <x:v>rbi_mpc</x:v>
      </x:c>
      <x:c r="F64" s="13" t="str">
        <x:v>pre_2024_11_20</x:v>
      </x:c>
      <x:c r="G64" s="14" t="b">
        <x:v>1</x:v>
      </x:c>
      <x:c r="H64" s="13"/>
      <x:c r="I64" s="13" t="str">
        <x:v>short_iron_fly</x:v>
      </x:c>
      <x:c r="J64" s="13" t="str">
        <x:v>2023-06-01 07:35:00+00:00</x:v>
      </x:c>
      <x:c r="K64" s="13" t="str">
        <x:v>2023-06-01 14:05:00+05:30</x:v>
      </x:c>
      <x:c r="L64" s="13" t="n">
        <x:v>7.100694444444445</x:v>
      </x:c>
      <x:c r="M64" s="13" t="n">
        <x:v>18545.65</x:v>
      </x:c>
      <x:c r="N64" s="15" t="n">
        <x:v>0.2147731841254037</x:v>
      </x:c>
      <x:c r="O64" s="15" t="n">
        <x:v>0.1031597428266431</x:v>
      </x:c>
      <x:c r="P64" s="15" t="n">
        <x:v>0.0354855880793054</x:v>
      </x:c>
      <x:c r="Q64" s="15" t="n">
        <x:v>0.880672268907563</x:v>
      </x:c>
      <x:c r="R64" s="13" t="n">
        <x:v>0.6111111111111112</x:v>
      </x:c>
      <x:c r="S64" s="13" t="n">
        <x:v>7</x:v>
      </x:c>
      <x:c r="T64" s="13" t="n">
        <x:v>50</x:v>
      </x:c>
      <x:c r="U64" s="16" t="n">
        <x:v>312345.41623392736</x:v>
      </x:c>
      <x:c r="V64" s="17" t="n">
        <x:v>0.2980318923792755</x:v>
      </x:c>
      <x:c r="W64" s="17" t="n">
        <x:v>0.0350388714054853</x:v>
      </x:c>
      <x:c r="X64" s="16" t="n">
        <x:v>1959.999999999999</x:v>
      </x:c>
      <x:c r="Y64" s="16" t="n">
        <x:v>216.50427080743407</x:v>
      </x:c>
      <x:c r="Z64" s="16" t="n">
        <x:v>173.02128822521018</x:v>
      </x:c>
      <x:c r="AA64" s="16" t="n">
        <x:v>389.5255590326442</x:v>
      </x:c>
      <x:c r="AB64" s="16" t="n">
        <x:v>1570.474440967355</x:v>
      </x:c>
      <x:c r="AC64" s="16" t="n">
        <x:v>36330.27063976378</x:v>
      </x:c>
      <x:c r="AD64" s="13" t="n">
        <x:v>65.33310804893193</x:v>
      </x:c>
      <x:c r="AE64" s="13" t="n">
        <x:v>0.1185728726533474</x:v>
      </x:c>
      <x:c r="AF64" s="13" t="n">
        <x:v>0.0078434668180936</x:v>
      </x:c>
      <x:c r="AG64" s="13" t="n">
        <x:v>0.0120932495439903</x:v>
      </x:c>
      <x:c r="AH64" s="13" t="n">
        <x:v>-0.0239980860604902</x:v>
      </x:c>
      <x:c r="AI64" s="13" t="n">
        <x:v>0.0637919458252788</x:v>
      </x:c>
      <x:c r="AJ64" s="13" t="n">
        <x:v>0.0499164677160585</x:v>
      </x:c>
      <x:c r="AK64" s="13" t="n">
        <x:v>0.0138754781092202</x:v>
      </x:c>
      <x:c r="AL64" s="13" t="n">
        <x:v>0.0568542067706687</x:v>
      </x:c>
      <x:c r="AM64" s="13" t="n">
        <x:v>-0.0060712154047323</x:v>
      </x:c>
    </x:row>
    <x:row r="65" ht="15" hidden="0" customHeight="1">
      <x:c r="A65" s="13" t="n">
        <x:v>1017</x:v>
      </x:c>
      <x:c r="B65" s="13" t="str">
        <x:v>2023-06-08</x:v>
      </x:c>
      <x:c r="C65" s="13" t="str">
        <x:v>discovery_2021_2023</x:v>
      </x:c>
      <x:c r="D65" s="14" t="b">
        <x:v>1</x:v>
      </x:c>
      <x:c r="E65" s="13" t="str">
        <x:v>rbi_mpc</x:v>
      </x:c>
      <x:c r="F65" s="13" t="str">
        <x:v>pre_2024_11_20</x:v>
      </x:c>
      <x:c r="G65" s="14" t="b">
        <x:v>1</x:v>
      </x:c>
      <x:c r="H65" s="13"/>
      <x:c r="I65" s="13" t="str">
        <x:v>short_iron_fly</x:v>
      </x:c>
      <x:c r="J65" s="13" t="str">
        <x:v>2023-06-08 07:57:00+00:00</x:v>
      </x:c>
      <x:c r="K65" s="13" t="str">
        <x:v>2023-06-08 14:27:00+05:30</x:v>
      </x:c>
      <x:c r="L65" s="13" t="n">
        <x:v>7.085416666666666</x:v>
      </x:c>
      <x:c r="M65" s="13" t="n">
        <x:v>18691.45</x:v>
      </x:c>
      <x:c r="N65" s="15" t="n">
        <x:v>0.2029842419328328</x:v>
      </x:c>
      <x:c r="O65" s="15" t="n">
        <x:v>0.1197672979485004</x:v>
      </x:c>
      <x:c r="P65" s="15" t="n">
        <x:v>0.0268583968151619</x:v>
      </x:c>
      <x:c r="Q65" s="15" t="n">
        <x:v>0.8466666666666667</x:v>
      </x:c>
      <x:c r="R65" s="13" t="n">
        <x:v>0.9166666666666666</x:v>
      </x:c>
      <x:c r="S65" s="13" t="n">
        <x:v>7</x:v>
      </x:c>
      <x:c r="T65" s="13" t="n">
        <x:v>50</x:v>
      </x:c>
      <x:c r="U65" s="16" t="n">
        <x:v>314523.1705628823</x:v>
      </x:c>
      <x:c r="V65" s="17" t="n">
        <x:v>0.2996608055534049</x:v>
      </x:c>
      <x:c r="W65" s="17" t="n">
        <x:v>0.0368538268739242</x:v>
      </x:c>
      <x:c r="X65" s="16" t="n">
        <x:v>3150</x:v>
      </x:c>
      <x:c r="Y65" s="16" t="n">
        <x:v>212.38179473840495</x:v>
      </x:c>
      <x:c r="Z65" s="16" t="n">
        <x:v>173.48144567179094</x:v>
      </x:c>
      <x:c r="AA65" s="16" t="n">
        <x:v>385.8632404101959</x:v>
      </x:c>
      <x:c r="AB65" s="16" t="n">
        <x:v>2764.136759589804</x:v>
      </x:c>
      <x:c r="AC65" s="16" t="n">
        <x:v>30345.29847351817</x:v>
      </x:c>
      <x:c r="AD65" s="13" t="n">
        <x:v>235.92686399019445</x:v>
      </x:c>
      <x:c r="AE65" s="13" t="n">
        <x:v>0.5480663899566728</x:v>
      </x:c>
      <x:c r="AF65" s="13" t="n">
        <x:v>0.004072484223413</x:v>
      </x:c>
      <x:c r="AG65" s="13" t="n">
        <x:v>0.0052544706241922</x:v>
      </x:c>
      <x:c r="AH65" s="13" t="n">
        <x:v>0.002883446438178</x:v>
      </x:c>
      <x:c r="AI65" s="13" t="n">
        <x:v>0.0737340697627568</x:v>
      </x:c>
      <x:c r="AJ65" s="13" t="n">
        <x:v>0.0894615877682934</x:v>
      </x:c>
      <x:c r="AK65" s="13" t="n">
        <x:v>-0.0157275180055366</x:v>
      </x:c>
      <x:c r="AL65" s="13" t="n">
        <x:v>0.0815978287655251</x:v>
      </x:c>
      <x:c r="AM65" s="13" t="n">
        <x:v>-0.0034536828461242</x:v>
      </x:c>
    </x:row>
    <x:row r="66" ht="15" hidden="0" customHeight="1">
      <x:c r="A66" s="13" t="n">
        <x:v>1018</x:v>
      </x:c>
      <x:c r="B66" s="13" t="str">
        <x:v>2023-06-15</x:v>
      </x:c>
      <x:c r="C66" s="13" t="str">
        <x:v>discovery_2021_2023</x:v>
      </x:c>
      <x:c r="D66" s="14" t="b">
        <x:v>1</x:v>
      </x:c>
      <x:c r="E66" s="13" t="str">
        <x:v>rbi_mpc</x:v>
      </x:c>
      <x:c r="F66" s="13" t="str">
        <x:v>pre_2024_11_20</x:v>
      </x:c>
      <x:c r="G66" s="14" t="b">
        <x:v>1</x:v>
      </x:c>
      <x:c r="H66" s="13"/>
      <x:c r="I66" s="13" t="str">
        <x:v>short_iron_fly</x:v>
      </x:c>
      <x:c r="J66" s="13" t="str">
        <x:v>2023-06-15 07:39:00+00:00</x:v>
      </x:c>
      <x:c r="K66" s="13" t="str">
        <x:v>2023-06-15 14:09:00+05:30</x:v>
      </x:c>
      <x:c r="L66" s="13" t="n">
        <x:v>7.097916666666666</x:v>
      </x:c>
      <x:c r="M66" s="13" t="n">
        <x:v>18722.3</x:v>
      </x:c>
      <x:c r="N66" s="15" t="n">
        <x:v>0.2128994852074478</x:v>
      </x:c>
      <x:c r="O66" s="15" t="n">
        <x:v>0.1245875428508054</x:v>
      </x:c>
      <x:c r="P66" s="15" t="n">
        <x:v>0.029804134967995</x:v>
      </x:c>
      <x:c r="Q66" s="15" t="n">
        <x:v>0.859504132231405</x:v>
      </x:c>
      <x:c r="R66" s="13" t="n">
        <x:v>0.9861111111111112</x:v>
      </x:c>
      <x:c r="S66" s="13" t="n">
        <x:v>8</x:v>
      </x:c>
      <x:c r="T66" s="13" t="n">
        <x:v>50</x:v>
      </x:c>
      <x:c r="U66" s="16" t="n">
        <x:v>362092.6653508403</x:v>
      </x:c>
      <x:c r="V66" s="17" t="n">
        <x:v>0.3440763361716669</x:v>
      </x:c>
      <x:c r="W66" s="17" t="n">
        <x:v>0.0389927475471479</x:v>
      </x:c>
      <x:c r="X66" s="16" t="n">
        <x:v>3159.999999999998</x:v>
      </x:c>
      <x:c r="Y66" s="16" t="n">
        <x:v>221.5130480148179</x:v>
      </x:c>
      <x:c r="Z66" s="16" t="n">
        <x:v>201.5948558715149</x:v>
      </x:c>
      <x:c r="AA66" s="16" t="n">
        <x:v>423.1079038863329</x:v>
      </x:c>
      <x:c r="AB66" s="16" t="n">
        <x:v>2736.892096113665</x:v>
      </x:c>
      <x:c r="AC66" s="16" t="n">
        <x:v>42561.13839515216</x:v>
      </x:c>
      <x:c r="AD66" s="13" t="n">
        <x:v>180.20271900006523</x:v>
      </x:c>
      <x:c r="AE66" s="13" t="n">
        <x:v>1.2023468374310262</x:v>
      </x:c>
      <x:c r="AF66" s="13" t="n">
        <x:v>0.015569063232543</x:v>
      </x:c>
      <x:c r="AG66" s="13" t="n">
        <x:v>0.0211438397150593</x:v>
      </x:c>
      <x:c r="AH66" s="13" t="n">
        <x:v>-0.0009735487924958</x:v>
      </x:c>
      <x:c r="AI66" s="13" t="n">
        <x:v>0.106426357134172</x:v>
      </x:c>
      <x:c r="AJ66" s="13" t="n">
        <x:v>0.0280128879814265</x:v>
      </x:c>
      <x:c r="AK66" s="13" t="n">
        <x:v>0.0784134691527455</x:v>
      </x:c>
      <x:c r="AL66" s="13" t="n">
        <x:v>0.0672196225577993</x:v>
      </x:c>
      <x:c r="AM66" s="13" t="n">
        <x:v>-0.0008619499493637</x:v>
      </x:c>
    </x:row>
    <x:row r="67" ht="15" hidden="0" customHeight="1">
      <x:c r="A67" s="13" t="n">
        <x:v>1019</x:v>
      </x:c>
      <x:c r="B67" s="13" t="str">
        <x:v>2023-06-22</x:v>
      </x:c>
      <x:c r="C67" s="13" t="str">
        <x:v>discovery_2021_2023</x:v>
      </x:c>
      <x:c r="D67" s="14" t="b">
        <x:v>0</x:v>
      </x:c>
      <x:c r="E67" s="13" t="str">
        <x:v>none</x:v>
      </x:c>
      <x:c r="F67" s="13" t="str">
        <x:v>pre_2024_11_20</x:v>
      </x:c>
      <x:c r="G67" s="14" t="b">
        <x:v>1</x:v>
      </x:c>
      <x:c r="H67" s="13"/>
      <x:c r="I67" s="13" t="str">
        <x:v>short_iron_fly</x:v>
      </x:c>
      <x:c r="J67" s="13" t="str">
        <x:v>2023-06-22 06:54:00+00:00</x:v>
      </x:c>
      <x:c r="K67" s="13" t="str">
        <x:v>2023-06-22 13:24:00+05:30</x:v>
      </x:c>
      <x:c r="L67" s="13" t="n">
        <x:v>14.129166666666666</x:v>
      </x:c>
      <x:c r="M67" s="13" t="n">
        <x:v>18815.3</x:v>
      </x:c>
      <x:c r="N67" s="15" t="n">
        <x:v>0.2054756160646694</x:v>
      </x:c>
      <x:c r="O67" s="15" t="n">
        <x:v>0.1079069138076683</x:v>
      </x:c>
      <x:c r="P67" s="15" t="n">
        <x:v>0.0305763267496598</x:v>
      </x:c>
      <x:c r="Q67" s="15" t="n">
        <x:v>0.8491803278688524</x:v>
      </x:c>
      <x:c r="R67" s="13" t="n">
        <x:v>0.5833333333333334</x:v>
      </x:c>
      <x:c r="S67" s="13" t="n">
        <x:v>8</x:v>
      </x:c>
      <x:c r="T67" s="13" t="n">
        <x:v>50</x:v>
      </x:c>
      <x:c r="U67" s="16" t="n">
        <x:v>366692.60195573285</x:v>
      </x:c>
      <x:c r="V67" s="17" t="n">
        <x:v>0.3475435360728115</x:v>
      </x:c>
      <x:c r="W67" s="17" t="n">
        <x:v>0.0378869558711216</x:v>
      </x:c>
      <x:c r="X67" s="16" t="n">
        <x:v>3160.0000000000014</x:v>
      </x:c>
      <x:c r="Y67" s="16" t="n">
        <x:v>224.2047116591197</x:v>
      </x:c>
      <x:c r="Z67" s="16" t="n">
        <x:v>200.61584033775844</x:v>
      </x:c>
      <x:c r="AA67" s="16" t="n">
        <x:v>424.8205519968781</x:v>
      </x:c>
      <x:c r="AB67" s="16" t="n">
        <x:v>2735.179448003123</x:v>
      </x:c>
      <x:c r="AC67" s="16" t="n">
        <x:v>46159.547328534565</x:v>
      </x:c>
      <x:c r="AD67" s="13" t="n">
        <x:v>179.8906265426802</x:v>
      </x:c>
      <x:c r="AE67" s="13" t="n">
        <x:v>0.4389150077363214</x:v>
      </x:c>
      <x:c r="AF67" s="13" t="n">
        <x:v>0.0029968535278253</x:v>
      </x:c>
      <x:c r="AG67" s="13" t="n">
        <x:v>0.0073155091898692</x:v>
      </x:c>
      <x:c r="AH67" s="13" t="n">
        <x:v>-0.0026073545176052</x:v>
      </x:c>
      <x:c r="AI67" s="13" t="n">
        <x:v>0.0528702469153111</x:v>
      </x:c>
      <x:c r="AJ67" s="13" t="n">
        <x:v>0.0442601309963877</x:v>
      </x:c>
      <x:c r="AK67" s="13" t="n">
        <x:v>0.0086101159189233</x:v>
      </x:c>
      <x:c r="AL67" s="13" t="n">
        <x:v>0.0485651889558494</x:v>
      </x:c>
      <x:c r="AM67" s="13" t="n">
        <x:v>0</x:v>
      </x:c>
    </x:row>
    <x:row r="68" ht="15" hidden="0" customHeight="1">
      <x:c r="A68" s="13" t="n">
        <x:v>1020</x:v>
      </x:c>
      <x:c r="B68" s="13" t="str">
        <x:v>2023-07-13</x:v>
      </x:c>
      <x:c r="C68" s="13" t="str">
        <x:v>discovery_2021_2023</x:v>
      </x:c>
      <x:c r="D68" s="14" t="b">
        <x:v>0</x:v>
      </x:c>
      <x:c r="E68" s="13" t="str">
        <x:v>none</x:v>
      </x:c>
      <x:c r="F68" s="13" t="str">
        <x:v>pre_2024_11_20</x:v>
      </x:c>
      <x:c r="G68" s="14" t="b">
        <x:v>1</x:v>
      </x:c>
      <x:c r="H68" s="13"/>
      <x:c r="I68" s="13" t="str">
        <x:v>short_iron_fly</x:v>
      </x:c>
      <x:c r="J68" s="13" t="str">
        <x:v>2023-07-13 06:45:00+00:00</x:v>
      </x:c>
      <x:c r="K68" s="13" t="str">
        <x:v>2023-07-13 13:15:00+05:30</x:v>
      </x:c>
      <x:c r="L68" s="13" t="n">
        <x:v>7.135416666666667</x:v>
      </x:c>
      <x:c r="M68" s="13" t="n">
        <x:v>19544</x:v>
      </x:c>
      <x:c r="N68" s="15" t="n">
        <x:v>0.2125928433484112</x:v>
      </x:c>
      <x:c r="O68" s="15" t="n">
        <x:v>0.1078686261332783</x:v>
      </x:c>
      <x:c r="P68" s="15" t="n">
        <x:v>0.0335600765390811</x:v>
      </x:c>
      <x:c r="Q68" s="15" t="n">
        <x:v>0.8717948717948718</x:v>
      </x:c>
      <x:c r="R68" s="13" t="n">
        <x:v>0.8333333333333334</x:v>
      </x:c>
      <x:c r="S68" s="13" t="n">
        <x:v>7</x:v>
      </x:c>
      <x:c r="T68" s="13" t="n">
        <x:v>50</x:v>
      </x:c>
      <x:c r="U68" s="16" t="n">
        <x:v>327368.8239071281</x:v>
      </x:c>
      <x:c r="V68" s="17" t="n">
        <x:v>0.3094710304221968</x:v>
      </x:c>
      <x:c r="W68" s="17" t="n">
        <x:v>0.0317362580086698</x:v>
      </x:c>
      <x:c r="X68" s="16" t="n">
        <x:v>1032.500000000001</x:v>
      </x:c>
      <x:c r="Y68" s="16" t="n">
        <x:v>223.80629811689985</x:v>
      </x:c>
      <x:c r="Z68" s="16" t="n">
        <x:v>173.4534082479528</x:v>
      </x:c>
      <x:c r="AA68" s="16" t="n">
        <x:v>397.2597063648527</x:v>
      </x:c>
      <x:c r="AB68" s="16" t="n">
        <x:v>635.240293635148</x:v>
      </x:c>
      <x:c r="AC68" s="16" t="n">
        <x:v>46462.297149017984</x:v>
      </x:c>
      <x:c r="AD68" s="13" t="n">
        <x:v>-68.19416305257127</x:v>
      </x:c>
      <x:c r="AE68" s="13" t="n">
        <x:v>0.9176868159422378</x:v>
      </x:c>
      <x:c r="AF68" s="13" t="n">
        <x:v>0.0067765327091194</x:v>
      </x:c>
      <x:c r="AG68" s="13" t="n">
        <x:v>0.0114569692701995</x:v>
      </x:c>
      <x:c r="AH68" s="13" t="n">
        <x:v>-0.001030628785141</x:v>
      </x:c>
      <x:c r="AI68" s="13" t="n">
        <x:v>0.0574396189645732</x:v>
      </x:c>
      <x:c r="AJ68" s="13" t="n">
        <x:v>0.0139100247765197</x:v>
      </x:c>
      <x:c r="AK68" s="13" t="n">
        <x:v>0.0435295941880535</x:v>
      </x:c>
      <x:c r="AL68" s="13" t="n">
        <x:v>0.0356748218705464</x:v>
      </x:c>
      <x:c r="AM68" s="13" t="n">
        <x:v>0</x:v>
      </x:c>
    </x:row>
    <x:row r="69" ht="15" hidden="0" customHeight="1">
      <x:c r="A69" s="13" t="n">
        <x:v>1022</x:v>
      </x:c>
      <x:c r="B69" s="13" t="str">
        <x:v>2023-07-27</x:v>
      </x:c>
      <x:c r="C69" s="13" t="str">
        <x:v>discovery_2021_2023</x:v>
      </x:c>
      <x:c r="D69" s="14" t="b">
        <x:v>0</x:v>
      </x:c>
      <x:c r="E69" s="13" t="str">
        <x:v>none</x:v>
      </x:c>
      <x:c r="F69" s="13" t="str">
        <x:v>pre_2024_11_20</x:v>
      </x:c>
      <x:c r="G69" s="14" t="b">
        <x:v>1</x:v>
      </x:c>
      <x:c r="H69" s="13"/>
      <x:c r="I69" s="13" t="str">
        <x:v>short_iron_fly</x:v>
      </x:c>
      <x:c r="J69" s="13" t="str">
        <x:v>2023-07-27 05:56:00+00:00</x:v>
      </x:c>
      <x:c r="K69" s="13" t="str">
        <x:v>2023-07-27 12:26:00+05:30</x:v>
      </x:c>
      <x:c r="L69" s="13" t="n">
        <x:v>14.169444444444444</x:v>
      </x:c>
      <x:c r="M69" s="13" t="n">
        <x:v>19745.45</x:v>
      </x:c>
      <x:c r="N69" s="15" t="n">
        <x:v>0.2483091777654368</x:v>
      </x:c>
      <x:c r="O69" s="15" t="n">
        <x:v>0.176325697190927</x:v>
      </x:c>
      <x:c r="P69" s="15" t="n">
        <x:v>0.0305666962726808</x:v>
      </x:c>
      <x:c r="Q69" s="15" t="n">
        <x:v>0.8769716088328076</x:v>
      </x:c>
      <x:c r="R69" s="13" t="n">
        <x:v>0.7222222222222222</x:v>
      </x:c>
      <x:c r="S69" s="13" t="n">
        <x:v>7</x:v>
      </x:c>
      <x:c r="T69" s="13" t="n">
        <x:v>50</x:v>
      </x:c>
      <x:c r="U69" s="16" t="n">
        <x:v>334816.0524631737</x:v>
      </x:c>
      <x:c r="V69" s="17" t="n">
        <x:v>0.3163211524876588</x:v>
      </x:c>
      <x:c r="W69" s="17" t="n">
        <x:v>0.0270878825273371</x:v>
      </x:c>
      <x:c r="X69" s="16" t="n">
        <x:v>892.4999999999999</x:v>
      </x:c>
      <x:c r="Y69" s="16" t="n">
        <x:v>238.1890766667561</x:v>
      </x:c>
      <x:c r="Z69" s="16" t="n">
        <x:v>171.94327536039145</x:v>
      </x:c>
      <x:c r="AA69" s="16" t="n">
        <x:v>410.1323520271476</x:v>
      </x:c>
      <x:c r="AB69" s="16" t="n">
        <x:v>482.3676479728523</x:v>
      </x:c>
      <x:c r="AC69" s="16" t="n">
        <x:v>65747.39354164383</x:v>
      </x:c>
      <x:c r="AD69" s="13" t="n">
        <x:v>-90.2360148130255</x:v>
      </x:c>
      <x:c r="AE69" s="13" t="n">
        <x:v>1.6098993272910975</x:v>
      </x:c>
      <x:c r="AF69" s="13" t="n">
        <x:v>0.0191774124936715</x:v>
      </x:c>
      <x:c r="AG69" s="13" t="n">
        <x:v>0.0197846708456227</x:v>
      </x:c>
      <x:c r="AH69" s="13" t="n">
        <x:v>0.0076848133719542</x:v>
      </x:c>
      <x:c r="AI69" s="13" t="n">
        <x:v>0.0069720471598982</x:v>
      </x:c>
      <x:c r="AJ69" s="13" t="n">
        <x:v>0.0470650121499681</x:v>
      </x:c>
      <x:c r="AK69" s="13" t="n">
        <x:v>-0.0400929649900698</x:v>
      </x:c>
      <x:c r="AL69" s="13" t="n">
        <x:v>0.0270185296549331</x:v>
      </x:c>
      <x:c r="AM69" s="13" t="n">
        <x:v>0</x:v>
      </x:c>
    </x:row>
    <x:row r="70" ht="15" hidden="0" customHeight="1">
      <x:c r="A70" s="13" t="n">
        <x:v>1024</x:v>
      </x:c>
      <x:c r="B70" s="13" t="str">
        <x:v>2023-08-10</x:v>
      </x:c>
      <x:c r="C70" s="13" t="str">
        <x:v>discovery_2021_2023</x:v>
      </x:c>
      <x:c r="D70" s="14" t="b">
        <x:v>1</x:v>
      </x:c>
      <x:c r="E70" s="13" t="str">
        <x:v>rbi_mpc</x:v>
      </x:c>
      <x:c r="F70" s="13" t="str">
        <x:v>pre_2024_11_20</x:v>
      </x:c>
      <x:c r="G70" s="14" t="b">
        <x:v>1</x:v>
      </x:c>
      <x:c r="H70" s="13"/>
      <x:c r="I70" s="13" t="str">
        <x:v>short_iron_fly</x:v>
      </x:c>
      <x:c r="J70" s="13" t="str">
        <x:v>2023-08-10 08:25:00+00:00</x:v>
      </x:c>
      <x:c r="K70" s="13" t="str">
        <x:v>2023-08-10 14:55:00+05:30</x:v>
      </x:c>
      <x:c r="L70" s="13" t="n">
        <x:v>7.065972222222222</x:v>
      </x:c>
      <x:c r="M70" s="13" t="n">
        <x:v>19520.45</x:v>
      </x:c>
      <x:c r="N70" s="15" t="n">
        <x:v>0.256373099712374</x:v>
      </x:c>
      <x:c r="O70" s="15" t="n">
        <x:v>0.204601600507764</x:v>
      </x:c>
      <x:c r="P70" s="15" t="n">
        <x:v>0.0238653513257922</x:v>
      </x:c>
      <x:c r="Q70" s="15" t="n">
        <x:v>0.8524844720496895</x:v>
      </x:c>
      <x:c r="R70" s="13" t="n">
        <x:v>0.9444444444444444</x:v>
      </x:c>
      <x:c r="S70" s="13" t="n">
        <x:v>7</x:v>
      </x:c>
      <x:c r="T70" s="13" t="n">
        <x:v>50</x:v>
      </x:c>
      <x:c r="U70" s="16" t="n">
        <x:v>326773.1792433869</x:v>
      </x:c>
      <x:c r="V70" s="17" t="n">
        <x:v>0.3085819318263136</x:v>
      </x:c>
      <x:c r="W70" s="17" t="n">
        <x:v>0.0341816318143912</x:v>
      </x:c>
      <x:c r="X70" s="16" t="n">
        <x:v>1574.999999999999</x:v>
      </x:c>
      <x:c r="Y70" s="16" t="n">
        <x:v>216.70360397914868</x:v>
      </x:c>
      <x:c r="Z70" s="16" t="n">
        <x:v>171.82144180578155</x:v>
      </x:c>
      <x:c r="AA70" s="16" t="n">
        <x:v>388.5250457849303</x:v>
      </x:c>
      <x:c r="AB70" s="16" t="n">
        <x:v>1186.474954215069</x:v>
      </x:c>
      <x:c r="AC70" s="16" t="n">
        <x:v>36749.44361144958</x:v>
      </x:c>
      <x:c r="AD70" s="13" t="n">
        <x:v>10.28332108896396</x:v>
      </x:c>
      <x:c r="AE70" s="13" t="n">
        <x:v>1.6043719264924892</x:v>
      </x:c>
      <x:c r="AF70" s="13" t="n">
        <x:v>0.0181141246972497</x:v>
      </x:c>
      <x:c r="AG70" s="13" t="n">
        <x:v>0.0356180483527583</x:v>
      </x:c>
      <x:c r="AH70" s="13" t="n">
        <x:v>0.0075673849691518</x:v>
      </x:c>
      <x:c r="AI70" s="13" t="n">
        <x:v>0.0582583855755942</x:v>
      </x:c>
      <x:c r="AJ70" s="13" t="n">
        <x:v>0.0599318441254191</x:v>
      </x:c>
      <x:c r="AK70" s="13" t="n">
        <x:v>-0.0016734585498249</x:v>
      </x:c>
      <x:c r="AL70" s="13" t="n">
        <x:v>0.0590951148505066</x:v>
      </x:c>
      <x:c r="AM70" s="13" t="n">
        <x:v>0</x:v>
      </x:c>
    </x:row>
    <x:row r="71" ht="15" hidden="0" customHeight="1">
      <x:c r="A71" s="13" t="n">
        <x:v>1025</x:v>
      </x:c>
      <x:c r="B71" s="13" t="str">
        <x:v>2023-08-17</x:v>
      </x:c>
      <x:c r="C71" s="13" t="str">
        <x:v>discovery_2021_2023</x:v>
      </x:c>
      <x:c r="D71" s="14" t="b">
        <x:v>1</x:v>
      </x:c>
      <x:c r="E71" s="13" t="str">
        <x:v>rbi_mpc</x:v>
      </x:c>
      <x:c r="F71" s="13" t="str">
        <x:v>pre_2024_11_20</x:v>
      </x:c>
      <x:c r="G71" s="14" t="b">
        <x:v>0</x:v>
      </x:c>
      <x:c r="H71" s="13" t="str">
        <x:v>confidence_score_at_or_below_0.40</x:v>
      </x:c>
      <x:c r="I71" s="13"/>
      <x:c r="J71" s="13" t="str">
        <x:v>2023-08-17 05:36:00+00:00</x:v>
      </x:c>
      <x:c r="K71" s="13"/>
      <x:c r="L71" s="13"/>
      <x:c r="M71" s="13" t="n">
        <x:v>19413.1</x:v>
      </x:c>
      <x:c r="N71" s="15" t="n">
        <x:v>0.2011845717997727</x:v>
      </x:c>
      <x:c r="O71" s="15" t="n">
        <x:v>0.134494425659957</x:v>
      </x:c>
      <x:c r="P71" s="15" t="n">
        <x:v>0.0223864813966562</x:v>
      </x:c>
      <x:c r="Q71" s="15" t="n">
        <x:v>0.8516228748068007</x:v>
      </x:c>
      <x:c r="R71" s="13" t="n">
        <x:v>0.3194444444444444</x:v>
      </x:c>
      <x:c r="S71" s="13" t="n">
        <x:v>0</x:v>
      </x:c>
      <x:c r="T71" s="13"/>
      <x:c r="U71" s="16" t="n">
        <x:v>0</x:v>
      </x:c>
      <x:c r="V71" s="17" t="n">
        <x:v>0</x:v>
      </x:c>
      <x:c r="W71" s="17" t="n">
        <x:v>0</x:v>
      </x:c>
      <x:c r="X71" s="16" t="n">
        <x:v>0</x:v>
      </x:c>
      <x:c r="Y71" s="16" t="n">
        <x:v>0</x:v>
      </x:c>
      <x:c r="Z71" s="16" t="n">
        <x:v>0</x:v>
      </x:c>
      <x:c r="AA71" s="16" t="n">
        <x:v>0</x:v>
      </x:c>
      <x:c r="AB71" s="16" t="n">
        <x:v>0</x:v>
      </x:c>
      <x:c r="AC71" s="16" t="n">
        <x:v>0</x:v>
      </x:c>
      <x:c r="AD71" s="13" t="n">
        <x:v>-482.8120076933076</x:v>
      </x:c>
      <x:c r="AE71" s="13" t="n">
        <x:v>0.0621418488031104</x:v>
      </x:c>
      <x:c r="AF71" s="13" t="n">
        <x:v>0.000022405908976036448</x:v>
      </x:c>
      <x:c r="AG71" s="13" t="n">
        <x:v>0.0016757785311929</x:v>
      </x:c>
      <x:c r="AH71" s="13" t="n">
        <x:v>-0.0101987039735541</x:v>
      </x:c>
      <x:c r="AI71" s="13" t="n">
        <x:v>0.0195671902858805</x:v>
      </x:c>
      <x:c r="AJ71" s="13" t="n">
        <x:v>0.0330064764628676</x:v>
      </x:c>
      <x:c r="AK71" s="13" t="n">
        <x:v>-0.0134392861769871</x:v>
      </x:c>
      <x:c r="AL71" s="13" t="n">
        <x:v>0.026286833374374</x:v>
      </x:c>
      <x:c r="AM71" s="13" t="n">
        <x:v>0</x:v>
      </x:c>
    </x:row>
    <x:row r="72" ht="15" hidden="0" customHeight="1">
      <x:c r="A72" s="13" t="n">
        <x:v>1029</x:v>
      </x:c>
      <x:c r="B72" s="13" t="str">
        <x:v>2023-12-21</x:v>
      </x:c>
      <x:c r="C72" s="13" t="str">
        <x:v>discovery_2021_2023</x:v>
      </x:c>
      <x:c r="D72" s="14" t="b">
        <x:v>0</x:v>
      </x:c>
      <x:c r="E72" s="13" t="str">
        <x:v>none</x:v>
      </x:c>
      <x:c r="F72" s="13" t="str">
        <x:v>pre_2024_11_20</x:v>
      </x:c>
      <x:c r="G72" s="14" t="b">
        <x:v>1</x:v>
      </x:c>
      <x:c r="H72" s="13"/>
      <x:c r="I72" s="13" t="str">
        <x:v>short_iron_fly</x:v>
      </x:c>
      <x:c r="J72" s="13" t="str">
        <x:v>2023-12-21 07:14:00+00:00</x:v>
      </x:c>
      <x:c r="K72" s="13" t="str">
        <x:v>2023-12-21 13:44:00+05:30</x:v>
      </x:c>
      <x:c r="L72" s="13" t="n">
        <x:v>14.115277777777775</x:v>
      </x:c>
      <x:c r="M72" s="13" t="n">
        <x:v>21250.2</x:v>
      </x:c>
      <x:c r="N72" s="15" t="n">
        <x:v>0.2616321753409281</x:v>
      </x:c>
      <x:c r="O72" s="15" t="n">
        <x:v>0.1747294437582736</x:v>
      </x:c>
      <x:c r="P72" s="15" t="n">
        <x:v>0.0379210166575504</x:v>
      </x:c>
      <x:c r="Q72" s="15" t="n">
        <x:v>0.897680763983629</x:v>
      </x:c>
      <x:c r="R72" s="13" t="n">
        <x:v>0.7083333333333334</x:v>
      </x:c>
      <x:c r="S72" s="13" t="n">
        <x:v>7</x:v>
      </x:c>
      <x:c r="T72" s="13" t="n">
        <x:v>50</x:v>
      </x:c>
      <x:c r="U72" s="16" t="n">
        <x:v>358609.020963383</x:v>
      </x:c>
      <x:c r="V72" s="17" t="n">
        <x:v>0.3382664911063822</x:v>
      </x:c>
      <x:c r="W72" s="17" t="n">
        <x:v>0.0289105653705833</x:v>
      </x:c>
      <x:c r="X72" s="16" t="n">
        <x:v>5477.5</x:v>
      </x:c>
      <x:c r="Y72" s="16" t="n">
        <x:v>231.17022661881973</x:v>
      </x:c>
      <x:c r="Z72" s="16" t="n">
        <x:v>187.3862960654045</x:v>
      </x:c>
      <x:c r="AA72" s="16" t="n">
        <x:v>418.5565226842242</x:v>
      </x:c>
      <x:c r="AB72" s="16" t="n">
        <x:v>5058.943477315775</x:v>
      </x:c>
      <x:c r="AC72" s="16" t="n">
        <x:v>54545.47833351495</x:v>
      </x:c>
      <x:c r="AD72" s="13" t="n">
        <x:v>563.6232222327694</x:v>
      </x:c>
      <x:c r="AE72" s="13" t="n">
        <x:v>1.4980183538487697</x:v>
      </x:c>
      <x:c r="AF72" s="13" t="n">
        <x:v>0.0263829535262732</x:v>
      </x:c>
      <x:c r="AG72" s="13" t="n">
        <x:v>0.0437248419488115</x:v>
      </x:c>
      <x:c r="AH72" s="13" t="n">
        <x:v>0.0053079269303881</x:v>
      </x:c>
      <x:c r="AI72" s="13" t="n">
        <x:v>0.0445928208398352</x:v>
      </x:c>
      <x:c r="AJ72" s="13" t="n">
        <x:v>0.054375996147105</x:v>
      </x:c>
      <x:c r="AK72" s="13" t="n">
        <x:v>-0.0097831753072697</x:v>
      </x:c>
      <x:c r="AL72" s="13" t="n">
        <x:v>0.0494844084934701</x:v>
      </x:c>
      <x:c r="AM72" s="13" t="n">
        <x:v>0</x:v>
      </x:c>
    </x:row>
    <x:row r="73" ht="15" hidden="0" customHeight="1">
      <x:c r="A73" s="13" t="n">
        <x:v>1030</x:v>
      </x:c>
      <x:c r="B73" s="13" t="str">
        <x:v>2023-12-28</x:v>
      </x:c>
      <x:c r="C73" s="13" t="str">
        <x:v>discovery_2021_2023</x:v>
      </x:c>
      <x:c r="D73" s="14" t="b">
        <x:v>0</x:v>
      </x:c>
      <x:c r="E73" s="13" t="str">
        <x:v>none</x:v>
      </x:c>
      <x:c r="F73" s="13" t="str">
        <x:v>pre_2024_11_20</x:v>
      </x:c>
      <x:c r="G73" s="14" t="b">
        <x:v>1</x:v>
      </x:c>
      <x:c r="H73" s="13"/>
      <x:c r="I73" s="13" t="str">
        <x:v>short_iron_fly</x:v>
      </x:c>
      <x:c r="J73" s="13" t="str">
        <x:v>2023-12-28 07:00:00+00:00</x:v>
      </x:c>
      <x:c r="K73" s="13" t="str">
        <x:v>2023-12-28 13:30:00+05:30</x:v>
      </x:c>
      <x:c r="L73" s="13" t="n">
        <x:v>14.125</x:v>
      </x:c>
      <x:c r="M73" s="13" t="n">
        <x:v>21764.6</x:v>
      </x:c>
      <x:c r="N73" s="15" t="n">
        <x:v>0.2021942746932337</x:v>
      </x:c>
      <x:c r="O73" s="15" t="n">
        <x:v>0.1058477304099311</x:v>
      </x:c>
      <x:c r="P73" s="15" t="n">
        <x:v>0.0296787826857894</x:v>
      </x:c>
      <x:c r="Q73" s="15" t="n">
        <x:v>0.864314789687924</x:v>
      </x:c>
      <x:c r="R73" s="13" t="n">
        <x:v>0.9305555555555556</x:v>
      </x:c>
      <x:c r="S73" s="13" t="n">
        <x:v>7</x:v>
      </x:c>
      <x:c r="T73" s="13" t="n">
        <x:v>50</x:v>
      </x:c>
      <x:c r="U73" s="16" t="n">
        <x:v>366034.66865605896</x:v>
      </x:c>
      <x:c r="V73" s="17" t="n">
        <x:v>0.3436311130152986</x:v>
      </x:c>
      <x:c r="W73" s="17" t="n">
        <x:v>0.0309911608519534</x:v>
      </x:c>
      <x:c r="X73" s="16" t="n">
        <x:v>6055</x:v>
      </x:c>
      <x:c r="Y73" s="16" t="n">
        <x:v>225.7937933082286</x:v>
      </x:c>
      <x:c r="Z73" s="16" t="n">
        <x:v>190.4783198268812</x:v>
      </x:c>
      <x:c r="AA73" s="16" t="n">
        <x:v>416.27211313510986</x:v>
      </x:c>
      <x:c r="AB73" s="16" t="n">
        <x:v>5638.72788686489</x:v>
      </x:c>
      <x:c r="AC73" s="16" t="n">
        <x:v>47128.621119479954</x:v>
      </x:c>
      <x:c r="AD73" s="13" t="n">
        <x:v>646.5875744528282</x:v>
      </x:c>
      <x:c r="AE73" s="13" t="n">
        <x:v>1.4954625156805956</x:v>
      </x:c>
      <x:c r="AF73" s="13" t="n">
        <x:v>0.0187595985679354</x:v>
      </x:c>
      <x:c r="AG73" s="13" t="n">
        <x:v>0.0363134214049544</x:v>
      </x:c>
      <x:c r="AH73" s="13" t="n">
        <x:v>0.0052536287159388</x:v>
      </x:c>
      <x:c r="AI73" s="13" t="n">
        <x:v>0.1343435195552492</x:v>
      </x:c>
      <x:c r="AJ73" s="13" t="n">
        <x:v>0.0201020842846479</x:v>
      </x:c>
      <x:c r="AK73" s="13" t="n">
        <x:v>0.1142414352706012</x:v>
      </x:c>
      <x:c r="AL73" s="13" t="n">
        <x:v>0.0772228019199486</x:v>
      </x:c>
      <x:c r="AM73" s="13" t="n">
        <x:v>0</x:v>
      </x:c>
    </x:row>
    <x:row r="74" ht="15" hidden="0" customHeight="1">
      <x:c r="A74" s="13" t="n">
        <x:v>1031</x:v>
      </x:c>
      <x:c r="B74" s="13" t="str">
        <x:v>2024-01-11</x:v>
      </x:c>
      <x:c r="C74" s="13" t="str">
        <x:v>validation_2024</x:v>
      </x:c>
      <x:c r="D74" s="14" t="b">
        <x:v>0</x:v>
      </x:c>
      <x:c r="E74" s="13" t="str">
        <x:v>none</x:v>
      </x:c>
      <x:c r="F74" s="13" t="str">
        <x:v>pre_2024_11_20</x:v>
      </x:c>
      <x:c r="G74" s="14" t="b">
        <x:v>1</x:v>
      </x:c>
      <x:c r="H74" s="13"/>
      <x:c r="I74" s="13" t="str">
        <x:v>short_iron_fly</x:v>
      </x:c>
      <x:c r="J74" s="13" t="str">
        <x:v>2024-01-11 08:45:00+00:00</x:v>
      </x:c>
      <x:c r="K74" s="13" t="str">
        <x:v>2024-01-11 15:15:00+05:30</x:v>
      </x:c>
      <x:c r="L74" s="13" t="n">
        <x:v>7.052083333333333</x:v>
      </x:c>
      <x:c r="M74" s="13" t="n">
        <x:v>21616.9</x:v>
      </x:c>
      <x:c r="N74" s="15" t="n">
        <x:v>0.2081260490146147</x:v>
      </x:c>
      <x:c r="O74" s="15" t="n">
        <x:v>0.1376682449810736</x:v>
      </x:c>
      <x:c r="P74" s="15" t="n">
        <x:v>0.0243639066022649</x:v>
      </x:c>
      <x:c r="Q74" s="15" t="n">
        <x:v>0.8808567603748326</x:v>
      </x:c>
      <x:c r="R74" s="13" t="n">
        <x:v>1</x:v>
      </x:c>
      <x:c r="S74" s="13" t="n">
        <x:v>7</x:v>
      </x:c>
      <x:c r="T74" s="13" t="n">
        <x:v>50</x:v>
      </x:c>
      <x:c r="U74" s="16" t="n">
        <x:v>356259.9229403439</x:v>
      </x:c>
      <x:c r="V74" s="17" t="n">
        <x:v>0.3326934940062051</x:v>
      </x:c>
      <x:c r="W74" s="17" t="n">
        <x:v>0.0373976078160147</x:v>
      </x:c>
      <x:c r="X74" s="16" t="n">
        <x:v>-1697.4999999999995</x:v>
      </x:c>
      <x:c r="Y74" s="16" t="n">
        <x:v>212.47364075435365</x:v>
      </x:c>
      <x:c r="Z74" s="16" t="n">
        <x:v>174.839200460857</x:v>
      </x:c>
      <x:c r="AA74" s="16" t="n">
        <x:v>387.3128412152107</x:v>
      </x:c>
      <x:c r="AB74" s="16" t="n">
        <x:v>-2084.81284121521</x:v>
      </x:c>
      <x:c r="AC74" s="16" t="n">
        <x:v>32386.44549839864</x:v>
      </x:c>
      <x:c r="AD74" s="13" t="n">
        <x:v>-457.0014710721373</x:v>
      </x:c>
      <x:c r="AE74" s="13" t="n">
        <x:v>2.0848195745674944</x:v>
      </x:c>
      <x:c r="AF74" s="13" t="n">
        <x:v>0.0629130240333273</x:v>
      </x:c>
      <x:c r="AG74" s="13" t="n">
        <x:v>0.0910688771973635</x:v>
      </x:c>
      <x:c r="AH74" s="13" t="n">
        <x:v>0.0177743885860845</x:v>
      </x:c>
      <x:c r="AI74" s="13" t="n">
        <x:v>0.1656665300459281</x:v>
      </x:c>
      <x:c r="AJ74" s="13" t="n">
        <x:v>0.0806732971096018</x:v>
      </x:c>
      <x:c r="AK74" s="13" t="n">
        <x:v>0.0849932329363262</x:v>
      </x:c>
      <x:c r="AL74" s="13" t="n">
        <x:v>0.123169913577765</x:v>
      </x:c>
      <x:c r="AM74" s="13" t="n">
        <x:v>-0.0019469034371543</x:v>
      </x:c>
    </x:row>
    <x:row r="75" ht="15" hidden="0" customHeight="1">
      <x:c r="A75" s="13" t="n">
        <x:v>1032</x:v>
      </x:c>
      <x:c r="B75" s="13" t="str">
        <x:v>2024-01-25</x:v>
      </x:c>
      <x:c r="C75" s="13" t="str">
        <x:v>validation_2024</x:v>
      </x:c>
      <x:c r="D75" s="14" t="b">
        <x:v>1</x:v>
      </x:c>
      <x:c r="E75" s="13" t="str">
        <x:v>union_budget</x:v>
      </x:c>
      <x:c r="F75" s="13" t="str">
        <x:v>pre_2024_11_20</x:v>
      </x:c>
      <x:c r="G75" s="14" t="b">
        <x:v>0</x:v>
      </x:c>
      <x:c r="H75" s="13" t="str">
        <x:v>confidence_score_at_or_below_0.40</x:v>
      </x:c>
      <x:c r="I75" s="13"/>
      <x:c r="J75" s="13" t="str">
        <x:v>2024-01-25 05:19:00+00:00</x:v>
      </x:c>
      <x:c r="K75" s="13"/>
      <x:c r="L75" s="13"/>
      <x:c r="M75" s="13" t="n">
        <x:v>21295.85</x:v>
      </x:c>
      <x:c r="N75" s="15" t="n">
        <x:v>0.3267042967842469</x:v>
      </x:c>
      <x:c r="O75" s="15" t="n">
        <x:v>0.2894131128445916</x:v>
      </x:c>
      <x:c r="P75" s="15" t="n">
        <x:v>0.0229757476508929</x:v>
      </x:c>
      <x:c r="Q75" s="15" t="n">
        <x:v>0.9074074074074074</x:v>
      </x:c>
      <x:c r="R75" s="13" t="n">
        <x:v>0.2222222222222222</x:v>
      </x:c>
      <x:c r="S75" s="13" t="n">
        <x:v>0</x:v>
      </x:c>
      <x:c r="T75" s="13"/>
      <x:c r="U75" s="16" t="n">
        <x:v>0</x:v>
      </x:c>
      <x:c r="V75" s="17" t="n">
        <x:v>0</x:v>
      </x:c>
      <x:c r="W75" s="17" t="n">
        <x:v>0</x:v>
      </x:c>
      <x:c r="X75" s="16" t="n">
        <x:v>0</x:v>
      </x:c>
      <x:c r="Y75" s="16" t="n">
        <x:v>0</x:v>
      </x:c>
      <x:c r="Z75" s="16" t="n">
        <x:v>0</x:v>
      </x:c>
      <x:c r="AA75" s="16" t="n">
        <x:v>0</x:v>
      </x:c>
      <x:c r="AB75" s="16" t="n">
        <x:v>0</x:v>
      </x:c>
      <x:c r="AC75" s="16" t="n">
        <x:v>0</x:v>
      </x:c>
      <x:c r="AD75" s="13" t="n">
        <x:v>288.3725624425721</x:v>
      </x:c>
      <x:c r="AE75" s="13" t="n">
        <x:v>0.3499329695832733</x:v>
      </x:c>
      <x:c r="AF75" s="13" t="n">
        <x:v>0.0131203517066627</x:v>
      </x:c>
      <x:c r="AG75" s="13" t="n">
        <x:v>0.0168724166522125</x:v>
      </x:c>
      <x:c r="AH75" s="13" t="n">
        <x:v>-0.019082892166547</x:v>
      </x:c>
      <x:c r="AI75" s="13" t="n">
        <x:v>0.0347004351801749</x:v>
      </x:c>
      <x:c r="AJ75" s="13" t="n">
        <x:v>-0.0212191144987282</x:v>
      </x:c>
      <x:c r="AK75" s="13" t="n">
        <x:v>0.0559195496789031</x:v>
      </x:c>
      <x:c r="AL75" s="13" t="n">
        <x:v>0.0067406603407233</x:v>
      </x:c>
      <x:c r="AM75" s="13" t="n">
        <x:v>-0.0019469034371543</x:v>
      </x:c>
    </x:row>
    <x:row r="76" ht="15" hidden="0" customHeight="1">
      <x:c r="A76" s="13" t="n">
        <x:v>1034</x:v>
      </x:c>
      <x:c r="B76" s="13" t="str">
        <x:v>2024-01-30</x:v>
      </x:c>
      <x:c r="C76" s="13" t="str">
        <x:v>validation_2024</x:v>
      </x:c>
      <x:c r="D76" s="14" t="b">
        <x:v>1</x:v>
      </x:c>
      <x:c r="E76" s="13" t="str">
        <x:v>union_budget</x:v>
      </x:c>
      <x:c r="F76" s="13" t="str">
        <x:v>pre_2024_11_20</x:v>
      </x:c>
      <x:c r="G76" s="14" t="b">
        <x:v>0</x:v>
      </x:c>
      <x:c r="H76" s="13" t="str">
        <x:v>confidence_score_at_or_below_0.40</x:v>
      </x:c>
      <x:c r="I76" s="13"/>
      <x:c r="J76" s="13" t="str">
        <x:v>2024-01-30 05:16:00+00:00</x:v>
      </x:c>
      <x:c r="K76" s="13"/>
      <x:c r="L76" s="13"/>
      <x:c r="M76" s="13" t="n">
        <x:v>21713.05</x:v>
      </x:c>
      <x:c r="N76" s="15" t="n">
        <x:v>0.2549993391210312</x:v>
      </x:c>
      <x:c r="O76" s="15" t="n">
        <x:v>0.2186413090019755</x:v>
      </x:c>
      <x:c r="P76" s="15" t="n">
        <x:v>0.0172206409500653</x:v>
      </x:c>
      <x:c r="Q76" s="15" t="n">
        <x:v>0.8878627968337731</x:v>
      </x:c>
      <x:c r="R76" s="13" t="n">
        <x:v>0.3194444444444444</x:v>
      </x:c>
      <x:c r="S76" s="13" t="n">
        <x:v>0</x:v>
      </x:c>
      <x:c r="T76" s="13"/>
      <x:c r="U76" s="16" t="n">
        <x:v>0</x:v>
      </x:c>
      <x:c r="V76" s="17" t="n">
        <x:v>0</x:v>
      </x:c>
      <x:c r="W76" s="17" t="n">
        <x:v>0</x:v>
      </x:c>
      <x:c r="X76" s="16" t="n">
        <x:v>0</x:v>
      </x:c>
      <x:c r="Y76" s="16" t="n">
        <x:v>0</x:v>
      </x:c>
      <x:c r="Z76" s="16" t="n">
        <x:v>0</x:v>
      </x:c>
      <x:c r="AA76" s="16" t="n">
        <x:v>0</x:v>
      </x:c>
      <x:c r="AB76" s="16" t="n">
        <x:v>0</x:v>
      </x:c>
      <x:c r="AC76" s="16" t="n">
        <x:v>0</x:v>
      </x:c>
      <x:c r="AD76" s="13" t="n">
        <x:v>-245.5844970742011</x:v>
      </x:c>
      <x:c r="AE76" s="13" t="n">
        <x:v>0.1719512983061379</x:v>
      </x:c>
      <x:c r="AF76" s="13" t="n">
        <x:v>0.0052328893419582</x:v>
      </x:c>
      <x:c r="AG76" s="13" t="n">
        <x:v>0.0010650533288488</x:v>
      </x:c>
      <x:c r="AH76" s="13" t="n">
        <x:v>-0.0228640732582897</x:v>
      </x:c>
      <x:c r="AI76" s="13" t="n">
        <x:v>0.0071231743743956</x:v>
      </x:c>
      <x:c r="AJ76" s="13" t="n">
        <x:v>-0.0092943417252583</x:v>
      </x:c>
      <x:c r="AK76" s="13" t="n">
        <x:v>0.016417516099654</x:v>
      </x:c>
      <x:c r="AL76" s="13" t="n">
        <x:v>-0.0010855836754313</x:v>
      </x:c>
      <x:c r="AM76" s="13" t="n">
        <x:v>-0.0019469034371543</x:v>
      </x:c>
    </x:row>
    <x:row r="77" ht="15" hidden="0" customHeight="1">
      <x:c r="A77" s="13" t="n">
        <x:v>1035</x:v>
      </x:c>
      <x:c r="B77" s="13" t="str">
        <x:v>2024-01-31</x:v>
      </x:c>
      <x:c r="C77" s="13" t="str">
        <x:v>validation_2024</x:v>
      </x:c>
      <x:c r="D77" s="14" t="b">
        <x:v>1</x:v>
      </x:c>
      <x:c r="E77" s="13" t="str">
        <x:v>union_budget</x:v>
      </x:c>
      <x:c r="F77" s="13" t="str">
        <x:v>pre_2024_11_20</x:v>
      </x:c>
      <x:c r="G77" s="14" t="b">
        <x:v>0</x:v>
      </x:c>
      <x:c r="H77" s="13" t="str">
        <x:v>confidence_score_at_or_below_0.40</x:v>
      </x:c>
      <x:c r="I77" s="13"/>
      <x:c r="J77" s="13" t="str">
        <x:v>2024-01-31 05:49:00+00:00</x:v>
      </x:c>
      <x:c r="K77" s="13"/>
      <x:c r="L77" s="13"/>
      <x:c r="M77" s="13" t="n">
        <x:v>21663.05</x:v>
      </x:c>
      <x:c r="N77" s="15" t="n">
        <x:v>0.2612807405335663</x:v>
      </x:c>
      <x:c r="O77" s="15" t="n">
        <x:v>0.2189946336165607</x:v>
      </x:c>
      <x:c r="P77" s="15" t="n">
        <x:v>0.0203089758209171</x:v>
      </x:c>
      <x:c r="Q77" s="15" t="n">
        <x:v>0.8405797101449275</x:v>
      </x:c>
      <x:c r="R77" s="13" t="n">
        <x:v>0.0972222222222222</x:v>
      </x:c>
      <x:c r="S77" s="13" t="n">
        <x:v>0</x:v>
      </x:c>
      <x:c r="T77" s="13"/>
      <x:c r="U77" s="16" t="n">
        <x:v>0</x:v>
      </x:c>
      <x:c r="V77" s="17" t="n">
        <x:v>0</x:v>
      </x:c>
      <x:c r="W77" s="17" t="n">
        <x:v>0</x:v>
      </x:c>
      <x:c r="X77" s="16" t="n">
        <x:v>0</x:v>
      </x:c>
      <x:c r="Y77" s="16" t="n">
        <x:v>0</x:v>
      </x:c>
      <x:c r="Z77" s="16" t="n">
        <x:v>0</x:v>
      </x:c>
      <x:c r="AA77" s="16" t="n">
        <x:v>0</x:v>
      </x:c>
      <x:c r="AB77" s="16" t="n">
        <x:v>0</x:v>
      </x:c>
      <x:c r="AC77" s="16" t="n">
        <x:v>0</x:v>
      </x:c>
      <x:c r="AD77" s="13" t="n">
        <x:v>-321.30386492018744</x:v>
      </x:c>
      <x:c r="AE77" s="13" t="n">
        <x:v>0.0420061451079644</x:v>
      </x:c>
      <x:c r="AF77" s="13" t="n">
        <x:v>-0.0001365560406476</x:v>
      </x:c>
      <x:c r="AG77" s="13" t="n">
        <x:v>0.00004560203756737158</x:v>
      </x:c>
      <x:c r="AH77" s="13" t="n">
        <x:v>-0.008155232428282</x:v>
      </x:c>
      <x:c r="AI77" s="13" t="n">
        <x:v>0.0059500815005134</x:v>
      </x:c>
      <x:c r="AJ77" s="13" t="n">
        <x:v>-0.0011614617951872</x:v>
      </x:c>
      <x:c r="AK77" s="13" t="n">
        <x:v>0.0071115432957006</x:v>
      </x:c>
      <x:c r="AL77" s="13" t="n">
        <x:v>0.002394309852663</x:v>
      </x:c>
      <x:c r="AM77" s="13" t="n">
        <x:v>-0.0019469034371543</x:v>
      </x:c>
    </x:row>
    <x:row r="78" ht="15" hidden="0" customHeight="1">
      <x:c r="A78" s="13" t="n">
        <x:v>1036</x:v>
      </x:c>
      <x:c r="B78" s="13" t="str">
        <x:v>2024-02-15</x:v>
      </x:c>
      <x:c r="C78" s="13" t="str">
        <x:v>validation_2024</x:v>
      </x:c>
      <x:c r="D78" s="14" t="b">
        <x:v>1</x:v>
      </x:c>
      <x:c r="E78" s="13" t="str">
        <x:v>rbi_mpc</x:v>
      </x:c>
      <x:c r="F78" s="13" t="str">
        <x:v>pre_2024_11_20</x:v>
      </x:c>
      <x:c r="G78" s="14" t="b">
        <x:v>1</x:v>
      </x:c>
      <x:c r="H78" s="13"/>
      <x:c r="I78" s="13" t="str">
        <x:v>short_iron_fly</x:v>
      </x:c>
      <x:c r="J78" s="13" t="str">
        <x:v>2024-02-15 08:12:00+00:00</x:v>
      </x:c>
      <x:c r="K78" s="13" t="str">
        <x:v>2024-02-15 14:42:00+05:30</x:v>
      </x:c>
      <x:c r="L78" s="13" t="n">
        <x:v>7.075</x:v>
      </x:c>
      <x:c r="M78" s="13" t="n">
        <x:v>21932.65</x:v>
      </x:c>
      <x:c r="N78" s="15" t="n">
        <x:v>0.2931758184701026</x:v>
      </x:c>
      <x:c r="O78" s="15" t="n">
        <x:v>0.2213569319291844</x:v>
      </x:c>
      <x:c r="P78" s="15" t="n">
        <x:v>0.0369531692225129</x:v>
      </x:c>
      <x:c r="Q78" s="15" t="n">
        <x:v>0.9195849546044098</x:v>
      </x:c>
      <x:c r="R78" s="13" t="n">
        <x:v>0.9305555555555556</x:v>
      </x:c>
      <x:c r="S78" s="13" t="n">
        <x:v>7</x:v>
      </x:c>
      <x:c r="T78" s="13" t="n">
        <x:v>50</x:v>
      </x:c>
      <x:c r="U78" s="16" t="n">
        <x:v>362475.8547535316</x:v>
      </x:c>
      <x:c r="V78" s="17" t="n">
        <x:v>0.3391585537623364</x:v>
      </x:c>
      <x:c r="W78" s="17" t="n">
        <x:v>0.0291033113871068</x:v>
      </x:c>
      <x:c r="X78" s="16" t="n">
        <x:v>2712.5000000000014</x:v>
      </x:c>
      <x:c r="Y78" s="16" t="n">
        <x:v>227.10617576794488</x:v>
      </x:c>
      <x:c r="Z78" s="16" t="n">
        <x:v>198.89567074872295</x:v>
      </x:c>
      <x:c r="AA78" s="16" t="n">
        <x:v>426.0018465166678</x:v>
      </x:c>
      <x:c r="AB78" s="16" t="n">
        <x:v>2286.4981534833337</x:v>
      </x:c>
      <x:c r="AC78" s="16" t="n">
        <x:v>50216.16677406376</x:v>
      </x:c>
      <x:c r="AD78" s="13" t="n">
        <x:v>167.7662829035672</x:v>
      </x:c>
      <x:c r="AE78" s="13" t="n">
        <x:v>3.2235997336588595</x:v>
      </x:c>
      <x:c r="AF78" s="13" t="n">
        <x:v>0.0624280008661339</x:v>
      </x:c>
      <x:c r="AG78" s="13" t="n">
        <x:v>0.0941280096921896</x:v>
      </x:c>
      <x:c r="AH78" s="13" t="n">
        <x:v>0.0419675202400917</x:v>
      </x:c>
      <x:c r="AI78" s="13" t="n">
        <x:v>0.0267761329108698</x:v>
      </x:c>
      <x:c r="AJ78" s="13" t="n">
        <x:v>0.0525300737507001</x:v>
      </x:c>
      <x:c r="AK78" s="13" t="n">
        <x:v>-0.0257539408398302</x:v>
      </x:c>
      <x:c r="AL78" s="13" t="n">
        <x:v>0.0396531033307849</x:v>
      </x:c>
      <x:c r="AM78" s="13" t="n">
        <x:v>0</x:v>
      </x:c>
    </x:row>
    <x:row r="79" ht="15" hidden="0" customHeight="1">
      <x:c r="A79" s="13" t="n">
        <x:v>1038</x:v>
      </x:c>
      <x:c r="B79" s="13" t="str">
        <x:v>2024-02-29</x:v>
      </x:c>
      <x:c r="C79" s="13" t="str">
        <x:v>validation_2024</x:v>
      </x:c>
      <x:c r="D79" s="14" t="b">
        <x:v>0</x:v>
      </x:c>
      <x:c r="E79" s="13" t="str">
        <x:v>none</x:v>
      </x:c>
      <x:c r="F79" s="13" t="str">
        <x:v>pre_2024_11_20</x:v>
      </x:c>
      <x:c r="G79" s="14" t="b">
        <x:v>0</x:v>
      </x:c>
      <x:c r="H79" s="13" t="str">
        <x:v>confidence_score_at_or_below_0.40</x:v>
      </x:c>
      <x:c r="I79" s="13"/>
      <x:c r="J79" s="13" t="str">
        <x:v>2024-02-29 07:01:00+00:00</x:v>
      </x:c>
      <x:c r="K79" s="13"/>
      <x:c r="L79" s="13"/>
      <x:c r="M79" s="13" t="n">
        <x:v>21916.15</x:v>
      </x:c>
      <x:c r="N79" s="15" t="n">
        <x:v>0.3175946108043519</x:v>
      </x:c>
      <x:c r="O79" s="15" t="n">
        <x:v>0.2545305123037074</x:v>
      </x:c>
      <x:c r="P79" s="15" t="n">
        <x:v>0.03608055511838</x:v>
      </x:c>
      <x:c r="Q79" s="15" t="n">
        <x:v>0.8988476312419974</x:v>
      </x:c>
      <x:c r="R79" s="13" t="n">
        <x:v>0.2638888888888889</x:v>
      </x:c>
      <x:c r="S79" s="13" t="n">
        <x:v>0</x:v>
      </x:c>
      <x:c r="T79" s="13"/>
      <x:c r="U79" s="16" t="n">
        <x:v>0</x:v>
      </x:c>
      <x:c r="V79" s="17" t="n">
        <x:v>0</x:v>
      </x:c>
      <x:c r="W79" s="17" t="n">
        <x:v>0</x:v>
      </x:c>
      <x:c r="X79" s="16" t="n">
        <x:v>0</x:v>
      </x:c>
      <x:c r="Y79" s="16" t="n">
        <x:v>0</x:v>
      </x:c>
      <x:c r="Z79" s="16" t="n">
        <x:v>0</x:v>
      </x:c>
      <x:c r="AA79" s="16" t="n">
        <x:v>0</x:v>
      </x:c>
      <x:c r="AB79" s="16" t="n">
        <x:v>0</x:v>
      </x:c>
      <x:c r="AC79" s="16" t="n">
        <x:v>0</x:v>
      </x:c>
      <x:c r="AD79" s="13" t="n">
        <x:v>-738.6921339222345</x:v>
      </x:c>
      <x:c r="AE79" s="13" t="n">
        <x:v>0.4562569786191762</x:v>
      </x:c>
      <x:c r="AF79" s="13" t="n">
        <x:v>0.0321558159965155</x:v>
      </x:c>
      <x:c r="AG79" s="13" t="n">
        <x:v>0.0256254633332246</x:v>
      </x:c>
      <x:c r="AH79" s="13" t="n">
        <x:v>-0.0168240622000679</x:v>
      </x:c>
      <x:c r="AI79" s="13" t="n">
        <x:v>0.0371544400728497</x:v>
      </x:c>
      <x:c r="AJ79" s="13" t="n">
        <x:v>0.0272689790102483</x:v>
      </x:c>
      <x:c r="AK79" s="13" t="n">
        <x:v>0.0098854610626013</x:v>
      </x:c>
      <x:c r="AL79" s="13" t="n">
        <x:v>0.032211709541549</x:v>
      </x:c>
      <x:c r="AM79" s="13" t="n">
        <x:v>0</x:v>
      </x:c>
    </x:row>
    <x:row r="80" ht="15" hidden="0" customHeight="1">
      <x:c r="A80" s="13" t="n">
        <x:v>1039</x:v>
      </x:c>
      <x:c r="B80" s="13" t="str">
        <x:v>2024-03-07</x:v>
      </x:c>
      <x:c r="C80" s="13" t="str">
        <x:v>validation_2024</x:v>
      </x:c>
      <x:c r="D80" s="14" t="b">
        <x:v>0</x:v>
      </x:c>
      <x:c r="E80" s="13" t="str">
        <x:v>none</x:v>
      </x:c>
      <x:c r="F80" s="13" t="str">
        <x:v>pre_2024_11_20</x:v>
      </x:c>
      <x:c r="G80" s="14" t="b">
        <x:v>1</x:v>
      </x:c>
      <x:c r="H80" s="13"/>
      <x:c r="I80" s="13" t="str">
        <x:v>short_iron_fly</x:v>
      </x:c>
      <x:c r="J80" s="13" t="str">
        <x:v>2024-03-07 08:28:00+00:00</x:v>
      </x:c>
      <x:c r="K80" s="13" t="str">
        <x:v>2024-03-07 14:58:00+05:30</x:v>
      </x:c>
      <x:c r="L80" s="13" t="n">
        <x:v>7.063888888888889</x:v>
      </x:c>
      <x:c r="M80" s="13" t="n">
        <x:v>22512.55</x:v>
      </x:c>
      <x:c r="N80" s="15" t="n">
        <x:v>0.17492883943547</x:v>
      </x:c>
      <x:c r="O80" s="15" t="n">
        <x:v>0.1096235468246786</x:v>
      </x:c>
      <x:c r="P80" s="15" t="n">
        <x:v>0.0185827768478179</x:v>
      </x:c>
      <x:c r="Q80" s="15" t="n">
        <x:v>0.8486005089058524</x:v>
      </x:c>
      <x:c r="R80" s="13" t="n">
        <x:v>0.9722222222222222</x:v>
      </x:c>
      <x:c r="S80" s="13" t="n">
        <x:v>7</x:v>
      </x:c>
      <x:c r="T80" s="13" t="n">
        <x:v>50</x:v>
      </x:c>
      <x:c r="U80" s="16" t="n">
        <x:v>369992.5578272836</x:v>
      </x:c>
      <x:c r="V80" s="17" t="n">
        <x:v>0.3454526575458805</x:v>
      </x:c>
      <x:c r="W80" s="17" t="n">
        <x:v>0.0380114591466409</x:v>
      </x:c>
      <x:c r="X80" s="16" t="n">
        <x:v>7665</x:v>
      </x:c>
      <x:c r="Y80" s="16" t="n">
        <x:v>207.6257010799816</x:v>
      </x:c>
      <x:c r="Z80" s="16" t="n">
        <x:v>171.0234951557335</x:v>
      </x:c>
      <x:c r="AA80" s="16" t="n">
        <x:v>378.6491962357151</x:v>
      </x:c>
      <x:c r="AB80" s="16" t="n">
        <x:v>7286.350803764285</x:v>
      </x:c>
      <x:c r="AC80" s="16" t="n">
        <x:v>22189.44862753993</x:v>
      </x:c>
      <x:c r="AD80" s="13" t="n">
        <x:v>881.6394397683232</x:v>
      </x:c>
      <x:c r="AE80" s="13" t="n">
        <x:v>0.703852397786667</x:v>
      </x:c>
      <x:c r="AF80" s="13" t="n">
        <x:v>0.0064425455992738</x:v>
      </x:c>
      <x:c r="AG80" s="13" t="n">
        <x:v>0.0070745577331897</x:v>
      </x:c>
      <x:c r="AH80" s="13" t="n">
        <x:v>0.0041721138954564</x:v>
      </x:c>
      <x:c r="AI80" s="13" t="n">
        <x:v>0.1164436651915486</x:v>
      </x:c>
      <x:c r="AJ80" s="13" t="n">
        <x:v>0.1186351698937441</x:v>
      </x:c>
      <x:c r="AK80" s="13" t="n">
        <x:v>-0.0021915047021955</x:v>
      </x:c>
      <x:c r="AL80" s="13" t="n">
        <x:v>0.1175394175426464</x:v>
      </x:c>
      <x:c r="AM80" s="13" t="n">
        <x:v>0</x:v>
      </x:c>
    </x:row>
    <x:row r="81" ht="15" hidden="0" customHeight="1">
      <x:c r="A81" s="13" t="n">
        <x:v>1043</x:v>
      </x:c>
      <x:c r="B81" s="13" t="str">
        <x:v>2024-04-10</x:v>
      </x:c>
      <x:c r="C81" s="13" t="str">
        <x:v>validation_2024</x:v>
      </x:c>
      <x:c r="D81" s="14" t="b">
        <x:v>1</x:v>
      </x:c>
      <x:c r="E81" s="13" t="str">
        <x:v>rbi_mpc</x:v>
      </x:c>
      <x:c r="F81" s="13" t="str">
        <x:v>pre_2024_11_20</x:v>
      </x:c>
      <x:c r="G81" s="14" t="b">
        <x:v>1</x:v>
      </x:c>
      <x:c r="H81" s="13"/>
      <x:c r="I81" s="13" t="str">
        <x:v>short_iron_fly</x:v>
      </x:c>
      <x:c r="J81" s="13" t="str">
        <x:v>2024-04-10 07:55:00+00:00</x:v>
      </x:c>
      <x:c r="K81" s="13" t="str">
        <x:v>2024-04-10 14:25:00+05:30</x:v>
      </x:c>
      <x:c r="L81" s="13" t="n">
        <x:v>8.086805555555555</x:v>
      </x:c>
      <x:c r="M81" s="13" t="n">
        <x:v>22735.25</x:v>
      </x:c>
      <x:c r="N81" s="15" t="n">
        <x:v>0.1846002560248668</x:v>
      </x:c>
      <x:c r="O81" s="15" t="n">
        <x:v>0.1072690760429329</x:v>
      </x:c>
      <x:c r="P81" s="15" t="n">
        <x:v>0.0225705998493418</x:v>
      </x:c>
      <x:c r="Q81" s="15" t="n">
        <x:v>0.8488228004956629</x:v>
      </x:c>
      <x:c r="R81" s="13" t="n">
        <x:v>1</x:v>
      </x:c>
      <x:c r="S81" s="13" t="n">
        <x:v>7</x:v>
      </x:c>
      <x:c r="T81" s="13" t="n">
        <x:v>50</x:v>
      </x:c>
      <x:c r="U81" s="16" t="n">
        <x:v>372070.8248473152</x:v>
      </x:c>
      <x:c r="V81" s="17" t="n">
        <x:v>0.3450457088765843</x:v>
      </x:c>
      <x:c r="W81" s="17" t="n">
        <x:v>0.0339083623696213</x:v>
      </x:c>
      <x:c r="X81" s="16" t="n">
        <x:v>6562.5</x:v>
      </x:c>
      <x:c r="Y81" s="16" t="n">
        <x:v>215.60862106812263</x:v>
      </x:c>
      <x:c r="Z81" s="16" t="n">
        <x:v>172.31887307225335</x:v>
      </x:c>
      <x:c r="AA81" s="16" t="n">
        <x:v>387.927494140376</x:v>
      </x:c>
      <x:c r="AB81" s="16" t="n">
        <x:v>6174.572505859624</x:v>
      </x:c>
      <x:c r="AC81" s="16" t="n">
        <x:v>33301.79157901853</x:v>
      </x:c>
      <x:c r="AD81" s="13" t="n">
        <x:v>722.9563551812357</x:v>
      </x:c>
      <x:c r="AE81" s="13" t="n">
        <x:v>1.7531874718770868</x:v>
      </x:c>
      <x:c r="AF81" s="13" t="n">
        <x:v>0.0473047023612356</x:v>
      </x:c>
      <x:c r="AG81" s="13" t="n">
        <x:v>0.0536135335833401</x:v>
      </x:c>
      <x:c r="AH81" s="13" t="n">
        <x:v>0.010728938191615</x:v>
      </x:c>
      <x:c r="AI81" s="13" t="n">
        <x:v>0.0655314829244251</x:v>
      </x:c>
      <x:c r="AJ81" s="13" t="n">
        <x:v>0.1007199805582817</x:v>
      </x:c>
      <x:c r="AK81" s="13" t="n">
        <x:v>-0.0351884976338565</x:v>
      </x:c>
      <x:c r="AL81" s="13" t="n">
        <x:v>0.0831257317413534</x:v>
      </x:c>
      <x:c r="AM81" s="13" t="n">
        <x:v>0</x:v>
      </x:c>
    </x:row>
    <x:row r="82" ht="15" hidden="0" customHeight="1">
      <x:c r="A82" s="13" t="n">
        <x:v>1048</x:v>
      </x:c>
      <x:c r="B82" s="13" t="str">
        <x:v>2024-05-16</x:v>
      </x:c>
      <x:c r="C82" s="13" t="str">
        <x:v>validation_2024</x:v>
      </x:c>
      <x:c r="D82" s="14" t="b">
        <x:v>0</x:v>
      </x:c>
      <x:c r="E82" s="13" t="str">
        <x:v>none</x:v>
      </x:c>
      <x:c r="F82" s="13" t="str">
        <x:v>pre_2024_11_20</x:v>
      </x:c>
      <x:c r="G82" s="14" t="b">
        <x:v>1</x:v>
      </x:c>
      <x:c r="H82" s="13"/>
      <x:c r="I82" s="13" t="str">
        <x:v>short_iron_fly</x:v>
      </x:c>
      <x:c r="J82" s="13" t="str">
        <x:v>2024-05-16 05:39:00+00:00</x:v>
      </x:c>
      <x:c r="K82" s="13" t="str">
        <x:v>2024-05-16 12:09:00+05:30</x:v>
      </x:c>
      <x:c r="L82" s="13" t="n">
        <x:v>7.18125</x:v>
      </x:c>
      <x:c r="M82" s="13" t="n">
        <x:v>22140.75</x:v>
      </x:c>
      <x:c r="N82" s="15" t="n">
        <x:v>0.3203423758639117</x:v>
      </x:c>
      <x:c r="O82" s="15" t="n">
        <x:v>0.2943465484092118</x:v>
      </x:c>
      <x:c r="P82" s="15" t="n">
        <x:v>0.0159793472137191</x:v>
      </x:c>
      <x:c r="Q82" s="15" t="n">
        <x:v>0.841978287092883</x:v>
      </x:c>
      <x:c r="R82" s="13" t="n">
        <x:v>0.6527777777777778</x:v>
      </x:c>
      <x:c r="S82" s="13" t="n">
        <x:v>14</x:v>
      </x:c>
      <x:c r="T82" s="13" t="n">
        <x:v>25</x:v>
      </x:c>
      <x:c r="U82" s="16" t="n">
        <x:v>376291.9544265986</x:v>
      </x:c>
      <x:c r="V82" s="17" t="n">
        <x:v>0.3469734395799012</x:v>
      </x:c>
      <x:c r="W82" s="17" t="n">
        <x:v>0.0209035003627169</x:v>
      </x:c>
      <x:c r="X82" s="16" t="n">
        <x:v>-3394.999999999996</x:v>
      </x:c>
      <x:c r="Y82" s="16" t="n">
        <x:v>275.6546637231746</x:v>
      </x:c>
      <x:c r="Z82" s="16" t="n">
        <x:v>428.7270822231884</x:v>
      </x:c>
      <x:c r="AA82" s="16" t="n">
        <x:v>704.381745946363</x:v>
      </x:c>
      <x:c r="AB82" s="16" t="n">
        <x:v>-4099.381745946359</x:v>
      </x:c>
      <x:c r="AC82" s="16" t="n">
        <x:v>117647.04175787709</x:v>
      </x:c>
      <x:c r="AD82" s="13" t="n">
        <x:v>-462.31762576873655</x:v>
      </x:c>
      <x:c r="AE82" s="13" t="n">
        <x:v>1.6119933304813678</x:v>
      </x:c>
      <x:c r="AF82" s="13" t="n">
        <x:v>0.0252319509436005</x:v>
      </x:c>
      <x:c r="AG82" s="13" t="n">
        <x:v>0.017684596643451</x:v>
      </x:c>
      <x:c r="AH82" s="13" t="n">
        <x:v>0.0098576376132358</x:v>
      </x:c>
      <x:c r="AI82" s="13" t="n">
        <x:v>0.0192171048041415</x:v>
      </x:c>
      <x:c r="AJ82" s="13" t="n">
        <x:v>-0.0122402284015157</x:v>
      </x:c>
      <x:c r="AK82" s="13" t="n">
        <x:v>0.0314573332056572</x:v>
      </x:c>
      <x:c r="AL82" s="13" t="n">
        <x:v>0.0034884382013128</x:v>
      </x:c>
      <x:c r="AM82" s="13" t="n">
        <x:v>-0.0037799813889444</x:v>
      </x:c>
    </x:row>
    <x:row r="83" ht="15" hidden="0" customHeight="1">
      <x:c r="A83" s="13" t="n">
        <x:v>1050</x:v>
      </x:c>
      <x:c r="B83" s="13" t="str">
        <x:v>2024-06-03</x:v>
      </x:c>
      <x:c r="C83" s="13" t="str">
        <x:v>validation_2024</x:v>
      </x:c>
      <x:c r="D83" s="14" t="b">
        <x:v>1</x:v>
      </x:c>
      <x:c r="E83" s="13" t="str">
        <x:v>national_election|rbi_mpc</x:v>
      </x:c>
      <x:c r="F83" s="13" t="str">
        <x:v>pre_2024_11_20</x:v>
      </x:c>
      <x:c r="G83" s="14" t="b">
        <x:v>0</x:v>
      </x:c>
      <x:c r="H83" s="13" t="str">
        <x:v>confidence_score_at_or_below_0.40</x:v>
      </x:c>
      <x:c r="I83" s="13"/>
      <x:c r="J83" s="13" t="str">
        <x:v>2024-06-03 05:20:00+00:00</x:v>
      </x:c>
      <x:c r="K83" s="13"/>
      <x:c r="L83" s="13"/>
      <x:c r="M83" s="13" t="n">
        <x:v>23148.5</x:v>
      </x:c>
      <x:c r="N83" s="15" t="n">
        <x:v>0.3429493315743244</x:v>
      </x:c>
      <x:c r="O83" s="15" t="n">
        <x:v>0.3116288108266913</x:v>
      </x:c>
      <x:c r="P83" s="15" t="n">
        <x:v>0.0205017282900181</x:v>
      </x:c>
      <x:c r="Q83" s="15" t="n">
        <x:v>0.8952380952380953</x:v>
      </x:c>
      <x:c r="R83" s="13" t="n">
        <x:v>0.1111111111111111</x:v>
      </x:c>
      <x:c r="S83" s="13" t="n">
        <x:v>0</x:v>
      </x:c>
      <x:c r="T83" s="13"/>
      <x:c r="U83" s="16" t="n">
        <x:v>0</x:v>
      </x:c>
      <x:c r="V83" s="17" t="n">
        <x:v>0</x:v>
      </x:c>
      <x:c r="W83" s="17" t="n">
        <x:v>0</x:v>
      </x:c>
      <x:c r="X83" s="16" t="n">
        <x:v>0</x:v>
      </x:c>
      <x:c r="Y83" s="16" t="n">
        <x:v>0</x:v>
      </x:c>
      <x:c r="Z83" s="16" t="n">
        <x:v>0</x:v>
      </x:c>
      <x:c r="AA83" s="16" t="n">
        <x:v>0</x:v>
      </x:c>
      <x:c r="AB83" s="16" t="n">
        <x:v>0</x:v>
      </x:c>
      <x:c r="AC83" s="16" t="n">
        <x:v>0</x:v>
      </x:c>
      <x:c r="AD83" s="13" t="n">
        <x:v>-408.6859909178529</x:v>
      </x:c>
      <x:c r="AE83" s="13" t="n">
        <x:v>0.0899383914305202</x:v>
      </x:c>
      <x:c r="AF83" s="13" t="n">
        <x:v>0.0002418465938285</x:v>
      </x:c>
      <x:c r="AG83" s="13" t="n">
        <x:v>0.0063175068256922</x:v>
      </x:c>
      <x:c r="AH83" s="13" t="n">
        <x:v>-0.0195576658141741</x:v>
      </x:c>
      <x:c r="AI83" s="13" t="n">
        <x:v>0.0076399432244312</x:v>
      </x:c>
      <x:c r="AJ83" s="13" t="n">
        <x:v>-0.007703389112751</x:v>
      </x:c>
      <x:c r="AK83" s="13" t="n">
        <x:v>0.0153433323371823</x:v>
      </x:c>
      <x:c r="AL83" s="13" t="n">
        <x:v>-0.0000317229441598732</x:v>
      </x:c>
      <x:c r="AM83" s="13" t="n">
        <x:v>-0.0037799813889444</x:v>
      </x:c>
    </x:row>
    <x:row r="84" ht="15" hidden="0" customHeight="1">
      <x:c r="A84" s="13" t="n">
        <x:v>1052</x:v>
      </x:c>
      <x:c r="B84" s="13" t="str">
        <x:v>2024-06-10</x:v>
      </x:c>
      <x:c r="C84" s="13" t="str">
        <x:v>validation_2024</x:v>
      </x:c>
      <x:c r="D84" s="14" t="b">
        <x:v>1</x:v>
      </x:c>
      <x:c r="E84" s="13" t="str">
        <x:v>national_election|rbi_mpc</x:v>
      </x:c>
      <x:c r="F84" s="13" t="str">
        <x:v>pre_2024_11_20</x:v>
      </x:c>
      <x:c r="G84" s="14" t="b">
        <x:v>1</x:v>
      </x:c>
      <x:c r="H84" s="13"/>
      <x:c r="I84" s="13" t="str">
        <x:v>short_iron_fly</x:v>
      </x:c>
      <x:c r="J84" s="13" t="str">
        <x:v>2024-06-10 07:59:00+00:00</x:v>
      </x:c>
      <x:c r="K84" s="13" t="str">
        <x:v>2024-06-10 14:29:00+05:30</x:v>
      </x:c>
      <x:c r="L84" s="13" t="n">
        <x:v>10.084027777777775</x:v>
      </x:c>
      <x:c r="M84" s="13" t="n">
        <x:v>23330.25</x:v>
      </x:c>
      <x:c r="N84" s="15" t="n">
        <x:v>0.2063882848389734</x:v>
      </x:c>
      <x:c r="O84" s="15" t="n">
        <x:v>0.1368347663063842</x:v>
      </x:c>
      <x:c r="P84" s="15" t="n">
        <x:v>0.0238723708486504</x:v>
      </x:c>
      <x:c r="Q84" s="15" t="n">
        <x:v>0.8463356973995272</x:v>
      </x:c>
      <x:c r="R84" s="13" t="n">
        <x:v>0.6527777777777778</x:v>
      </x:c>
      <x:c r="S84" s="13" t="n">
        <x:v>11</x:v>
      </x:c>
      <x:c r="T84" s="13" t="n">
        <x:v>25</x:v>
      </x:c>
      <x:c r="U84" s="16" t="n">
        <x:v>360032.712338774</x:v>
      </x:c>
      <x:c r="V84" s="17" t="n">
        <x:v>0.3332406680760281</x:v>
      </x:c>
      <x:c r="W84" s="17" t="n">
        <x:v>0.0080181660559961</x:v>
      </x:c>
      <x:c r="X84" s="16" t="n">
        <x:v>-412.5000000000039</x:v>
      </x:c>
      <x:c r="Y84" s="16" t="n">
        <x:v>428.5509794731864</x:v>
      </x:c>
      <x:c r="Z84" s="16" t="n">
        <x:v>788.8461295378295</x:v>
      </x:c>
      <x:c r="AA84" s="16" t="n">
        <x:v>1217.3971090110158</x:v>
      </x:c>
      <x:c r="AB84" s="16" t="n">
        <x:v>-1629.8971090110197</x:v>
      </x:c>
      <x:c r="AC84" s="16" t="n">
        <x:v>321028.8340237561</x:v>
      </x:c>
      <x:c r="AD84" s="13" t="n">
        <x:v>-306.26239169630924</x:v>
      </x:c>
      <x:c r="AE84" s="13" t="n">
        <x:v>0.2198147537909138</x:v>
      </x:c>
      <x:c r="AF84" s="13" t="n">
        <x:v>0.0028143870196694</x:v>
      </x:c>
      <x:c r="AG84" s="13" t="n">
        <x:v>0.0014194242049747</x:v>
      </x:c>
      <x:c r="AH84" s="13" t="n">
        <x:v>-0.0035977480198683</x:v>
      </x:c>
      <x:c r="AI84" s="13" t="n">
        <x:v>0.0050807789045688</x:v>
      </x:c>
      <x:c r="AJ84" s="13" t="n">
        <x:v>-0.0046014237752284</x:v>
      </x:c>
      <x:c r="AK84" s="13" t="n">
        <x:v>0.0096822026797973</x:v>
      </x:c>
      <x:c r="AL84" s="13" t="n">
        <x:v>0.0002396775646702</x:v>
      </x:c>
      <x:c r="AM84" s="13" t="n">
        <x:v>-0.0052828862462556</x:v>
      </x:c>
    </x:row>
    <x:row r="85" ht="15" hidden="0" customHeight="1">
      <x:c r="A85" s="13" t="n">
        <x:v>1053</x:v>
      </x:c>
      <x:c r="B85" s="13" t="str">
        <x:v>2024-06-20</x:v>
      </x:c>
      <x:c r="C85" s="13" t="str">
        <x:v>validation_2024</x:v>
      </x:c>
      <x:c r="D85" s="14" t="b">
        <x:v>0</x:v>
      </x:c>
      <x:c r="E85" s="13" t="str">
        <x:v>none</x:v>
      </x:c>
      <x:c r="F85" s="13" t="str">
        <x:v>pre_2024_11_20</x:v>
      </x:c>
      <x:c r="G85" s="14" t="b">
        <x:v>1</x:v>
      </x:c>
      <x:c r="H85" s="13"/>
      <x:c r="I85" s="13" t="str">
        <x:v>short_iron_fly</x:v>
      </x:c>
      <x:c r="J85" s="13" t="str">
        <x:v>2024-06-20 07:57:00+00:00</x:v>
      </x:c>
      <x:c r="K85" s="13" t="str">
        <x:v>2024-06-20 14:27:00+05:30</x:v>
      </x:c>
      <x:c r="L85" s="13" t="n">
        <x:v>14.085416666666667</x:v>
      </x:c>
      <x:c r="M85" s="13" t="n">
        <x:v>23620.7</x:v>
      </x:c>
      <x:c r="N85" s="15" t="n">
        <x:v>0.2766903953901586</x:v>
      </x:c>
      <x:c r="O85" s="15" t="n">
        <x:v>0.206135257918278</x:v>
      </x:c>
      <x:c r="P85" s="15" t="n">
        <x:v>0.0340658303441273</x:v>
      </x:c>
      <x:c r="Q85" s="15" t="n">
        <x:v>0.8991793669402111</x:v>
      </x:c>
      <x:c r="R85" s="13" t="n">
        <x:v>0.7916666666666666</x:v>
      </x:c>
      <x:c r="S85" s="13" t="n">
        <x:v>13</x:v>
      </x:c>
      <x:c r="T85" s="13" t="n">
        <x:v>25</x:v>
      </x:c>
      <x:c r="U85" s="16" t="n">
        <x:v>360089.4832156032</x:v>
      </x:c>
      <x:c r="V85" s="17" t="n">
        <x:v>0.3337967825996167</x:v>
      </x:c>
      <x:c r="W85" s="17" t="n">
        <x:v>0.0275536259712314</x:v>
      </x:c>
      <x:c r="X85" s="16" t="n">
        <x:v>5508.750000000001</x:v>
      </x:c>
      <x:c r="Y85" s="16" t="n">
        <x:v>226.9986969067737</x:v>
      </x:c>
      <x:c r="Z85" s="16" t="n">
        <x:v>181.36437415313725</x:v>
      </x:c>
      <x:c r="AA85" s="16" t="n">
        <x:v>408.3630710599109</x:v>
      </x:c>
      <x:c r="AB85" s="16" t="n">
        <x:v>5100.38692894009</x:v>
      </x:c>
      <x:c r="AC85" s="16" t="n">
        <x:v>48953.24946196349</x:v>
      </x:c>
      <x:c r="AD85" s="13" t="n">
        <x:v>220.55317354402277</x:v>
      </x:c>
      <x:c r="AE85" s="13" t="n">
        <x:v>1.3780204765529724</x:v>
      </x:c>
      <x:c r="AF85" s="13" t="n">
        <x:v>0.0342590945858779</x:v>
      </x:c>
      <x:c r="AG85" s="13" t="n">
        <x:v>0.0893966241837334</x:v>
      </x:c>
      <x:c r="AH85" s="13" t="n">
        <x:v>0.0027585986685267</x:v>
      </x:c>
      <x:c r="AI85" s="13" t="n">
        <x:v>0.0508006484039681</x:v>
      </x:c>
      <x:c r="AJ85" s="13" t="n">
        <x:v>0.0449670131576856</x:v>
      </x:c>
      <x:c r="AK85" s="13" t="n">
        <x:v>0.0058336352462825</x:v>
      </x:c>
      <x:c r="AL85" s="13" t="n">
        <x:v>0.0478838307808269</x:v>
      </x:c>
      <x:c r="AM85" s="13" t="n">
        <x:v>-0.0005798922674993</x:v>
      </x:c>
    </x:row>
    <x:row r="86" ht="15" hidden="0" customHeight="1">
      <x:c r="A86" s="13" t="n">
        <x:v>1055</x:v>
      </x:c>
      <x:c r="B86" s="13" t="str">
        <x:v>2024-07-18</x:v>
      </x:c>
      <x:c r="C86" s="13" t="str">
        <x:v>validation_2024</x:v>
      </x:c>
      <x:c r="D86" s="14" t="b">
        <x:v>1</x:v>
      </x:c>
      <x:c r="E86" s="13" t="str">
        <x:v>union_budget</x:v>
      </x:c>
      <x:c r="F86" s="13" t="str">
        <x:v>pre_2024_11_20</x:v>
      </x:c>
      <x:c r="G86" s="14" t="b">
        <x:v>0</x:v>
      </x:c>
      <x:c r="H86" s="13" t="str">
        <x:v>confidence_score_at_or_below_0.40</x:v>
      </x:c>
      <x:c r="I86" s="13"/>
      <x:c r="J86" s="13" t="str">
        <x:v>2024-07-18 06:47:00+00:00</x:v>
      </x:c>
      <x:c r="K86" s="13"/>
      <x:c r="L86" s="13"/>
      <x:c r="M86" s="13" t="n">
        <x:v>24626.05</x:v>
      </x:c>
      <x:c r="N86" s="15" t="n">
        <x:v>0.2945973339033992</x:v>
      </x:c>
      <x:c r="O86" s="15" t="n">
        <x:v>0.2287333800117033</x:v>
      </x:c>
      <x:c r="P86" s="15" t="n">
        <x:v>0.0344686300114126</x:v>
      </x:c>
      <x:c r="Q86" s="15" t="n">
        <x:v>0.8944954128440367</x:v>
      </x:c>
      <x:c r="R86" s="13" t="n">
        <x:v>0.3194444444444444</x:v>
      </x:c>
      <x:c r="S86" s="13" t="n">
        <x:v>0</x:v>
      </x:c>
      <x:c r="T86" s="13"/>
      <x:c r="U86" s="16" t="n">
        <x:v>0</x:v>
      </x:c>
      <x:c r="V86" s="17" t="n">
        <x:v>0</x:v>
      </x:c>
      <x:c r="W86" s="17" t="n">
        <x:v>0</x:v>
      </x:c>
      <x:c r="X86" s="16" t="n">
        <x:v>0</x:v>
      </x:c>
      <x:c r="Y86" s="16" t="n">
        <x:v>0</x:v>
      </x:c>
      <x:c r="Z86" s="16" t="n">
        <x:v>0</x:v>
      </x:c>
      <x:c r="AA86" s="16" t="n">
        <x:v>0</x:v>
      </x:c>
      <x:c r="AB86" s="16" t="n">
        <x:v>0</x:v>
      </x:c>
      <x:c r="AC86" s="16" t="n">
        <x:v>0</x:v>
      </x:c>
      <x:c r="AD86" s="13" t="n">
        <x:v>-459.35251945011214</x:v>
      </x:c>
      <x:c r="AE86" s="13" t="n">
        <x:v>0.4473898701318416</x:v>
      </x:c>
      <x:c r="AF86" s="13" t="n">
        <x:v>0.0030637585970287</x:v>
      </x:c>
      <x:c r="AG86" s="13" t="n">
        <x:v>0.0717145224072355</x:v>
      </x:c>
      <x:c r="AH86" s="13" t="n">
        <x:v>-0.0152232894112639</x:v>
      </x:c>
      <x:c r="AI86" s="13" t="n">
        <x:v>0.028486087041458</x:v>
      </x:c>
      <x:c r="AJ86" s="13" t="n">
        <x:v>-0.008888081577962</x:v>
      </x:c>
      <x:c r="AK86" s="13" t="n">
        <x:v>0.0373741686194201</x:v>
      </x:c>
      <x:c r="AL86" s="13" t="n">
        <x:v>0.0097990027317479</x:v>
      </x:c>
      <x:c r="AM86" s="13" t="n">
        <x:v>-0.0005798922674993</x:v>
      </x:c>
    </x:row>
    <x:row r="87" ht="15" hidden="0" customHeight="1">
      <x:c r="A87" s="13" t="n">
        <x:v>1058</x:v>
      </x:c>
      <x:c r="B87" s="13" t="str">
        <x:v>2024-08-01</x:v>
      </x:c>
      <x:c r="C87" s="13" t="str">
        <x:v>validation_2024</x:v>
      </x:c>
      <x:c r="D87" s="14" t="b">
        <x:v>1</x:v>
      </x:c>
      <x:c r="E87" s="13" t="str">
        <x:v>rbi_mpc</x:v>
      </x:c>
      <x:c r="F87" s="13" t="str">
        <x:v>pre_2024_11_20</x:v>
      </x:c>
      <x:c r="G87" s="14" t="b">
        <x:v>1</x:v>
      </x:c>
      <x:c r="H87" s="13"/>
      <x:c r="I87" s="13" t="str">
        <x:v>short_iron_fly</x:v>
      </x:c>
      <x:c r="J87" s="13" t="str">
        <x:v>2024-08-01 05:03:00+00:00</x:v>
      </x:c>
      <x:c r="K87" s="13" t="str">
        <x:v>2024-08-01 11:33:00+05:30</x:v>
      </x:c>
      <x:c r="L87" s="13" t="n">
        <x:v>7.20625</x:v>
      </x:c>
      <x:c r="M87" s="13" t="n">
        <x:v>25023.4</x:v>
      </x:c>
      <x:c r="N87" s="15" t="n">
        <x:v>0.1624827627030646</x:v>
      </x:c>
      <x:c r="O87" s="15" t="n">
        <x:v>0.1380030926974252</x:v>
      </x:c>
      <x:c r="P87" s="15" t="n">
        <x:v>0.0073557945815662</x:v>
      </x:c>
      <x:c r="Q87" s="15" t="n">
        <x:v>0.8808172531214529</x:v>
      </x:c>
      <x:c r="R87" s="13" t="n">
        <x:v>0.9305555555555556</x:v>
      </x:c>
      <x:c r="S87" s="13" t="n">
        <x:v>13</x:v>
      </x:c>
      <x:c r="T87" s="13" t="n">
        <x:v>25</x:v>
      </x:c>
      <x:c r="U87" s="16" t="n">
        <x:v>376644.3619574546</x:v>
      </x:c>
      <x:c r="V87" s="17" t="n">
        <x:v>0.3474999020396081</x:v>
      </x:c>
      <x:c r="W87" s="17" t="n">
        <x:v>0.0274989291811001</x:v>
      </x:c>
      <x:c r="X87" s="16" t="n">
        <x:v>4322.5</x:v>
      </x:c>
      <x:c r="Y87" s="16" t="n">
        <x:v>229.69577447350323</x:v>
      </x:c>
      <x:c r="Z87" s="16" t="n">
        <x:v>188.81537040132687</x:v>
      </x:c>
      <x:c r="AA87" s="16" t="n">
        <x:v>418.5111448748301</x:v>
      </x:c>
      <x:c r="AB87" s="16" t="n">
        <x:v>3903.9888551251697</x:v>
      </x:c>
      <x:c r="AC87" s="16" t="n">
        <x:v>53034.095650415205</x:v>
      </x:c>
      <x:c r="AD87" s="13" t="n">
        <x:v>128.69239186927592</x:v>
      </x:c>
      <x:c r="AE87" s="13" t="n">
        <x:v>1.2013367210392432</x:v>
      </x:c>
      <x:c r="AF87" s="13" t="n">
        <x:v>0.026187982941889</x:v>
      </x:c>
      <x:c r="AG87" s="13" t="n">
        <x:v>0.0195399777899756</x:v>
      </x:c>
      <x:c r="AH87" s="13" t="n">
        <x:v>-0.0009950084909786</x:v>
      </x:c>
      <x:c r="AI87" s="13" t="n">
        <x:v>0.0679389323655165</x:v>
      </x:c>
      <x:c r="AJ87" s="13" t="n">
        <x:v>0.0069876889877978</x:v>
      </x:c>
      <x:c r="AK87" s="13" t="n">
        <x:v>0.0609512433777186</x:v>
      </x:c>
      <x:c r="AL87" s="13" t="n">
        <x:v>0.0374633106766572</x:v>
      </x:c>
      <x:c r="AM87" s="13" t="n">
        <x:v>0</x:v>
      </x:c>
    </x:row>
    <x:row r="88" ht="15" hidden="0" customHeight="1">
      <x:c r="A88" s="13" t="n">
        <x:v>1064</x:v>
      </x:c>
      <x:c r="B88" s="13" t="str">
        <x:v>2024-11-05</x:v>
      </x:c>
      <x:c r="C88" s="13" t="str">
        <x:v>validation_2024</x:v>
      </x:c>
      <x:c r="D88" s="14" t="b">
        <x:v>0</x:v>
      </x:c>
      <x:c r="E88" s="13" t="str">
        <x:v>none</x:v>
      </x:c>
      <x:c r="F88" s="13" t="str">
        <x:v>pre_2024_11_20</x:v>
      </x:c>
      <x:c r="G88" s="14" t="b">
        <x:v>1</x:v>
      </x:c>
      <x:c r="H88" s="13"/>
      <x:c r="I88" s="13" t="str">
        <x:v>short_iron_fly</x:v>
      </x:c>
      <x:c r="J88" s="13" t="str">
        <x:v>2024-11-05 06:11:00+00:00</x:v>
      </x:c>
      <x:c r="K88" s="13" t="str">
        <x:v>2024-11-05 12:41:00+05:30</x:v>
      </x:c>
      <x:c r="L88" s="13" t="n">
        <x:v>9.159027777777778</x:v>
      </x:c>
      <x:c r="M88" s="13" t="n">
        <x:v>23883.75</x:v>
      </x:c>
      <x:c r="N88" s="15" t="n">
        <x:v>0.266769543486362</x:v>
      </x:c>
      <x:c r="O88" s="15" t="n">
        <x:v>0.2076166148855569</x:v>
      </x:c>
      <x:c r="P88" s="15" t="n">
        <x:v>0.0280613305553843</x:v>
      </x:c>
      <x:c r="Q88" s="15" t="n">
        <x:v>0.883843717001056</x:v>
      </x:c>
      <x:c r="R88" s="13" t="n">
        <x:v>0.5416666666666666</x:v>
      </x:c>
      <x:c r="S88" s="13" t="n">
        <x:v>11</x:v>
      </x:c>
      <x:c r="T88" s="13" t="n">
        <x:v>25</x:v>
      </x:c>
      <x:c r="U88" s="16" t="n">
        <x:v>374923.7030358905</x:v>
      </x:c>
      <x:c r="V88" s="17" t="n">
        <x:v>0.344670915868722</x:v>
      </x:c>
      <x:c r="W88" s="17" t="n">
        <x:v>0.0070663315915846</x:v>
      </x:c>
      <x:c r="X88" s="16" t="n">
        <x:v>494.99999999999534</x:v>
      </x:c>
      <x:c r="Y88" s="16" t="n">
        <x:v>514.1104530484856</x:v>
      </x:c>
      <x:c r="Z88" s="16" t="n">
        <x:v>912.6979457424</x:v>
      </x:c>
      <x:c r="AA88" s="16" t="n">
        <x:v>1426.8083987908856</x:v>
      </x:c>
      <x:c r="AB88" s="16" t="n">
        <x:v>-931.8083987908902</x:v>
      </x:c>
      <x:c r="AC88" s="16" t="n">
        <x:v>347980.76246124326</x:v>
      </x:c>
      <x:c r="AD88" s="13" t="n">
        <x:v>-240.99889901475956</x:v>
      </x:c>
      <x:c r="AE88" s="13" t="n">
        <x:v>1.0295982704943716</x:v>
      </x:c>
      <x:c r="AF88" s="13" t="n">
        <x:v>0.0115610736476934</x:v>
      </x:c>
      <x:c r="AG88" s="13" t="n">
        <x:v>0.0151377576065476</x:v>
      </x:c>
      <x:c r="AH88" s="13" t="n">
        <x:v>-0.0046435537443508</x:v>
      </x:c>
      <x:c r="AI88" s="13" t="n">
        <x:v>0.0054112843554816</x:v>
      </x:c>
      <x:c r="AJ88" s="13" t="n">
        <x:v>-0.0069584806248984</x:v>
      </x:c>
      <x:c r="AK88" s="13" t="n">
        <x:v>0.0123697649803801</x:v>
      </x:c>
      <x:c r="AL88" s="13" t="n">
        <x:v>-0.0007735981347083</x:v>
      </x:c>
      <x:c r="AM88" s="13" t="n">
        <x:v>-0.0008566202980092</x:v>
      </x:c>
    </x:row>
    <x:row r="89" ht="15" hidden="0" customHeight="1">
      <x:c r="A89" s="13" t="n">
        <x:v>1066</x:v>
      </x:c>
      <x:c r="B89" s="13" t="str">
        <x:v>2024-12-04</x:v>
      </x:c>
      <x:c r="C89" s="13" t="str">
        <x:v>validation_2024</x:v>
      </x:c>
      <x:c r="D89" s="14" t="b">
        <x:v>1</x:v>
      </x:c>
      <x:c r="E89" s="13" t="str">
        <x:v>rbi_mpc</x:v>
      </x:c>
      <x:c r="F89" s="13" t="str">
        <x:v>post_2024_11_20</x:v>
      </x:c>
      <x:c r="G89" s="14" t="b">
        <x:v>0</x:v>
      </x:c>
      <x:c r="H89" s="13" t="str">
        <x:v>confidence_score_at_or_below_0.40</x:v>
      </x:c>
      <x:c r="I89" s="13"/>
      <x:c r="J89" s="13" t="str">
        <x:v>2024-12-04 05:17:00+00:00</x:v>
      </x:c>
      <x:c r="K89" s="13"/>
      <x:c r="L89" s="13"/>
      <x:c r="M89" s="13" t="n">
        <x:v>24527.65</x:v>
      </x:c>
      <x:c r="N89" s="15" t="n">
        <x:v>0.2097504832740562</x:v>
      </x:c>
      <x:c r="O89" s="15" t="n">
        <x:v>0.1737969544506274</x:v>
      </x:c>
      <x:c r="P89" s="15" t="n">
        <x:v>0.0137898838573866</x:v>
      </x:c>
      <x:c r="Q89" s="15" t="n">
        <x:v>0.8797927461139896</x:v>
      </x:c>
      <x:c r="R89" s="13" t="n">
        <x:v>0.2083333333333333</x:v>
      </x:c>
      <x:c r="S89" s="13" t="n">
        <x:v>0</x:v>
      </x:c>
      <x:c r="T89" s="13"/>
      <x:c r="U89" s="16" t="n">
        <x:v>0</x:v>
      </x:c>
      <x:c r="V89" s="17" t="n">
        <x:v>0</x:v>
      </x:c>
      <x:c r="W89" s="17" t="n">
        <x:v>0</x:v>
      </x:c>
      <x:c r="X89" s="16" t="n">
        <x:v>0</x:v>
      </x:c>
      <x:c r="Y89" s="16" t="n">
        <x:v>0</x:v>
      </x:c>
      <x:c r="Z89" s="16" t="n">
        <x:v>0</x:v>
      </x:c>
      <x:c r="AA89" s="16" t="n">
        <x:v>0</x:v>
      </x:c>
      <x:c r="AB89" s="16" t="n">
        <x:v>0</x:v>
      </x:c>
      <x:c r="AC89" s="16" t="n">
        <x:v>0</x:v>
      </x:c>
      <x:c r="AD89" s="13" t="n">
        <x:v>-226.07655234410265</x:v>
      </x:c>
      <x:c r="AE89" s="13" t="n">
        <x:v>0.0057344312197799</x:v>
      </x:c>
      <x:c r="AF89" s="13" t="n">
        <x:v>0.0017890988536538</x:v>
      </x:c>
      <x:c r="AG89" s="13" t="n">
        <x:v>-0.001081730043916</x:v>
      </x:c>
      <x:c r="AH89" s="13" t="n">
        <x:v>-0.0258968501187402</x:v>
      </x:c>
      <x:c r="AI89" s="13" t="n">
        <x:v>0.0113199523459538</x:v>
      </x:c>
      <x:c r="AJ89" s="13" t="n">
        <x:v>-0.0115874941930835</x:v>
      </x:c>
      <x:c r="AK89" s="13" t="n">
        <x:v>0.0229074465390373</x:v>
      </x:c>
      <x:c r="AL89" s="13" t="n">
        <x:v>-0.0001337709235648</x:v>
      </x:c>
      <x:c r="AM89" s="13" t="n">
        <x:v>-0.0008566202980092</x:v>
      </x:c>
    </x:row>
    <x:row r="90" ht="15" hidden="0" customHeight="1">
      <x:c r="A90" s="13" t="n">
        <x:v>1067</x:v>
      </x:c>
      <x:c r="B90" s="13" t="str">
        <x:v>2024-12-09</x:v>
      </x:c>
      <x:c r="C90" s="13" t="str">
        <x:v>validation_2024</x:v>
      </x:c>
      <x:c r="D90" s="14" t="b">
        <x:v>1</x:v>
      </x:c>
      <x:c r="E90" s="13" t="str">
        <x:v>rbi_mpc</x:v>
      </x:c>
      <x:c r="F90" s="13" t="str">
        <x:v>post_2024_11_20</x:v>
      </x:c>
      <x:c r="G90" s="14" t="b">
        <x:v>1</x:v>
      </x:c>
      <x:c r="H90" s="13"/>
      <x:c r="I90" s="13" t="str">
        <x:v>short_iron_fly</x:v>
      </x:c>
      <x:c r="J90" s="13" t="str">
        <x:v>2024-12-09 08:36:00+00:00</x:v>
      </x:c>
      <x:c r="K90" s="13" t="str">
        <x:v>2024-12-09 15:06:00+05:30</x:v>
      </x:c>
      <x:c r="L90" s="13" t="n">
        <x:v>10.058333333333334</x:v>
      </x:c>
      <x:c r="M90" s="13" t="n">
        <x:v>24615.25</x:v>
      </x:c>
      <x:c r="N90" s="15" t="n">
        <x:v>0.168544033430753</x:v>
      </x:c>
      <x:c r="O90" s="15" t="n">
        <x:v>0.1108903736477929</x:v>
      </x:c>
      <x:c r="P90" s="15" t="n">
        <x:v>0.0161104162373596</x:v>
      </x:c>
      <x:c r="Q90" s="15" t="n">
        <x:v>0.8596491228070176</x:v>
      </x:c>
      <x:c r="R90" s="13" t="n">
        <x:v>0.5416666666666666</x:v>
      </x:c>
      <x:c r="S90" s="13" t="n">
        <x:v>11</x:v>
      </x:c>
      <x:c r="T90" s="13" t="n">
        <x:v>25</x:v>
      </x:c>
      <x:c r="U90" s="16" t="n">
        <x:v>361797.1253867454</x:v>
      </x:c>
      <x:c r="V90" s="17" t="n">
        <x:v>0.3328886877541095</x:v>
      </x:c>
      <x:c r="W90" s="17" t="n">
        <x:v>0.0092104668772378</x:v>
      </x:c>
      <x:c r="X90" s="16" t="n">
        <x:v>275.0000000000039</x:v>
      </x:c>
      <x:c r="Y90" s="16" t="n">
        <x:v>429.755848511142</x:v>
      </x:c>
      <x:c r="Z90" s="16" t="n">
        <x:v>496.8519520216514</x:v>
      </x:c>
      <x:c r="AA90" s="16" t="n">
        <x:v>926.6078005327934</x:v>
      </x:c>
      <x:c r="AB90" s="16" t="n">
        <x:v>-651.6078005327895</x:v>
      </x:c>
      <x:c r="AC90" s="16" t="n">
        <x:v>257702.2501938913</x:v>
      </x:c>
      <x:c r="AD90" s="13" t="n">
        <x:v>-223.2442009504788</x:v>
      </x:c>
      <x:c r="AE90" s="13" t="n">
        <x:v>0.1162370861280683</x:v>
      </x:c>
      <x:c r="AF90" s="13" t="n">
        <x:v>0.0004494624708284</x:v>
      </x:c>
      <x:c r="AG90" s="13" t="n">
        <x:v>0.0007477316277763</x:v>
      </x:c>
      <x:c r="AH90" s="13" t="n">
        <x:v>-0.0074094191013838</x:v>
      </x:c>
      <x:c r="AI90" s="13" t="n">
        <x:v>0.0014797656589791</x:v>
      </x:c>
      <x:c r="AJ90" s="13" t="n">
        <x:v>0.0011121349970866</x:v>
      </x:c>
      <x:c r="AK90" s="13" t="n">
        <x:v>0.0003676306618925</x:v>
      </x:c>
      <x:c r="AL90" s="13" t="n">
        <x:v>0.0012959503280329</x:v>
      </x:c>
      <x:c r="AM90" s="13" t="n">
        <x:v>-0.001455649528699</x:v>
      </x:c>
    </x:row>
    <x:row r="91" ht="15" hidden="0" customHeight="1">
      <x:c r="A91" s="13" t="n">
        <x:v>1068</x:v>
      </x:c>
      <x:c r="B91" s="13" t="str">
        <x:v>2024-12-12</x:v>
      </x:c>
      <x:c r="C91" s="13" t="str">
        <x:v>validation_2024</x:v>
      </x:c>
      <x:c r="D91" s="14" t="b">
        <x:v>1</x:v>
      </x:c>
      <x:c r="E91" s="13" t="str">
        <x:v>rbi_mpc</x:v>
      </x:c>
      <x:c r="F91" s="13" t="str">
        <x:v>post_2024_11_20</x:v>
      </x:c>
      <x:c r="G91" s="14" t="b">
        <x:v>1</x:v>
      </x:c>
      <x:c r="H91" s="13"/>
      <x:c r="I91" s="13" t="str">
        <x:v>short_iron_fly</x:v>
      </x:c>
      <x:c r="J91" s="13" t="str">
        <x:v>2024-12-12 05:28:00+00:00</x:v>
      </x:c>
      <x:c r="K91" s="13" t="str">
        <x:v>2024-12-12 11:58:00+05:30</x:v>
      </x:c>
      <x:c r="L91" s="13" t="n">
        <x:v>7.188888888888889</x:v>
      </x:c>
      <x:c r="M91" s="13" t="n">
        <x:v>24608.4</x:v>
      </x:c>
      <x:c r="N91" s="15" t="n">
        <x:v>0.1871732710570087</x:v>
      </x:c>
      <x:c r="O91" s="15" t="n">
        <x:v>0.134212936644255</x:v>
      </x:c>
      <x:c r="P91" s="15" t="n">
        <x:v>0.0170207210355056</x:v>
      </x:c>
      <x:c r="Q91" s="15" t="n">
        <x:v>0.8774459320288363</x:v>
      </x:c>
      <x:c r="R91" s="13" t="n">
        <x:v>0.9444444444444444</x:v>
      </x:c>
      <x:c r="S91" s="13" t="n">
        <x:v>13</x:v>
      </x:c>
      <x:c r="T91" s="13" t="n">
        <x:v>25</x:v>
      </x:c>
      <x:c r="U91" s="16" t="n">
        <x:v>378435.1757450296</x:v>
      </x:c>
      <x:c r="V91" s="17" t="n">
        <x:v>0.3484062033577373</x:v>
      </x:c>
      <x:c r="W91" s="17" t="n">
        <x:v>0.0309559102869626</x:v>
      </x:c>
      <x:c r="X91" s="16" t="n">
        <x:v>195.0000000000008</x:v>
      </x:c>
      <x:c r="Y91" s="16" t="n">
        <x:v>252.1617852205136</x:v>
      </x:c>
      <x:c r="Z91" s="16" t="n">
        <x:v>184.5120389992559</x:v>
      </x:c>
      <x:c r="AA91" s="16" t="n">
        <x:v>436.6738242197695</x:v>
      </x:c>
      <x:c r="AB91" s="16" t="n">
        <x:v>-241.6738242197688</x:v>
      </x:c>
      <x:c r="AC91" s="16" t="n">
        <x:v>67729.73674190613</x:v>
      </x:c>
      <x:c r="AD91" s="13" t="n">
        <x:v>-190.2081112136244</x:v>
      </x:c>
      <x:c r="AE91" s="13" t="n">
        <x:v>1.3001151278584615</x:v>
      </x:c>
      <x:c r="AF91" s="13" t="n">
        <x:v>0.0194046447952593</x:v>
      </x:c>
      <x:c r="AG91" s="13" t="n">
        <x:v>0.0194603319284666</x:v>
      </x:c>
      <x:c r="AH91" s="13" t="n">
        <x:v>0.0011035168316413</x:v>
      </x:c>
      <x:c r="AI91" s="13" t="n">
        <x:v>0.0875664785250793</x:v>
      </x:c>
      <x:c r="AJ91" s="13" t="n">
        <x:v>0.0819442459667419</x:v>
      </x:c>
      <x:c r="AK91" s="13" t="n">
        <x:v>0.0056222325583373</x:v>
      </x:c>
      <x:c r="AL91" s="13" t="n">
        <x:v>0.0847553622459106</x:v>
      </x:c>
      <x:c r="AM91" s="13" t="n">
        <x:v>-0.0016778225672687</x:v>
      </x:c>
    </x:row>
    <x:row r="92" ht="15" hidden="0" customHeight="1">
      <x:c r="A92" s="13" t="n">
        <x:v>1069</x:v>
      </x:c>
      <x:c r="B92" s="13" t="str">
        <x:v>2025-01-01</x:v>
      </x:c>
      <x:c r="C92" s="13" t="str">
        <x:v>confirmation_2025_2026</x:v>
      </x:c>
      <x:c r="D92" s="14" t="b">
        <x:v>0</x:v>
      </x:c>
      <x:c r="E92" s="13" t="str">
        <x:v>none</x:v>
      </x:c>
      <x:c r="F92" s="13" t="str">
        <x:v>post_2024_11_20</x:v>
      </x:c>
      <x:c r="G92" s="14" t="b">
        <x:v>1</x:v>
      </x:c>
      <x:c r="H92" s="13"/>
      <x:c r="I92" s="13" t="str">
        <x:v>short_iron_fly</x:v>
      </x:c>
      <x:c r="J92" s="13" t="str">
        <x:v>2025-01-01 05:18:00+00:00</x:v>
      </x:c>
      <x:c r="K92" s="13" t="str">
        <x:v>2025-01-01 11:48:00+05:30</x:v>
      </x:c>
      <x:c r="L92" s="13" t="n">
        <x:v>8.195833333333333</x:v>
      </x:c>
      <x:c r="M92" s="13" t="n">
        <x:v>23688.9</x:v>
      </x:c>
      <x:c r="N92" s="15" t="n">
        <x:v>0.243722564848408</x:v>
      </x:c>
      <x:c r="O92" s="15" t="n">
        <x:v>0.2201009063748621</x:v>
      </x:c>
      <x:c r="P92" s="15" t="n">
        <x:v>0.0109562796292506</x:v>
      </x:c>
      <x:c r="Q92" s="15" t="n">
        <x:v>0.8638211382113821</x:v>
      </x:c>
      <x:c r="R92" s="13" t="n">
        <x:v>0.6666666666666666</x:v>
      </x:c>
      <x:c r="S92" s="13" t="n">
        <x:v>4</x:v>
      </x:c>
      <x:c r="T92" s="13" t="n">
        <x:v>75</x:v>
      </x:c>
      <x:c r="U92" s="16" t="n">
        <x:v>374094.8649688247</x:v>
      </x:c>
      <x:c r="V92" s="17" t="n">
        <x:v>0.3444869451439</x:v>
      </x:c>
      <x:c r="W92" s="17" t="n">
        <x:v>0.0076797088750815</x:v>
      </x:c>
      <x:c r="X92" s="16" t="n">
        <x:v>-255.00000000000043</x:v>
      </x:c>
      <x:c r="Y92" s="16" t="n">
        <x:v>422.2623841518463</x:v>
      </x:c>
      <x:c r="Z92" s="16" t="n">
        <x:v>459.2051597328219</x:v>
      </x:c>
      <x:c r="AA92" s="16" t="n">
        <x:v>881.4675438846682</x:v>
      </x:c>
      <x:c r="AB92" s="16" t="n">
        <x:v>-1136.4675438846689</x:v>
      </x:c>
      <x:c r="AC92" s="16" t="n">
        <x:v>249946.8414172638</x:v>
      </x:c>
      <x:c r="AD92" s="13" t="n">
        <x:v>-417.4148751391067</x:v>
      </x:c>
      <x:c r="AE92" s="13" t="n">
        <x:v>0.9757812746791692</x:v>
      </x:c>
      <x:c r="AF92" s="13" t="n">
        <x:v>0.0114345607524865</x:v>
      </x:c>
      <x:c r="AG92" s="13" t="n">
        <x:v>0.0143700365297376</x:v>
      </x:c>
      <x:c r="AH92" s="13" t="n">
        <x:v>-0.0057868838722828</x:v>
      </x:c>
      <x:c r="AI92" s="13" t="n">
        <x:v>0.0043706896466712</x:v>
      </x:c>
      <x:c r="AJ92" s="13" t="n">
        <x:v>-0.0086857830208623</x:v>
      </x:c>
      <x:c r="AK92" s="13" t="n">
        <x:v>0.0130564726675335</x:v>
      </x:c>
      <x:c r="AL92" s="13" t="n">
        <x:v>-0.0021575466870955</x:v>
      </x:c>
      <x:c r="AM92" s="13" t="n">
        <x:v>-0.0027225879582908</x:v>
      </x:c>
    </x:row>
    <x:row r="93" ht="15" hidden="0" customHeight="1">
      <x:c r="A93" s="13" t="n">
        <x:v>1072</x:v>
      </x:c>
      <x:c r="B93" s="13" t="str">
        <x:v>2025-01-31</x:v>
      </x:c>
      <x:c r="C93" s="13" t="str">
        <x:v>confirmation_2025_2026</x:v>
      </x:c>
      <x:c r="D93" s="14" t="b">
        <x:v>1</x:v>
      </x:c>
      <x:c r="E93" s="13" t="str">
        <x:v>rbi_mpc|union_budget</x:v>
      </x:c>
      <x:c r="F93" s="13" t="str">
        <x:v>post_2024_11_20</x:v>
      </x:c>
      <x:c r="G93" s="14" t="b">
        <x:v>0</x:v>
      </x:c>
      <x:c r="H93" s="13" t="str">
        <x:v>confidence_score_at_or_below_0.40</x:v>
      </x:c>
      <x:c r="I93" s="13"/>
      <x:c r="J93" s="13" t="str">
        <x:v>2025-01-31 05:40:00+00:00</x:v>
      </x:c>
      <x:c r="K93" s="13"/>
      <x:c r="L93" s="13"/>
      <x:c r="M93" s="13" t="n">
        <x:v>23423.5</x:v>
      </x:c>
      <x:c r="N93" s="15" t="n">
        <x:v>0.2363441182170158</x:v>
      </x:c>
      <x:c r="O93" s="15" t="n">
        <x:v>0.1973956198271497</x:v>
      </x:c>
      <x:c r="P93" s="15" t="n">
        <x:v>0.0168935114888341</x:v>
      </x:c>
      <x:c r="Q93" s="15" t="n">
        <x:v>0.8578528827037774</x:v>
      </x:c>
      <x:c r="R93" s="13" t="n">
        <x:v>0.0833333333333333</x:v>
      </x:c>
      <x:c r="S93" s="13" t="n">
        <x:v>0</x:v>
      </x:c>
      <x:c r="T93" s="13"/>
      <x:c r="U93" s="16" t="n">
        <x:v>0</x:v>
      </x:c>
      <x:c r="V93" s="17" t="n">
        <x:v>0</x:v>
      </x:c>
      <x:c r="W93" s="17" t="n">
        <x:v>0</x:v>
      </x:c>
      <x:c r="X93" s="16" t="n">
        <x:v>0</x:v>
      </x:c>
      <x:c r="Y93" s="16" t="n">
        <x:v>0</x:v>
      </x:c>
      <x:c r="Z93" s="16" t="n">
        <x:v>0</x:v>
      </x:c>
      <x:c r="AA93" s="16" t="n">
        <x:v>0</x:v>
      </x:c>
      <x:c r="AB93" s="16" t="n">
        <x:v>0</x:v>
      </x:c>
      <x:c r="AC93" s="16" t="n">
        <x:v>0</x:v>
      </x:c>
      <x:c r="AD93" s="13" t="n">
        <x:v>-638.6399129969027</x:v>
      </x:c>
      <x:c r="AE93" s="13" t="n">
        <x:v>0.0172733800239388</x:v>
      </x:c>
      <x:c r="AF93" s="13" t="n">
        <x:v>0.0029236291273731</x:v>
      </x:c>
      <x:c r="AG93" s="13" t="n">
        <x:v>-0.0009469176030404</x:v>
      </x:c>
      <x:c r="AH93" s="13" t="n">
        <x:v>-0.0093510478792084</x:v>
      </x:c>
      <x:c r="AI93" s="13" t="n">
        <x:v>0.0085160182539061</x:v>
      </x:c>
      <x:c r="AJ93" s="13" t="n">
        <x:v>-0.008025736819504</x:v>
      </x:c>
      <x:c r="AK93" s="13" t="n">
        <x:v>0.0165417550734102</x:v>
      </x:c>
      <x:c r="AL93" s="13" t="n">
        <x:v>0.000245140717201</x:v>
      </x:c>
      <x:c r="AM93" s="13" t="n">
        <x:v>-0.0027225879582908</x:v>
      </x:c>
    </x:row>
    <x:row r="94" ht="15" hidden="0" customHeight="1">
      <x:c r="A94" s="13" t="n">
        <x:v>1073</x:v>
      </x:c>
      <x:c r="B94" s="13" t="str">
        <x:v>2025-02-13</x:v>
      </x:c>
      <x:c r="C94" s="13" t="str">
        <x:v>confirmation_2025_2026</x:v>
      </x:c>
      <x:c r="D94" s="14" t="b">
        <x:v>1</x:v>
      </x:c>
      <x:c r="E94" s="13" t="str">
        <x:v>rbi_mpc</x:v>
      </x:c>
      <x:c r="F94" s="13" t="str">
        <x:v>post_2024_11_20</x:v>
      </x:c>
      <x:c r="G94" s="14" t="b">
        <x:v>1</x:v>
      </x:c>
      <x:c r="H94" s="13"/>
      <x:c r="I94" s="13" t="str">
        <x:v>short_iron_fly</x:v>
      </x:c>
      <x:c r="J94" s="13" t="str">
        <x:v>2025-02-13 08:05:00+00:00</x:v>
      </x:c>
      <x:c r="K94" s="13" t="str">
        <x:v>2025-02-13 14:35:00+05:30</x:v>
      </x:c>
      <x:c r="L94" s="13" t="n">
        <x:v>7.079861111111111</x:v>
      </x:c>
      <x:c r="M94" s="13" t="n">
        <x:v>23085.4</x:v>
      </x:c>
      <x:c r="N94" s="15" t="n">
        <x:v>0.3254013113053872</x:v>
      </x:c>
      <x:c r="O94" s="15" t="n">
        <x:v>0.2333469063277388</x:v>
      </x:c>
      <x:c r="P94" s="15" t="n">
        <x:v>0.0514352347065389</x:v>
      </x:c>
      <x:c r="Q94" s="15" t="n">
        <x:v>0.9547689282202556</x:v>
      </x:c>
      <x:c r="R94" s="13" t="n">
        <x:v>0.9166666666666666</x:v>
      </x:c>
      <x:c r="S94" s="13" t="n">
        <x:v>4</x:v>
      </x:c>
      <x:c r="T94" s="13" t="n">
        <x:v>75</x:v>
      </x:c>
      <x:c r="U94" s="16" t="n">
        <x:v>330337.74664228514</x:v>
      </x:c>
      <x:c r="V94" s="17" t="n">
        <x:v>0.304511683157505</x:v>
      </x:c>
      <x:c r="W94" s="17" t="n">
        <x:v>0.0227456711931242</x:v>
      </x:c>
      <x:c r="X94" s="16" t="n">
        <x:v>-3809.999999999999</x:v>
      </x:c>
      <x:c r="Y94" s="16" t="n">
        <x:v>247.7199385293203</x:v>
      </x:c>
      <x:c r="Z94" s="16" t="n">
        <x:v>189.5015356865592</x:v>
      </x:c>
      <x:c r="AA94" s="16" t="n">
        <x:v>437.2214742158795</x:v>
      </x:c>
      <x:c r="AB94" s="16" t="n">
        <x:v>-4247.221474215879</x:v>
      </x:c>
      <x:c r="AC94" s="16" t="n">
        <x:v>65060.385632902246</x:v>
      </x:c>
      <x:c r="AD94" s="13" t="n">
        <x:v>-1200.6480510499669</x:v>
      </x:c>
      <x:c r="AE94" s="13" t="n">
        <x:v>3.6834704476674456</x:v>
      </x:c>
      <x:c r="AF94" s="13" t="n">
        <x:v>0.1156181334580215</x:v>
      </x:c>
      <x:c r="AG94" s="13" t="n">
        <x:v>0.148125327412318</x:v>
      </x:c>
      <x:c r="AH94" s="13" t="n">
        <x:v>0.0517373714611643</x:v>
      </x:c>
      <x:c r="AI94" s="13" t="n">
        <x:v>0.1003898894296047</x:v>
      </x:c>
      <x:c r="AJ94" s="13" t="n">
        <x:v>0.0203895469959547</x:v>
      </x:c>
      <x:c r="AK94" s="13" t="n">
        <x:v>0.0800003424336499</x:v>
      </x:c>
      <x:c r="AL94" s="13" t="n">
        <x:v>0.0603897182127797</x:v>
      </x:c>
      <x:c r="AM94" s="13" t="n">
        <x:v>-0.0066270989389561</x:v>
      </x:c>
    </x:row>
    <x:row r="95" ht="15" hidden="0" customHeight="1">
      <x:c r="A95" s="13" t="n">
        <x:v>1075</x:v>
      </x:c>
      <x:c r="B95" s="13" t="str">
        <x:v>2025-02-20</x:v>
      </x:c>
      <x:c r="C95" s="13" t="str">
        <x:v>confirmation_2025_2026</x:v>
      </x:c>
      <x:c r="D95" s="14" t="b">
        <x:v>0</x:v>
      </x:c>
      <x:c r="E95" s="13" t="str">
        <x:v>none</x:v>
      </x:c>
      <x:c r="F95" s="13" t="str">
        <x:v>post_2024_11_20</x:v>
      </x:c>
      <x:c r="G95" s="14" t="b">
        <x:v>1</x:v>
      </x:c>
      <x:c r="H95" s="13"/>
      <x:c r="I95" s="13" t="str">
        <x:v>short_iron_fly</x:v>
      </x:c>
      <x:c r="J95" s="13" t="str">
        <x:v>2025-02-20 05:42:00+00:00</x:v>
      </x:c>
      <x:c r="K95" s="13" t="str">
        <x:v>2025-02-20 12:12:00+05:30</x:v>
      </x:c>
      <x:c r="L95" s="13" t="n">
        <x:v>14.179166666666667</x:v>
      </x:c>
      <x:c r="M95" s="13" t="n">
        <x:v>22904.35</x:v>
      </x:c>
      <x:c r="N95" s="15" t="n">
        <x:v>0.2039796018508266</x:v>
      </x:c>
      <x:c r="O95" s="15" t="n">
        <x:v>0.155394832028391</x:v>
      </x:c>
      <x:c r="P95" s="15" t="n">
        <x:v>0.0174601241500898</x:v>
      </x:c>
      <x:c r="Q95" s="15" t="n">
        <x:v>0.8589618021547503</x:v>
      </x:c>
      <x:c r="R95" s="13" t="n">
        <x:v>0.4305555555555556</x:v>
      </x:c>
      <x:c r="S95" s="13" t="n">
        <x:v>4</x:v>
      </x:c>
      <x:c r="T95" s="13" t="n">
        <x:v>75</x:v>
      </x:c>
      <x:c r="U95" s="16" t="n">
        <x:v>328015.1290936224</x:v>
      </x:c>
      <x:c r="V95" s="17" t="n">
        <x:v>0.3035591354003859</x:v>
      </x:c>
      <x:c r="W95" s="17" t="n">
        <x:v>0.0246396872410372</x:v>
      </x:c>
      <x:c r="X95" s="16" t="n">
        <x:v>3779.999999999997</x:v>
      </x:c>
      <x:c r="Y95" s="16" t="n">
        <x:v>239.2655883966952</x:v>
      </x:c>
      <x:c r="Z95" s="16" t="n">
        <x:v>154.46093692293869</x:v>
      </x:c>
      <x:c r="AA95" s="16" t="n">
        <x:v>393.7265253196339</x:v>
      </x:c>
      <x:c r="AB95" s="16" t="n">
        <x:v>3386.2734746803635</x:v>
      </x:c>
      <x:c r="AC95" s="16" t="n">
        <x:v>52069.09514845817</x:v>
      </x:c>
      <x:c r="AD95" s="13" t="n">
        <x:v>707.514060443994</x:v>
      </x:c>
      <x:c r="AE95" s="13" t="n">
        <x:v>0.3352294886152647</x:v>
      </x:c>
      <x:c r="AF95" s="13" t="n">
        <x:v>0.0057068520688895</x:v>
      </x:c>
      <x:c r="AG95" s="13" t="n">
        <x:v>0.0068677907355576</x:v>
      </x:c>
      <x:c r="AH95" s="13" t="n">
        <x:v>-0.0193952643553241</x:v>
      </x:c>
      <x:c r="AI95" s="13" t="n">
        <x:v>0.0600397451008053</x:v>
      </x:c>
      <x:c r="AJ95" s="13" t="n">
        <x:v>0.0628075252185328</x:v>
      </x:c>
      <x:c r="AK95" s="13" t="n">
        <x:v>-0.0027677801177274</x:v>
      </x:c>
      <x:c r="AL95" s="13" t="n">
        <x:v>0.061423635159669</x:v>
      </x:c>
      <x:c r="AM95" s="13" t="n">
        <x:v>-0.0035140656192453</x:v>
      </x:c>
    </x:row>
    <x:row r="96" ht="15" hidden="0" customHeight="1">
      <x:c r="A96" s="13" t="n">
        <x:v>1076</x:v>
      </x:c>
      <x:c r="B96" s="13" t="str">
        <x:v>2025-03-06</x:v>
      </x:c>
      <x:c r="C96" s="13" t="str">
        <x:v>confirmation_2025_2026</x:v>
      </x:c>
      <x:c r="D96" s="14" t="b">
        <x:v>0</x:v>
      </x:c>
      <x:c r="E96" s="13" t="str">
        <x:v>none</x:v>
      </x:c>
      <x:c r="F96" s="13" t="str">
        <x:v>post_2024_11_20</x:v>
      </x:c>
      <x:c r="G96" s="14" t="b">
        <x:v>1</x:v>
      </x:c>
      <x:c r="H96" s="13"/>
      <x:c r="I96" s="13" t="str">
        <x:v>short_iron_fly</x:v>
      </x:c>
      <x:c r="J96" s="13" t="str">
        <x:v>2025-03-06 07:20:00+00:00</x:v>
      </x:c>
      <x:c r="K96" s="13" t="str">
        <x:v>2025-03-06 13:50:00+05:30</x:v>
      </x:c>
      <x:c r="L96" s="13" t="n">
        <x:v>7.111111111111111</x:v>
      </x:c>
      <x:c r="M96" s="13" t="n">
        <x:v>22470.1</x:v>
      </x:c>
      <x:c r="N96" s="15" t="n">
        <x:v>0.2648305384911609</x:v>
      </x:c>
      <x:c r="O96" s="15" t="n">
        <x:v>0.1966901581504233</x:v>
      </x:c>
      <x:c r="P96" s="15" t="n">
        <x:v>0.0314481958042797</x:v>
      </x:c>
      <x:c r="Q96" s="15" t="n">
        <x:v>0.8884578079534433</x:v>
      </x:c>
      <x:c r="R96" s="13" t="n">
        <x:v>0.5833333333333334</x:v>
      </x:c>
      <x:c r="S96" s="13" t="n">
        <x:v>4</x:v>
      </x:c>
      <x:c r="T96" s="13" t="n">
        <x:v>75</x:v>
      </x:c>
      <x:c r="U96" s="16" t="n">
        <x:v>318616.0368203628</x:v>
      </x:c>
      <x:c r="V96" s="17" t="n">
        <x:v>0.2939396675912014</x:v>
      </x:c>
      <x:c r="W96" s="17" t="n">
        <x:v>0.022376265785757</x:v>
      </x:c>
      <x:c r="X96" s="16" t="n">
        <x:v>3480</x:v>
      </x:c>
      <x:c r="Y96" s="16" t="n">
        <x:v>236.43817904663865</x:v>
      </x:c>
      <x:c r="Z96" s="16" t="n">
        <x:v>156.55099722451246</x:v>
      </x:c>
      <x:c r="AA96" s="16" t="n">
        <x:v>392.9891762711511</x:v>
      </x:c>
      <x:c r="AB96" s="16" t="n">
        <x:v>3087.0108237288487</x:v>
      </x:c>
      <x:c r="AC96" s="16" t="n">
        <x:v>49203.157336907294</x:v>
      </x:c>
      <x:c r="AD96" s="13" t="n">
        <x:v>632.4557419279092</x:v>
      </x:c>
      <x:c r="AE96" s="13" t="n">
        <x:v>1.0020007616812556</x:v>
      </x:c>
      <x:c r="AF96" s="13" t="n">
        <x:v>0.0242197578211516</x:v>
      </x:c>
      <x:c r="AG96" s="13" t="n">
        <x:v>0.036979039713677</x:v>
      </x:c>
      <x:c r="AH96" s="13" t="n">
        <x:v>-0.005229856692034</x:v>
      </x:c>
      <x:c r="AI96" s="13" t="n">
        <x:v>0.0706139419710049</x:v>
      </x:c>
      <x:c r="AJ96" s="13" t="n">
        <x:v>-0.0055561910516989</x:v>
      </x:c>
      <x:c r="AK96" s="13" t="n">
        <x:v>0.0761701330227039</x:v>
      </x:c>
      <x:c r="AL96" s="13" t="n">
        <x:v>0.0325288754596529</x:v>
      </x:c>
      <x:c r="AM96" s="13" t="n">
        <x:v>-0.000676147292675</x:v>
      </x:c>
    </x:row>
    <x:row r="97" ht="15" hidden="0" customHeight="1">
      <x:c r="A97" s="13" t="n">
        <x:v>1081</x:v>
      </x:c>
      <x:c r="B97" s="13" t="str">
        <x:v>2025-05-08</x:v>
      </x:c>
      <x:c r="C97" s="13" t="str">
        <x:v>confirmation_2025_2026</x:v>
      </x:c>
      <x:c r="D97" s="14" t="b">
        <x:v>0</x:v>
      </x:c>
      <x:c r="E97" s="13" t="str">
        <x:v>none</x:v>
      </x:c>
      <x:c r="F97" s="13" t="str">
        <x:v>post_2024_11_20</x:v>
      </x:c>
      <x:c r="G97" s="14" t="b">
        <x:v>1</x:v>
      </x:c>
      <x:c r="H97" s="13"/>
      <x:c r="I97" s="13" t="str">
        <x:v>short_iron_fly</x:v>
      </x:c>
      <x:c r="J97" s="13" t="str">
        <x:v>2025-05-08 08:45:00+00:00</x:v>
      </x:c>
      <x:c r="K97" s="13" t="str">
        <x:v>2025-05-08 15:15:00+05:30</x:v>
      </x:c>
      <x:c r="L97" s="13" t="n">
        <x:v>7.052083333333333</x:v>
      </x:c>
      <x:c r="M97" s="13" t="n">
        <x:v>24321.45</x:v>
      </x:c>
      <x:c r="N97" s="15" t="n">
        <x:v>0.2094338375845185</x:v>
      </x:c>
      <x:c r="O97" s="15" t="n">
        <x:v>0.1673730189395515</x:v>
      </x:c>
      <x:c r="P97" s="15" t="n">
        <x:v>0.0158488048564389</x:v>
      </x:c>
      <x:c r="Q97" s="15" t="n">
        <x:v>0.8654205607476636</x:v>
      </x:c>
      <x:c r="R97" s="13" t="n">
        <x:v>0.9861111111111112</x:v>
      </x:c>
      <x:c r="S97" s="13" t="n">
        <x:v>4</x:v>
      </x:c>
      <x:c r="T97" s="13" t="n">
        <x:v>75</x:v>
      </x:c>
      <x:c r="U97" s="16" t="n">
        <x:v>338168.35827173863</x:v>
      </x:c>
      <x:c r="V97" s="17" t="n">
        <x:v>0.3110917226760522</x:v>
      </x:c>
      <x:c r="W97" s="17" t="n">
        <x:v>0.0280944902381057</x:v>
      </x:c>
      <x:c r="X97" s="16" t="n">
        <x:v>12809.999999999998</x:v>
      </x:c>
      <x:c r="Y97" s="16" t="n">
        <x:v>215.0343663636613</x:v>
      </x:c>
      <x:c r="Z97" s="16" t="n">
        <x:v>162.2490535629805</x:v>
      </x:c>
      <x:c r="AA97" s="16" t="n">
        <x:v>377.2834199266417</x:v>
      </x:c>
      <x:c r="AB97" s="16" t="n">
        <x:v>12432.716580073356</x:v>
      </x:c>
      <x:c r="AC97" s="16" t="n">
        <x:v>21487.573847689207</x:v>
      </x:c>
      <x:c r="AD97" s="13" t="n">
        <x:v>2969.055336450428</x:v>
      </x:c>
      <x:c r="AE97" s="13" t="n">
        <x:v>1.5037572079684365</x:v>
      </x:c>
      <x:c r="AF97" s="13" t="n">
        <x:v>0.095560251075044</x:v>
      </x:c>
      <x:c r="AG97" s="13" t="n">
        <x:v>0.0754718071206948</x:v>
      </x:c>
      <x:c r="AH97" s="13" t="n">
        <x:v>0.0054298476120507</x:v>
      </x:c>
      <x:c r="AI97" s="13" t="n">
        <x:v>0.2223271718990054</x:v>
      </x:c>
      <x:c r="AJ97" s="13" t="n">
        <x:v>0.0126794464207767</x:v>
      </x:c>
      <x:c r="AK97" s="13" t="n">
        <x:v>0.2096477254782286</x:v>
      </x:c>
      <x:c r="AL97" s="13" t="n">
        <x:v>0.117503309159891</x:v>
      </x:c>
      <x:c r="AM97" s="13" t="n">
        <x:v>0</x:v>
      </x:c>
    </x:row>
    <x:row r="98" ht="15" hidden="0" customHeight="1">
      <x:c r="A98" s="13" t="n">
        <x:v>1082</x:v>
      </x:c>
      <x:c r="B98" s="13" t="str">
        <x:v>2025-05-12</x:v>
      </x:c>
      <x:c r="C98" s="13" t="str">
        <x:v>confirmation_2025_2026</x:v>
      </x:c>
      <x:c r="D98" s="14" t="b">
        <x:v>0</x:v>
      </x:c>
      <x:c r="E98" s="13" t="str">
        <x:v>none</x:v>
      </x:c>
      <x:c r="F98" s="13" t="str">
        <x:v>post_2024_11_20</x:v>
      </x:c>
      <x:c r="G98" s="14" t="b">
        <x:v>1</x:v>
      </x:c>
      <x:c r="H98" s="13"/>
      <x:c r="I98" s="13" t="str">
        <x:v>short_iron_fly</x:v>
      </x:c>
      <x:c r="J98" s="13" t="str">
        <x:v>2025-05-12 06:49:00+00:00</x:v>
      </x:c>
      <x:c r="K98" s="13" t="str">
        <x:v>2025-05-12 13:19:00+05:30</x:v>
      </x:c>
      <x:c r="L98" s="13" t="n">
        <x:v>10.13263888888889</x:v>
      </x:c>
      <x:c r="M98" s="13" t="n">
        <x:v>24718.3</x:v>
      </x:c>
      <x:c r="N98" s="15" t="n">
        <x:v>0.2007435080364819</x:v>
      </x:c>
      <x:c r="O98" s="15" t="n">
        <x:v>0.1344554779226303</x:v>
      </x:c>
      <x:c r="P98" s="15" t="n">
        <x:v>0.0222196804753901</x:v>
      </x:c>
      <x:c r="Q98" s="15" t="n">
        <x:v>0.8526119402985075</x:v>
      </x:c>
      <x:c r="R98" s="13" t="n">
        <x:v>0.4027777777777778</x:v>
      </x:c>
      <x:c r="S98" s="13" t="n">
        <x:v>3</x:v>
      </x:c>
      <x:c r="T98" s="13" t="n">
        <x:v>75</x:v>
      </x:c>
      <x:c r="U98" s="16" t="n">
        <x:v>311077.8513959864</x:v>
      </x:c>
      <x:c r="V98" s="17" t="n">
        <x:v>0.2829343223644558</x:v>
      </x:c>
      <x:c r="W98" s="17" t="n">
        <x:v>0.0051244053382892</x:v>
      </x:c>
      <x:c r="X98" s="16" t="n">
        <x:v>-753.7499999999987</x:v>
      </x:c>
      <x:c r="Y98" s="16" t="n">
        <x:v>456.8682251339597</x:v>
      </x:c>
      <x:c r="Z98" s="16" t="n">
        <x:v>736.7874199322923</x:v>
      </x:c>
      <x:c r="AA98" s="16" t="n">
        <x:v>1193.655645066252</x:v>
      </x:c>
      <x:c r="AB98" s="16" t="n">
        <x:v>-1947.4056450662504</x:v>
      </x:c>
      <x:c r="AC98" s="16" t="n">
        <x:v>287343.7738874436</x:v>
      </x:c>
      <x:c r="AD98" s="13" t="n">
        <x:v>-755.2344837718383</x:v>
      </x:c>
      <x:c r="AE98" s="13" t="n">
        <x:v>0.131724791031195</x:v>
      </x:c>
      <x:c r="AF98" s="13" t="n">
        <x:v>0.0005717306469931</x:v>
      </x:c>
      <x:c r="AG98" s="13" t="n">
        <x:v>0.0036343438702797</x:v>
      </x:c>
      <x:c r="AH98" s="13" t="n">
        <x:v>-0.0024513485051186</x:v>
      </x:c>
      <x:c r="AI98" s="13" t="n">
        <x:v>0.0077576099579863</x:v>
      </x:c>
      <x:c r="AJ98" s="13" t="n">
        <x:v>-0.0054180685605867</x:v>
      </x:c>
      <x:c r="AK98" s="13" t="n">
        <x:v>0.0131756785185731</x:v>
      </x:c>
      <x:c r="AL98" s="13" t="n">
        <x:v>0.0011697706986997</x:v>
      </x:c>
      <x:c r="AM98" s="13" t="n">
        <x:v>-0.0017712218792913</x:v>
      </x:c>
    </x:row>
    <x:row r="99" ht="15" hidden="0" customHeight="1">
      <x:c r="A99" s="13" t="n">
        <x:v>1084</x:v>
      </x:c>
      <x:c r="B99" s="13" t="str">
        <x:v>2025-05-19</x:v>
      </x:c>
      <x:c r="C99" s="13" t="str">
        <x:v>confirmation_2025_2026</x:v>
      </x:c>
      <x:c r="D99" s="14" t="b">
        <x:v>0</x:v>
      </x:c>
      <x:c r="E99" s="13" t="str">
        <x:v>none</x:v>
      </x:c>
      <x:c r="F99" s="13" t="str">
        <x:v>post_2024_11_20</x:v>
      </x:c>
      <x:c r="G99" s="14" t="b">
        <x:v>1</x:v>
      </x:c>
      <x:c r="H99" s="13"/>
      <x:c r="I99" s="13" t="str">
        <x:v>short_iron_fly</x:v>
      </x:c>
      <x:c r="J99" s="13" t="str">
        <x:v>2025-05-19 08:22:00+00:00</x:v>
      </x:c>
      <x:c r="K99" s="13" t="str">
        <x:v>2025-05-19 14:52:00+05:30</x:v>
      </x:c>
      <x:c r="L99" s="13" t="n">
        <x:v>17.068055555555556</x:v>
      </x:c>
      <x:c r="M99" s="13" t="n">
        <x:v>24977.8</x:v>
      </x:c>
      <x:c r="N99" s="15" t="n">
        <x:v>0.1693510618533331</x:v>
      </x:c>
      <x:c r="O99" s="15" t="n">
        <x:v>0.1113314536529796</x:v>
      </x:c>
      <x:c r="P99" s="15" t="n">
        <x:v>0.0162850895783659</x:v>
      </x:c>
      <x:c r="Q99" s="15" t="n">
        <x:v>0.8495821727019499</x:v>
      </x:c>
      <x:c r="R99" s="13" t="n">
        <x:v>0.5277777777777778</x:v>
      </x:c>
      <x:c r="S99" s="13" t="n">
        <x:v>3</x:v>
      </x:c>
      <x:c r="T99" s="13" t="n">
        <x:v>75</x:v>
      </x:c>
      <x:c r="U99" s="16" t="n">
        <x:v>301949.25259878323</x:v>
      </x:c>
      <x:c r="V99" s="17" t="n">
        <x:v>0.2751188937721235</x:v>
      </x:c>
      <x:c r="W99" s="17" t="n">
        <x:v>0.0060867810784248</x:v>
      </x:c>
      <x:c r="X99" s="16" t="n">
        <x:v>270.00000000000387</x:v>
      </x:c>
      <x:c r="Y99" s="16" t="n">
        <x:v>400.6646302700647</x:v>
      </x:c>
      <x:c r="Z99" s="16" t="n">
        <x:v>524.4429116102796</x:v>
      </x:c>
      <x:c r="AA99" s="16" t="n">
        <x:v>925.1075418803442</x:v>
      </x:c>
      <x:c r="AB99" s="16" t="n">
        <x:v>-655.1075418803404</x:v>
      </x:c>
      <x:c r="AC99" s="16" t="n">
        <x:v>226619.9807599421</x:v>
      </x:c>
      <x:c r="AD99" s="13" t="n">
        <x:v>-333.32925884446774</x:v>
      </x:c>
      <x:c r="AE99" s="13" t="n">
        <x:v>0.1289919574612031</x:v>
      </x:c>
      <x:c r="AF99" s="13" t="n">
        <x:v>0.0005501562059475</x:v>
      </x:c>
      <x:c r="AG99" s="13" t="n">
        <x:v>0.000447575507539</x:v>
      </x:c>
      <x:c r="AH99" s="13" t="n">
        <x:v>-0.0068343117317829</x:v>
      </x:c>
      <x:c r="AI99" s="13" t="n">
        <x:v>0.0032184487387883</x:v>
      </x:c>
      <x:c r="AJ99" s="13" t="n">
        <x:v>0.0003149651201703</x:v>
      </x:c>
      <x:c r="AK99" s="13" t="n">
        <x:v>0.002903483618618</x:v>
      </x:c>
      <x:c r="AL99" s="13" t="n">
        <x:v>0.0017667069294793</x:v>
      </x:c>
      <x:c r="AM99" s="13" t="n">
        <x:v>-0.0023670611767723</x:v>
      </x:c>
    </x:row>
    <x:row r="100" ht="15" hidden="0" customHeight="1">
      <x:c r="A100" s="13" t="n">
        <x:v>1085</x:v>
      </x:c>
      <x:c r="B100" s="13" t="str">
        <x:v>2025-05-22</x:v>
      </x:c>
      <x:c r="C100" s="13" t="str">
        <x:v>confirmation_2025_2026</x:v>
      </x:c>
      <x:c r="D100" s="14" t="b">
        <x:v>0</x:v>
      </x:c>
      <x:c r="E100" s="13" t="str">
        <x:v>none</x:v>
      </x:c>
      <x:c r="F100" s="13" t="str">
        <x:v>post_2024_11_20</x:v>
      </x:c>
      <x:c r="G100" s="14" t="b">
        <x:v>1</x:v>
      </x:c>
      <x:c r="H100" s="13"/>
      <x:c r="I100" s="13" t="str">
        <x:v>short_iron_fly</x:v>
      </x:c>
      <x:c r="J100" s="13" t="str">
        <x:v>2025-05-22 07:21:00+00:00</x:v>
      </x:c>
      <x:c r="K100" s="13" t="str">
        <x:v>2025-05-22 13:51:00+05:30</x:v>
      </x:c>
      <x:c r="L100" s="13" t="n">
        <x:v>14.110416666666667</x:v>
      </x:c>
      <x:c r="M100" s="13" t="n">
        <x:v>24530.45</x:v>
      </x:c>
      <x:c r="N100" s="15" t="n">
        <x:v>0.2120283770023487</x:v>
      </x:c>
      <x:c r="O100" s="15" t="n">
        <x:v>0.1483983922767516</x:v>
      </x:c>
      <x:c r="P100" s="15" t="n">
        <x:v>0.0229339498239254</x:v>
      </x:c>
      <x:c r="Q100" s="15" t="n">
        <x:v>0.8527777777777777</x:v>
      </x:c>
      <x:c r="R100" s="13" t="n">
        <x:v>0.8055555555555556</x:v>
      </x:c>
      <x:c r="S100" s="13" t="n">
        <x:v>4</x:v>
      </x:c>
      <x:c r="T100" s="13" t="n">
        <x:v>75</x:v>
      </x:c>
      <x:c r="U100" s="16" t="n">
        <x:v>344678.21724609524</x:v>
      </x:c>
      <x:c r="V100" s="17" t="n">
        <x:v>0.314238651115284</x:v>
      </x:c>
      <x:c r="W100" s="17" t="n">
        <x:v>0.0249982420356594</x:v>
      </x:c>
      <x:c r="X100" s="16" t="n">
        <x:v>2774.9999999999995</x:v>
      </x:c>
      <x:c r="Y100" s="16" t="n">
        <x:v>233.73460749629143</x:v>
      </x:c>
      <x:c r="Z100" s="16" t="n">
        <x:v>179.7411770182196</x:v>
      </x:c>
      <x:c r="AA100" s="16" t="n">
        <x:v>413.4757845145111</x:v>
      </x:c>
      <x:c r="AB100" s="16" t="n">
        <x:v>2361.5242154854886</x:v>
      </x:c>
      <x:c r="AC100" s="16" t="n">
        <x:v>46690.5275702458</x:v>
      </x:c>
      <x:c r="AD100" s="13" t="n">
        <x:v>451.4687025952292</x:v>
      </x:c>
      <x:c r="AE100" s="13" t="n">
        <x:v>1.2942433451070114</x:v>
      </x:c>
      <x:c r="AF100" s="13" t="n">
        <x:v>0.0140237908255596</x:v>
      </x:c>
      <x:c r="AG100" s="13" t="n">
        <x:v>0.0268036337418513</x:v>
      </x:c>
      <x:c r="AH100" s="13" t="n">
        <x:v>0.0009787721107086</x:v>
      </x:c>
      <x:c r="AI100" s="13" t="n">
        <x:v>0.0559951615132811</x:v>
      </x:c>
      <x:c r="AJ100" s="13" t="n">
        <x:v>0.1093574652118684</x:v>
      </x:c>
      <x:c r="AK100" s="13" t="n">
        <x:v>-0.0533623036985873</x:v>
      </x:c>
      <x:c r="AL100" s="13" t="n">
        <x:v>0.0826763133625747</x:v>
      </x:c>
      <x:c r="AM100" s="13" t="n">
        <x:v>-0.0002191864545536</x:v>
      </x:c>
    </x:row>
    <x:row r="101" ht="15" hidden="0" customHeight="1">
      <x:c r="A101" s="13" t="n">
        <x:v>1086</x:v>
      </x:c>
      <x:c r="B101" s="13" t="str">
        <x:v>2025-05-26</x:v>
      </x:c>
      <x:c r="C101" s="13" t="str">
        <x:v>confirmation_2025_2026</x:v>
      </x:c>
      <x:c r="D101" s="14" t="b">
        <x:v>0</x:v>
      </x:c>
      <x:c r="E101" s="13" t="str">
        <x:v>none</x:v>
      </x:c>
      <x:c r="F101" s="13" t="str">
        <x:v>post_2024_11_20</x:v>
      </x:c>
      <x:c r="G101" s="14" t="b">
        <x:v>0</x:v>
      </x:c>
      <x:c r="H101" s="13" t="str">
        <x:v>confidence_score_at_or_below_0.40</x:v>
      </x:c>
      <x:c r="I101" s="13"/>
      <x:c r="J101" s="13" t="str">
        <x:v>2025-05-26 07:07:00+00:00</x:v>
      </x:c>
      <x:c r="K101" s="13"/>
      <x:c r="L101" s="13"/>
      <x:c r="M101" s="13" t="n">
        <x:v>24996.2</x:v>
      </x:c>
      <x:c r="N101" s="15" t="n">
        <x:v>0.2278627997286556</x:v>
      </x:c>
      <x:c r="O101" s="15" t="n">
        <x:v>0.1575539339812311</x:v>
      </x:c>
      <x:c r="P101" s="15" t="n">
        <x:v>0.0270982133872192</x:v>
      </x:c>
      <x:c r="Q101" s="15" t="n">
        <x:v>0.8687615526802218</x:v>
      </x:c>
      <x:c r="R101" s="13" t="n">
        <x:v>0.25</x:v>
      </x:c>
      <x:c r="S101" s="13" t="n">
        <x:v>0</x:v>
      </x:c>
      <x:c r="T101" s="13"/>
      <x:c r="U101" s="16" t="n">
        <x:v>0</x:v>
      </x:c>
      <x:c r="V101" s="17" t="n">
        <x:v>0</x:v>
      </x:c>
      <x:c r="W101" s="17" t="n">
        <x:v>0</x:v>
      </x:c>
      <x:c r="X101" s="16" t="n">
        <x:v>0</x:v>
      </x:c>
      <x:c r="Y101" s="16" t="n">
        <x:v>0</x:v>
      </x:c>
      <x:c r="Z101" s="16" t="n">
        <x:v>0</x:v>
      </x:c>
      <x:c r="AA101" s="16" t="n">
        <x:v>0</x:v>
      </x:c>
      <x:c r="AB101" s="16" t="n">
        <x:v>0</x:v>
      </x:c>
      <x:c r="AC101" s="16" t="n">
        <x:v>0</x:v>
      </x:c>
      <x:c r="AD101" s="13" t="n">
        <x:v>-632.9620789490627</x:v>
      </x:c>
      <x:c r="AE101" s="13" t="n">
        <x:v>0.1310218991551789</x:v>
      </x:c>
      <x:c r="AF101" s="13" t="n">
        <x:v>0.0023819064887135</x:v>
      </x:c>
      <x:c r="AG101" s="13" t="n">
        <x:v>0.0003820349532395</x:v>
      </x:c>
      <x:c r="AH101" s="13" t="n">
        <x:v>-0.0100575133298535</x:v>
      </x:c>
      <x:c r="AI101" s="13" t="n">
        <x:v>0.0053475158504113</x:v>
      </x:c>
      <x:c r="AJ101" s="13" t="n">
        <x:v>-0.0045628933284414</x:v>
      </x:c>
      <x:c r="AK101" s="13" t="n">
        <x:v>0.0099104091788528</x:v>
      </x:c>
      <x:c r="AL101" s="13" t="n">
        <x:v>0.0003923112609849</x:v>
      </x:c>
      <x:c r="AM101" s="13" t="n">
        <x:v>-0.0002191864545536</x:v>
      </x:c>
    </x:row>
    <x:row r="102" ht="15" hidden="0" customHeight="1">
      <x:c r="A102" s="13" t="n">
        <x:v>1089</x:v>
      </x:c>
      <x:c r="B102" s="13" t="str">
        <x:v>2025-05-29</x:v>
      </x:c>
      <x:c r="C102" s="13" t="str">
        <x:v>confirmation_2025_2026</x:v>
      </x:c>
      <x:c r="D102" s="14" t="b">
        <x:v>0</x:v>
      </x:c>
      <x:c r="E102" s="13" t="str">
        <x:v>none</x:v>
      </x:c>
      <x:c r="F102" s="13" t="str">
        <x:v>post_2024_11_20</x:v>
      </x:c>
      <x:c r="G102" s="14" t="b">
        <x:v>0</x:v>
      </x:c>
      <x:c r="H102" s="13" t="str">
        <x:v>confidence_score_at_or_below_0.40</x:v>
      </x:c>
      <x:c r="I102" s="13"/>
      <x:c r="J102" s="13" t="str">
        <x:v>2025-05-29 05:03:00+00:00</x:v>
      </x:c>
      <x:c r="K102" s="13"/>
      <x:c r="L102" s="13"/>
      <x:c r="M102" s="13" t="n">
        <x:v>24756.15</x:v>
      </x:c>
      <x:c r="N102" s="15" t="n">
        <x:v>0.251130596198131</x:v>
      </x:c>
      <x:c r="O102" s="15" t="n">
        <x:v>0.2165374796367978</x:v>
      </x:c>
      <x:c r="P102" s="15" t="n">
        <x:v>0.0161780962593721</x:v>
      </x:c>
      <x:c r="Q102" s="15" t="n">
        <x:v>0.9354243542435424</x:v>
      </x:c>
      <x:c r="R102" s="13" t="n">
        <x:v>0.3333333333333333</x:v>
      </x:c>
      <x:c r="S102" s="13" t="n">
        <x:v>0</x:v>
      </x:c>
      <x:c r="T102" s="13"/>
      <x:c r="U102" s="16" t="n">
        <x:v>0</x:v>
      </x:c>
      <x:c r="V102" s="17" t="n">
        <x:v>0</x:v>
      </x:c>
      <x:c r="W102" s="17" t="n">
        <x:v>0</x:v>
      </x:c>
      <x:c r="X102" s="16" t="n">
        <x:v>0</x:v>
      </x:c>
      <x:c r="Y102" s="16" t="n">
        <x:v>0</x:v>
      </x:c>
      <x:c r="Z102" s="16" t="n">
        <x:v>0</x:v>
      </x:c>
      <x:c r="AA102" s="16" t="n">
        <x:v>0</x:v>
      </x:c>
      <x:c r="AB102" s="16" t="n">
        <x:v>0</x:v>
      </x:c>
      <x:c r="AC102" s="16" t="n">
        <x:v>0</x:v>
      </x:c>
      <x:c r="AD102" s="13" t="n">
        <x:v>771.1580412201897</x:v>
      </x:c>
      <x:c r="AE102" s="13" t="n">
        <x:v>0.273066612881734</x:v>
      </x:c>
      <x:c r="AF102" s="13" t="n">
        <x:v>0.0444716435379344</x:v>
      </x:c>
      <x:c r="AG102" s="13" t="n">
        <x:v>0.0493475136317294</x:v>
      </x:c>
      <x:c r="AH102" s="13" t="n">
        <x:v>-0.0207159008492132</x:v>
      </x:c>
      <x:c r="AI102" s="13" t="n">
        <x:v>0.0502303168065244</x:v>
      </x:c>
      <x:c r="AJ102" s="13" t="n">
        <x:v>0.0424781153757561</x:v>
      </x:c>
      <x:c r="AK102" s="13" t="n">
        <x:v>0.0077522014307682</x:v>
      </x:c>
      <x:c r="AL102" s="13" t="n">
        <x:v>0.0463542160911402</x:v>
      </x:c>
      <x:c r="AM102" s="13" t="n">
        <x:v>-0.0002191864545536</x:v>
      </x:c>
    </x:row>
    <x:row r="103" ht="15" hidden="0" customHeight="1">
      <x:c r="A103" s="13" t="n">
        <x:v>1091</x:v>
      </x:c>
      <x:c r="B103" s="13" t="str">
        <x:v>2025-06-03</x:v>
      </x:c>
      <x:c r="C103" s="13" t="str">
        <x:v>confirmation_2025_2026</x:v>
      </x:c>
      <x:c r="D103" s="14" t="b">
        <x:v>1</x:v>
      </x:c>
      <x:c r="E103" s="13" t="str">
        <x:v>rbi_mpc</x:v>
      </x:c>
      <x:c r="F103" s="13" t="str">
        <x:v>post_2024_11_20</x:v>
      </x:c>
      <x:c r="G103" s="14" t="b">
        <x:v>0</x:v>
      </x:c>
      <x:c r="H103" s="13" t="str">
        <x:v>confidence_score_at_or_below_0.40</x:v>
      </x:c>
      <x:c r="I103" s="13"/>
      <x:c r="J103" s="13" t="str">
        <x:v>2025-06-03 07:05:00+00:00</x:v>
      </x:c>
      <x:c r="K103" s="13"/>
      <x:c r="L103" s="13"/>
      <x:c r="M103" s="13" t="n">
        <x:v>24620.2</x:v>
      </x:c>
      <x:c r="N103" s="15" t="n">
        <x:v>0.2732188275296418</x:v>
      </x:c>
      <x:c r="O103" s="15" t="n">
        <x:v>0.1991412992121175</x:v>
      </x:c>
      <x:c r="P103" s="15" t="n">
        <x:v>0.034991270664782</x:v>
      </x:c>
      <x:c r="Q103" s="15" t="n">
        <x:v>0.90625</x:v>
      </x:c>
      <x:c r="R103" s="13" t="n">
        <x:v>0.1527777777777778</x:v>
      </x:c>
      <x:c r="S103" s="13" t="n">
        <x:v>0</x:v>
      </x:c>
      <x:c r="T103" s="13"/>
      <x:c r="U103" s="16" t="n">
        <x:v>0</x:v>
      </x:c>
      <x:c r="V103" s="17" t="n">
        <x:v>0</x:v>
      </x:c>
      <x:c r="W103" s="17" t="n">
        <x:v>0</x:v>
      </x:c>
      <x:c r="X103" s="16" t="n">
        <x:v>0</x:v>
      </x:c>
      <x:c r="Y103" s="16" t="n">
        <x:v>0</x:v>
      </x:c>
      <x:c r="Z103" s="16" t="n">
        <x:v>0</x:v>
      </x:c>
      <x:c r="AA103" s="16" t="n">
        <x:v>0</x:v>
      </x:c>
      <x:c r="AB103" s="16" t="n">
        <x:v>0</x:v>
      </x:c>
      <x:c r="AC103" s="16" t="n">
        <x:v>0</x:v>
      </x:c>
      <x:c r="AD103" s="13" t="n">
        <x:v>42.96885238872835</x:v>
      </x:c>
      <x:c r="AE103" s="13" t="n">
        <x:v>0.1013378681914998</x:v>
      </x:c>
      <x:c r="AF103" s="13" t="n">
        <x:v>0.0043723593131874</x:v>
      </x:c>
      <x:c r="AG103" s="13" t="n">
        <x:v>0.00003522895408308857</x:v>
      </x:c>
      <x:c r="AH103" s="13" t="n">
        <x:v>-0.0235387933042178</x:v>
      </x:c>
      <x:c r="AI103" s="13" t="n">
        <x:v>-0.0045189048527603</x:v>
      </x:c>
      <x:c r="AJ103" s="13" t="n">
        <x:v>0.0019203356364665</x:v>
      </x:c>
      <x:c r="AK103" s="13" t="n">
        <x:v>-0.0064392404892269</x:v>
      </x:c>
      <x:c r="AL103" s="13" t="n">
        <x:v>-0.0012992846081468</x:v>
      </x:c>
      <x:c r="AM103" s="13" t="n">
        <x:v>-0.0002191864545536</x:v>
      </x:c>
    </x:row>
    <x:row r="104" ht="15" hidden="0" customHeight="1">
      <x:c r="A104" s="13" t="n">
        <x:v>1093</x:v>
      </x:c>
      <x:c r="B104" s="13" t="str">
        <x:v>2025-06-05</x:v>
      </x:c>
      <x:c r="C104" s="13" t="str">
        <x:v>confirmation_2025_2026</x:v>
      </x:c>
      <x:c r="D104" s="14" t="b">
        <x:v>1</x:v>
      </x:c>
      <x:c r="E104" s="13" t="str">
        <x:v>rbi_mpc</x:v>
      </x:c>
      <x:c r="F104" s="13" t="str">
        <x:v>post_2024_11_20</x:v>
      </x:c>
      <x:c r="G104" s="14" t="b">
        <x:v>1</x:v>
      </x:c>
      <x:c r="H104" s="13"/>
      <x:c r="I104" s="13" t="str">
        <x:v>short_iron_fly</x:v>
      </x:c>
      <x:c r="J104" s="13" t="str">
        <x:v>2025-06-05 05:20:00+00:00</x:v>
      </x:c>
      <x:c r="K104" s="13" t="str">
        <x:v>2025-06-05 11:50:00+05:30</x:v>
      </x:c>
      <x:c r="L104" s="13" t="n">
        <x:v>7.194444444444445</x:v>
      </x:c>
      <x:c r="M104" s="13" t="n">
        <x:v>24704.35</x:v>
      </x:c>
      <x:c r="N104" s="15" t="n">
        <x:v>0.1833721886167386</x:v>
      </x:c>
      <x:c r="O104" s="15" t="n">
        <x:v>0.1465765889638485</x:v>
      </x:c>
      <x:c r="P104" s="15" t="n">
        <x:v>0.0121406631258157</x:v>
      </x:c>
      <x:c r="Q104" s="15" t="n">
        <x:v>0.8723599632690542</x:v>
      </x:c>
      <x:c r="R104" s="13" t="n">
        <x:v>0.9583333333333334</x:v>
      </x:c>
      <x:c r="S104" s="13" t="n">
        <x:v>4</x:v>
      </x:c>
      <x:c r="T104" s="13" t="n">
        <x:v>75</x:v>
      </x:c>
      <x:c r="U104" s="16" t="n">
        <x:v>345397.1227294119</x:v>
      </x:c>
      <x:c r="V104" s="17" t="n">
        <x:v>0.3142175666127582</x:v>
      </x:c>
      <x:c r="W104" s="17" t="n">
        <x:v>0.0233889016339185</x:v>
      </x:c>
      <x:c r="X104" s="16" t="n">
        <x:v>555.0000000000007</x:v>
      </x:c>
      <x:c r="Y104" s="16" t="n">
        <x:v>243.75419159008865</x:v>
      </x:c>
      <x:c r="Z104" s="16" t="n">
        <x:v>162.93934579841476</x:v>
      </x:c>
      <x:c r="AA104" s="16" t="n">
        <x:v>406.6935373885034</x:v>
      </x:c>
      <x:c r="AB104" s="16" t="n">
        <x:v>148.3064626114973</x:v>
      </x:c>
      <x:c r="AC104" s="16" t="n">
        <x:v>58543.99366796685</x:v>
      </x:c>
      <x:c r="AD104" s="13" t="n">
        <x:v>-102.04875356733815</x:v>
      </x:c>
      <x:c r="AE104" s="13" t="n">
        <x:v>1.5369064973200337</x:v>
      </x:c>
      <x:c r="AF104" s="13" t="n">
        <x:v>0.0170726826685512</x:v>
      </x:c>
      <x:c r="AG104" s="13" t="n">
        <x:v>0.0319368293031277</x:v>
      </x:c>
      <x:c r="AH104" s="13" t="n">
        <x:v>0.0061340969046972</x:v>
      </x:c>
      <x:c r="AI104" s="13" t="n">
        <x:v>0.0279349650465085</x:v>
      </x:c>
      <x:c r="AJ104" s="13" t="n">
        <x:v>0.059426624382807</x:v>
      </x:c>
      <x:c r="AK104" s="13" t="n">
        <x:v>-0.0314916593362984</x:v>
      </x:c>
      <x:c r="AL104" s="13" t="n">
        <x:v>0.0436807947146578</x:v>
      </x:c>
      <x:c r="AM104" s="13" t="n">
        <x:v>-0.00008429742817983588</x:v>
      </x:c>
    </x:row>
    <x:row r="105" ht="15" hidden="0" customHeight="1">
      <x:c r="A105" s="13" t="n">
        <x:v>1095</x:v>
      </x:c>
      <x:c r="B105" s="13" t="str">
        <x:v>2025-06-12</x:v>
      </x:c>
      <x:c r="C105" s="13" t="str">
        <x:v>confirmation_2025_2026</x:v>
      </x:c>
      <x:c r="D105" s="14" t="b">
        <x:v>1</x:v>
      </x:c>
      <x:c r="E105" s="13" t="str">
        <x:v>rbi_mpc</x:v>
      </x:c>
      <x:c r="F105" s="13" t="str">
        <x:v>post_2024_11_20</x:v>
      </x:c>
      <x:c r="G105" s="14" t="b">
        <x:v>1</x:v>
      </x:c>
      <x:c r="H105" s="13"/>
      <x:c r="I105" s="13" t="str">
        <x:v>short_iron_fly</x:v>
      </x:c>
      <x:c r="J105" s="13" t="str">
        <x:v>2025-06-12 06:20:00+00:00</x:v>
      </x:c>
      <x:c r="K105" s="13" t="str">
        <x:v>2025-06-12 12:50:00+05:30</x:v>
      </x:c>
      <x:c r="L105" s="13" t="n">
        <x:v>7.152777777777778</x:v>
      </x:c>
      <x:c r="M105" s="13" t="n">
        <x:v>25040.55</x:v>
      </x:c>
      <x:c r="N105" s="15" t="n">
        <x:v>0.2280966186641316</x:v>
      </x:c>
      <x:c r="O105" s="15" t="n">
        <x:v>0.1577205377778597</x:v>
      </x:c>
      <x:c r="P105" s="15" t="n">
        <x:v>0.027152299409073</x:v>
      </x:c>
      <x:c r="Q105" s="15" t="n">
        <x:v>0.8904109589041096</x:v>
      </x:c>
      <x:c r="R105" s="13" t="n">
        <x:v>0.7916666666666666</x:v>
      </x:c>
      <x:c r="S105" s="13" t="n">
        <x:v>4</x:v>
      </x:c>
      <x:c r="T105" s="13" t="n">
        <x:v>75</x:v>
      </x:c>
      <x:c r="U105" s="16" t="n">
        <x:v>351639.42180888937</x:v>
      </x:c>
      <x:c r="V105" s="17" t="n">
        <x:v>0.3198532091256827</x:v>
      </x:c>
      <x:c r="W105" s="17" t="n">
        <x:v>0.0214619304862499</x:v>
      </x:c>
      <x:c r="X105" s="16" t="n">
        <x:v>794.9999999999995</x:v>
      </x:c>
      <x:c r="Y105" s="16" t="n">
        <x:v>252.17767258541036</x:v>
      </x:c>
      <x:c r="Z105" s="16" t="n">
        <x:v>160.52359576352282</x:v>
      </x:c>
      <x:c r="AA105" s="16" t="n">
        <x:v>412.7012683489331</x:v>
      </x:c>
      <x:c r="AB105" s="16" t="n">
        <x:v>382.2987316510664</x:v>
      </x:c>
      <x:c r="AC105" s="16" t="n">
        <x:v>67423.1977128858</x:v>
      </x:c>
      <x:c r="AD105" s="13" t="n">
        <x:v>-43.55058000172397</x:v>
      </x:c>
      <x:c r="AE105" s="13" t="n">
        <x:v>1.1856312544390637</x:v>
      </x:c>
      <x:c r="AF105" s="13" t="n">
        <x:v>0.0211471703999173</x:v>
      </x:c>
      <x:c r="AG105" s="13" t="n">
        <x:v>0.0260769970954564</x:v>
      </x:c>
      <x:c r="AH105" s="13" t="n">
        <x:v>-0.0013286676420556</x:v>
      </x:c>
      <x:c r="AI105" s="13" t="n">
        <x:v>0.0276367342736552</x:v>
      </x:c>
      <x:c r="AJ105" s="13" t="n">
        <x:v>0.0522565941016258</x:v>
      </x:c>
      <x:c r="AK105" s="13" t="n">
        <x:v>-0.0246198598279705</x:v>
      </x:c>
      <x:c r="AL105" s="13" t="n">
        <x:v>0.0399466641876405</x:v>
      </x:c>
      <x:c r="AM105" s="13" t="n">
        <x:v>0</x:v>
      </x:c>
    </x:row>
    <x:row r="106" ht="15" hidden="0" customHeight="1">
      <x:c r="A106" s="13" t="n">
        <x:v>1097</x:v>
      </x:c>
      <x:c r="B106" s="13" t="str">
        <x:v>2025-06-26</x:v>
      </x:c>
      <x:c r="C106" s="13" t="str">
        <x:v>confirmation_2025_2026</x:v>
      </x:c>
      <x:c r="D106" s="14" t="b">
        <x:v>0</x:v>
      </x:c>
      <x:c r="E106" s="13" t="str">
        <x:v>none</x:v>
      </x:c>
      <x:c r="F106" s="13" t="str">
        <x:v>post_2024_11_20</x:v>
      </x:c>
      <x:c r="G106" s="14" t="b">
        <x:v>0</x:v>
      </x:c>
      <x:c r="H106" s="13" t="str">
        <x:v>confidence_score_at_or_below_0.40</x:v>
      </x:c>
      <x:c r="I106" s="13"/>
      <x:c r="J106" s="13" t="str">
        <x:v>2025-06-26 06:13:00+00:00</x:v>
      </x:c>
      <x:c r="K106" s="13"/>
      <x:c r="L106" s="13"/>
      <x:c r="M106" s="13" t="n">
        <x:v>25307.7</x:v>
      </x:c>
      <x:c r="N106" s="15" t="n">
        <x:v>0.3231703963023737</x:v>
      </x:c>
      <x:c r="O106" s="15" t="n">
        <x:v>0.2779261561809067</x:v>
      </x:c>
      <x:c r="P106" s="15" t="n">
        <x:v>0.0271961567567395</x:v>
      </x:c>
      <x:c r="Q106" s="15" t="n">
        <x:v>0.8877828054298642</x:v>
      </x:c>
      <x:c r="R106" s="13" t="n">
        <x:v>0.2638888888888889</x:v>
      </x:c>
      <x:c r="S106" s="13" t="n">
        <x:v>0</x:v>
      </x:c>
      <x:c r="T106" s="13"/>
      <x:c r="U106" s="16" t="n">
        <x:v>0</x:v>
      </x:c>
      <x:c r="V106" s="17" t="n">
        <x:v>0</x:v>
      </x:c>
      <x:c r="W106" s="17" t="n">
        <x:v>0</x:v>
      </x:c>
      <x:c r="X106" s="16" t="n">
        <x:v>0</x:v>
      </x:c>
      <x:c r="Y106" s="16" t="n">
        <x:v>0</x:v>
      </x:c>
      <x:c r="Z106" s="16" t="n">
        <x:v>0</x:v>
      </x:c>
      <x:c r="AA106" s="16" t="n">
        <x:v>0</x:v>
      </x:c>
      <x:c r="AB106" s="16" t="n">
        <x:v>0</x:v>
      </x:c>
      <x:c r="AC106" s="16" t="n">
        <x:v>0</x:v>
      </x:c>
      <x:c r="AD106" s="13" t="n">
        <x:v>-1536.7709693637555</x:v>
      </x:c>
      <x:c r="AE106" s="13" t="n">
        <x:v>0.4627196027393435</x:v>
      </x:c>
      <x:c r="AF106" s="13" t="n">
        <x:v>0.0104799872424294</x:v>
      </x:c>
      <x:c r="AG106" s="13" t="n">
        <x:v>0.039814873568751</x:v>
      </x:c>
      <x:c r="AH106" s="13" t="n">
        <x:v>-0.0166867651854322</x:v>
      </x:c>
      <x:c r="AI106" s="13" t="n">
        <x:v>0.0324444917454179</x:v>
      </x:c>
      <x:c r="AJ106" s="13" t="n">
        <x:v>-0.0186589534869461</x:v>
      </x:c>
      <x:c r="AK106" s="13" t="n">
        <x:v>0.0511034452323641</x:v>
      </x:c>
      <x:c r="AL106" s="13" t="n">
        <x:v>0.0068927691292359</x:v>
      </x:c>
      <x:c r="AM106" s="13" t="n">
        <x:v>0</x:v>
      </x:c>
    </x:row>
    <x:row r="107" ht="15" hidden="0" customHeight="1">
      <x:c r="A107" s="13" t="n">
        <x:v>1098</x:v>
      </x:c>
      <x:c r="B107" s="13" t="str">
        <x:v>2025-07-03</x:v>
      </x:c>
      <x:c r="C107" s="13" t="str">
        <x:v>confirmation_2025_2026</x:v>
      </x:c>
      <x:c r="D107" s="14" t="b">
        <x:v>0</x:v>
      </x:c>
      <x:c r="E107" s="13" t="str">
        <x:v>none</x:v>
      </x:c>
      <x:c r="F107" s="13" t="str">
        <x:v>post_2024_11_20</x:v>
      </x:c>
      <x:c r="G107" s="14" t="b">
        <x:v>1</x:v>
      </x:c>
      <x:c r="H107" s="13"/>
      <x:c r="I107" s="13" t="str">
        <x:v>short_iron_fly</x:v>
      </x:c>
      <x:c r="J107" s="13" t="str">
        <x:v>2025-07-03 07:20:00+00:00</x:v>
      </x:c>
      <x:c r="K107" s="13" t="str">
        <x:v>2025-07-03 13:50:00+05:30</x:v>
      </x:c>
      <x:c r="L107" s="13" t="n">
        <x:v>7.111111111111111</x:v>
      </x:c>
      <x:c r="M107" s="13" t="n">
        <x:v>25517.7</x:v>
      </x:c>
      <x:c r="N107" s="15" t="n">
        <x:v>0.2003172145160327</x:v>
      </x:c>
      <x:c r="O107" s="15" t="n">
        <x:v>0.1290310817143354</x:v>
      </x:c>
      <x:c r="P107" s="15" t="n">
        <x:v>0.0234779663830907</x:v>
      </x:c>
      <x:c r="Q107" s="15" t="n">
        <x:v>0.8486486486486486</x:v>
      </x:c>
      <x:c r="R107" s="13" t="n">
        <x:v>0.5</x:v>
      </x:c>
      <x:c r="S107" s="13" t="n">
        <x:v>4</x:v>
      </x:c>
      <x:c r="T107" s="13" t="n">
        <x:v>75</x:v>
      </x:c>
      <x:c r="U107" s="16" t="n">
        <x:v>353960.2969605618</x:v>
      </x:c>
      <x:c r="V107" s="17" t="n">
        <x:v>0.3218523690109471</x:v>
      </x:c>
      <x:c r="W107" s="17" t="n">
        <x:v>0.0254235183996738</x:v>
      </x:c>
      <x:c r="X107" s="16" t="n">
        <x:v>660.0000000000017</x:v>
      </x:c>
      <x:c r="Y107" s="16" t="n">
        <x:v>233.19560348713944</x:v>
      </x:c>
      <x:c r="Z107" s="16" t="n">
        <x:v>139.74354598753155</x:v>
      </x:c>
      <x:c r="AA107" s="16" t="n">
        <x:v>372.939149474671</x:v>
      </x:c>
      <x:c r="AB107" s="16" t="n">
        <x:v>287.0608505253307</x:v>
      </x:c>
      <x:c r="AC107" s="16" t="n">
        <x:v>47190.15890692811</x:v>
      </x:c>
      <x:c r="AD107" s="13" t="n">
        <x:v>-67.75112589640699</x:v>
      </x:c>
      <x:c r="AE107" s="13" t="n">
        <x:v>0.2036265860005013</x:v>
      </x:c>
      <x:c r="AF107" s="13" t="n">
        <x:v>0.0074198002478645</x:v>
      </x:c>
      <x:c r="AG107" s="13" t="n">
        <x:v>0.0442512352494714</x:v>
      </x:c>
      <x:c r="AH107" s="13" t="n">
        <x:v>-0.0221911388036011</x:v>
      </x:c>
      <x:c r="AI107" s="13" t="n">
        <x:v>0.0453753120105857</x:v>
      </x:c>
      <x:c r="AJ107" s="13" t="n">
        <x:v>0.0733632146950783</x:v>
      </x:c>
      <x:c r="AK107" s="13" t="n">
        <x:v>-0.0279879026844925</x:v>
      </x:c>
      <x:c r="AL107" s="13" t="n">
        <x:v>0.059369263352832</x:v>
      </x:c>
      <x:c r="AM107" s="13" t="n">
        <x:v>0</x:v>
      </x:c>
    </x:row>
    <x:row r="108" ht="15" hidden="0" customHeight="1">
      <x:c r="A108" s="13" t="n">
        <x:v>1099</x:v>
      </x:c>
      <x:c r="B108" s="13" t="str">
        <x:v>2025-07-10</x:v>
      </x:c>
      <x:c r="C108" s="13" t="str">
        <x:v>confirmation_2025_2026</x:v>
      </x:c>
      <x:c r="D108" s="14" t="b">
        <x:v>0</x:v>
      </x:c>
      <x:c r="E108" s="13" t="str">
        <x:v>none</x:v>
      </x:c>
      <x:c r="F108" s="13" t="str">
        <x:v>post_2024_11_20</x:v>
      </x:c>
      <x:c r="G108" s="14" t="b">
        <x:v>1</x:v>
      </x:c>
      <x:c r="H108" s="13"/>
      <x:c r="I108" s="13" t="str">
        <x:v>short_iron_fly</x:v>
      </x:c>
      <x:c r="J108" s="13" t="str">
        <x:v>2025-07-10 08:17:00+00:00</x:v>
      </x:c>
      <x:c r="K108" s="13" t="str">
        <x:v>2025-07-10 14:47:00+05:30</x:v>
      </x:c>
      <x:c r="L108" s="13" t="n">
        <x:v>7.071527777777778</x:v>
      </x:c>
      <x:c r="M108" s="13" t="n">
        <x:v>25366</x:v>
      </x:c>
      <x:c r="N108" s="15" t="n">
        <x:v>0.1885790793978592</x:v>
      </x:c>
      <x:c r="O108" s="15" t="n">
        <x:v>0.1026123201165306</x:v>
      </x:c>
      <x:c r="P108" s="15" t="n">
        <x:v>0.0250327809468467</x:v>
      </x:c>
      <x:c r="Q108" s="15" t="n">
        <x:v>0.885201793721973</x:v>
      </x:c>
      <x:c r="R108" s="13" t="n">
        <x:v>1</x:v>
      </x:c>
      <x:c r="S108" s="13" t="n">
        <x:v>4</x:v>
      </x:c>
      <x:c r="T108" s="13" t="n">
        <x:v>75</x:v>
      </x:c>
      <x:c r="U108" s="16" t="n">
        <x:v>351932.80732833047</x:v>
      </x:c>
      <x:c r="V108" s="17" t="n">
        <x:v>0.3199252866996911</x:v>
      </x:c>
      <x:c r="W108" s="17" t="n">
        <x:v>0.0279258680733534</x:v>
      </x:c>
      <x:c r="X108" s="16" t="n">
        <x:v>-3119.9999999999995</x:v>
      </x:c>
      <x:c r="Y108" s="16" t="n">
        <x:v>223.42321675344704</x:v>
      </x:c>
      <x:c r="Z108" s="16" t="n">
        <x:v>146.03844872032008</x:v>
      </x:c>
      <x:c r="AA108" s="16" t="n">
        <x:v>369.4616654737672</x:v>
      </x:c>
      <x:c r="AB108" s="16" t="n">
        <x:v>-3489.4616654737665</x:v>
      </x:c>
      <x:c r="AC108" s="16" t="n">
        <x:v>38706.360257459535</x:v>
      </x:c>
      <x:c r="AD108" s="13" t="n">
        <x:v>-1011.7609719051206</x:v>
      </x:c>
      <x:c r="AE108" s="13" t="n">
        <x:v>1.5963725573308238</x:v>
      </x:c>
      <x:c r="AF108" s="13" t="n">
        <x:v>0.0340723019158535</x:v>
      </x:c>
      <x:c r="AG108" s="13" t="n">
        <x:v>0.0400280956249882</x:v>
      </x:c>
      <x:c r="AH108" s="13" t="n">
        <x:v>0.0073974401472894</x:v>
      </x:c>
      <x:c r="AI108" s="13" t="n">
        <x:v>0.0956587580944292</x:v>
      </x:c>
      <x:c r="AJ108" s="13" t="n">
        <x:v>0.0762292572031951</x:v>
      </x:c>
      <x:c r="AK108" s="13" t="n">
        <x:v>0.019429500891234</x:v>
      </x:c>
      <x:c r="AL108" s="13" t="n">
        <x:v>0.0859440076488121</x:v>
      </x:c>
      <x:c r="AM108" s="13" t="n">
        <x:v>-0.0031721027437854</x:v>
      </x:c>
    </x:row>
    <x:row r="109" ht="15" hidden="0" customHeight="1">
      <x:c r="A109" s="13" t="n">
        <x:v>1100</x:v>
      </x:c>
      <x:c r="B109" s="13" t="str">
        <x:v>2025-07-31</x:v>
      </x:c>
      <x:c r="C109" s="13" t="str">
        <x:v>confirmation_2025_2026</x:v>
      </x:c>
      <x:c r="D109" s="14" t="b">
        <x:v>1</x:v>
      </x:c>
      <x:c r="E109" s="13" t="str">
        <x:v>rbi_mpc</x:v>
      </x:c>
      <x:c r="F109" s="13" t="str">
        <x:v>post_2024_11_20</x:v>
      </x:c>
      <x:c r="G109" s="14" t="b">
        <x:v>1</x:v>
      </x:c>
      <x:c r="H109" s="13"/>
      <x:c r="I109" s="13" t="str">
        <x:v>short_iron_fly</x:v>
      </x:c>
      <x:c r="J109" s="13" t="str">
        <x:v>2025-07-31 06:04:00+00:00</x:v>
      </x:c>
      <x:c r="K109" s="13" t="str">
        <x:v>2025-07-31 12:34:00+05:30</x:v>
      </x:c>
      <x:c r="L109" s="13" t="n">
        <x:v>14.16388888888889</x:v>
      </x:c>
      <x:c r="M109" s="13" t="n">
        <x:v>24807.4</x:v>
      </x:c>
      <x:c r="N109" s="15" t="n">
        <x:v>0.247778694723549</x:v>
      </x:c>
      <x:c r="O109" s="15" t="n">
        <x:v>0.2101236456429739</x:v>
      </x:c>
      <x:c r="P109" s="15" t="n">
        <x:v>0.0172423351006116</x:v>
      </x:c>
      <x:c r="Q109" s="15" t="n">
        <x:v>0.8362831858407079</x:v>
      </x:c>
      <x:c r="R109" s="13" t="n">
        <x:v>0.5694444444444444</x:v>
      </x:c>
      <x:c r="S109" s="13" t="n">
        <x:v>4</x:v>
      </x:c>
      <x:c r="T109" s="13" t="n">
        <x:v>75</x:v>
      </x:c>
      <x:c r="U109" s="16" t="n">
        <x:v>349279.66332438594</x:v>
      </x:c>
      <x:c r="V109" s="17" t="n">
        <x:v>0.3185238306688563</x:v>
      </x:c>
      <x:c r="W109" s="17" t="n">
        <x:v>0.0194652496313958</x:v>
      </x:c>
      <x:c r="X109" s="16" t="n">
        <x:v>119.99999999999956</x:v>
      </x:c>
      <x:c r="Y109" s="16" t="n">
        <x:v>257.96436872242805</x:v>
      </x:c>
      <x:c r="Z109" s="16" t="n">
        <x:v>158.73448081264982</x:v>
      </x:c>
      <x:c r="AA109" s="16" t="n">
        <x:v>416.6988495350778</x:v>
      </x:c>
      <x:c r="AB109" s="16" t="n">
        <x:v>-296.69884953507824</x:v>
      </x:c>
      <x:c r="AC109" s="16" t="n">
        <x:v>73958.34975596583</x:v>
      </x:c>
      <x:c r="AD109" s="13" t="n">
        <x:v>-213.44726431013976</x:v>
      </x:c>
      <x:c r="AE109" s="13" t="n">
        <x:v>1.2225218149180586</x:v>
      </x:c>
      <x:c r="AF109" s="13" t="n">
        <x:v>0.0116620932329483</x:v>
      </x:c>
      <x:c r="AG109" s="13" t="n">
        <x:v>0.0497828342803742</x:v>
      </x:c>
      <x:c r="AH109" s="13" t="n">
        <x:v>-0.0005449358749246</x:v>
      </x:c>
      <x:c r="AI109" s="13" t="n">
        <x:v>0.0321543234636431</x:v>
      </x:c>
      <x:c r="AJ109" s="13" t="n">
        <x:v>0.0175131731508113</x:v>
      </x:c>
      <x:c r="AK109" s="13" t="n">
        <x:v>0.0146411503128318</x:v>
      </x:c>
      <x:c r="AL109" s="13" t="n">
        <x:v>0.0248337483072272</x:v>
      </x:c>
      <x:c r="AM109" s="13" t="n">
        <x:v>-0.0034418174805886</x:v>
      </x:c>
    </x:row>
    <x:row r="110" ht="15" hidden="0" customHeight="1">
      <x:c r="A110" s="13" t="n">
        <x:v>1101</x:v>
      </x:c>
      <x:c r="B110" s="13" t="str">
        <x:v>2025-08-07</x:v>
      </x:c>
      <x:c r="C110" s="13" t="str">
        <x:v>confirmation_2025_2026</x:v>
      </x:c>
      <x:c r="D110" s="14" t="b">
        <x:v>1</x:v>
      </x:c>
      <x:c r="E110" s="13" t="str">
        <x:v>rbi_mpc</x:v>
      </x:c>
      <x:c r="F110" s="13" t="str">
        <x:v>post_2024_11_20</x:v>
      </x:c>
      <x:c r="G110" s="14" t="b">
        <x:v>1</x:v>
      </x:c>
      <x:c r="H110" s="13"/>
      <x:c r="I110" s="13" t="str">
        <x:v>short_iron_fly</x:v>
      </x:c>
      <x:c r="J110" s="13" t="str">
        <x:v>2025-08-07 05:18:00+00:00</x:v>
      </x:c>
      <x:c r="K110" s="13" t="str">
        <x:v>2025-08-07 11:48:00+05:30</x:v>
      </x:c>
      <x:c r="L110" s="13" t="n">
        <x:v>7.195833333333334</x:v>
      </x:c>
      <x:c r="M110" s="13" t="n">
        <x:v>24422.45</x:v>
      </x:c>
      <x:c r="N110" s="15" t="n">
        <x:v>0.1842466321581686</x:v>
      </x:c>
      <x:c r="O110" s="15" t="n">
        <x:v>0.1540139769293666</x:v>
      </x:c>
      <x:c r="P110" s="15" t="n">
        <x:v>0.010226516372028</x:v>
      </x:c>
      <x:c r="Q110" s="15" t="n">
        <x:v>0.8650793650793651</x:v>
      </x:c>
      <x:c r="R110" s="13" t="n">
        <x:v>0.8888888888888888</x:v>
      </x:c>
      <x:c r="S110" s="13" t="n">
        <x:v>4</x:v>
      </x:c>
      <x:c r="T110" s="13" t="n">
        <x:v>75</x:v>
      </x:c>
      <x:c r="U110" s="16" t="n">
        <x:v>345746.2870915919</x:v>
      </x:c>
      <x:c r="V110" s="17" t="n">
        <x:v>0.3153869211930776</x:v>
      </x:c>
      <x:c r="W110" s="17" t="n">
        <x:v>0.0228228226212648</x:v>
      </x:c>
      <x:c r="X110" s="16" t="n">
        <x:v>2670.0000000000005</x:v>
      </x:c>
      <x:c r="Y110" s="16" t="n">
        <x:v>240.8444893018613</x:v>
      </x:c>
      <x:c r="Z110" s="16" t="n">
        <x:v>144.5317223646136</x:v>
      </x:c>
      <x:c r="AA110" s="16" t="n">
        <x:v>385.3762116664749</x:v>
      </x:c>
      <x:c r="AB110" s="16" t="n">
        <x:v>2284.6237883335257</x:v>
      </x:c>
      <x:c r="AC110" s="16" t="n">
        <x:v>54327.335960856806</x:v>
      </x:c>
      <x:c r="AD110" s="13" t="n">
        <x:v>431.82287616632</x:v>
      </x:c>
      <x:c r="AE110" s="13" t="n">
        <x:v>1.0162676372016373</x:v>
      </x:c>
      <x:c r="AF110" s="13" t="n">
        <x:v>0.0082354225325959</x:v>
      </x:c>
      <x:c r="AG110" s="13" t="n">
        <x:v>0.0157706234630424</x:v>
      </x:c>
      <x:c r="AH110" s="13" t="n">
        <x:v>-0.004926760089059</x:v>
      </x:c>
      <x:c r="AI110" s="13" t="n">
        <x:v>0.0371279119149608</x:v>
      </x:c>
      <x:c r="AJ110" s="13" t="n">
        <x:v>0.0342046950034974</x:v>
      </x:c>
      <x:c r="AK110" s="13" t="n">
        <x:v>0.0029232169114634</x:v>
      </x:c>
      <x:c r="AL110" s="13" t="n">
        <x:v>0.0356663034592291</x:v>
      </x:c>
      <x:c r="AM110" s="13" t="n">
        <x:v>-0.0013649752389341</x:v>
      </x:c>
    </x:row>
    <x:row r="111" ht="15" hidden="0" customHeight="1">
      <x:c r="A111" s="13" t="n">
        <x:v>1102</x:v>
      </x:c>
      <x:c r="B111" s="13" t="str">
        <x:v>2025-08-28</x:v>
      </x:c>
      <x:c r="C111" s="13" t="str">
        <x:v>confirmation_2025_2026</x:v>
      </x:c>
      <x:c r="D111" s="14" t="b">
        <x:v>0</x:v>
      </x:c>
      <x:c r="E111" s="13" t="str">
        <x:v>none</x:v>
      </x:c>
      <x:c r="F111" s="13" t="str">
        <x:v>post_2024_11_20</x:v>
      </x:c>
      <x:c r="G111" s="14" t="b">
        <x:v>1</x:v>
      </x:c>
      <x:c r="H111" s="13"/>
      <x:c r="I111" s="13" t="str">
        <x:v>short_iron_fly</x:v>
      </x:c>
      <x:c r="J111" s="13" t="str">
        <x:v>2025-08-28 07:29:00+00:00</x:v>
      </x:c>
      <x:c r="K111" s="13" t="str">
        <x:v>2025-08-28 13:59:00+05:30</x:v>
      </x:c>
      <x:c r="L111" s="13" t="n">
        <x:v>12.104861111111113</x:v>
      </x:c>
      <x:c r="M111" s="13" t="n">
        <x:v>24577.75</x:v>
      </x:c>
      <x:c r="N111" s="15" t="n">
        <x:v>0.1930819114675869</x:v>
      </x:c>
      <x:c r="O111" s="15" t="n">
        <x:v>0.1222071556352132</x:v>
      </x:c>
      <x:c r="P111" s="15" t="n">
        <x:v>0.0223460356475278</x:v>
      </x:c>
      <x:c r="Q111" s="15" t="n">
        <x:v>0.8597560975609756</x:v>
      </x:c>
      <x:c r="R111" s="13" t="n">
        <x:v>0.6527777777777778</x:v>
      </x:c>
      <x:c r="S111" s="13" t="n">
        <x:v>4</x:v>
      </x:c>
      <x:c r="T111" s="13" t="n">
        <x:v>75</x:v>
      </x:c>
      <x:c r="U111" s="16" t="n">
        <x:v>341516.8799531951</x:v>
      </x:c>
      <x:c r="V111" s="17" t="n">
        <x:v>0.3108810100644623</x:v>
      </x:c>
      <x:c r="W111" s="17" t="n">
        <x:v>0.0249191024797588</x:v>
      </x:c>
      <x:c r="X111" s="16" t="n">
        <x:v>-2235.000000000002</x:v>
      </x:c>
      <x:c r="Y111" s="16" t="n">
        <x:v>232.08655593781867</x:v>
      </x:c>
      <x:c r="Z111" s="16" t="n">
        <x:v>153.36677809611876</x:v>
      </x:c>
      <x:c r="AA111" s="16" t="n">
        <x:v>385.4533340339374</x:v>
      </x:c>
      <x:c r="AB111" s="16" t="n">
        <x:v>-2620.4533340339394</x:v>
      </x:c>
      <x:c r="AC111" s="16" t="n">
        <x:v>47512.61320969229</x:v>
      </x:c>
      <x:c r="AD111" s="13" t="n">
        <x:v>-794.3576205590373</x:v>
      </x:c>
      <x:c r="AE111" s="13" t="n">
        <x:v>0.4188694926349396</x:v>
      </x:c>
      <x:c r="AF111" s="13" t="n">
        <x:v>0.0068625389008655</x:v>
      </x:c>
      <x:c r="AG111" s="13" t="n">
        <x:v>0.0037450307803112</x:v>
      </x:c>
      <x:c r="AH111" s="13" t="n">
        <x:v>0.0025243767082818</x:v>
      </x:c>
      <x:c r="AI111" s="13" t="n">
        <x:v>0.0274625207868596</x:v>
      </x:c>
      <x:c r="AJ111" s="13" t="n">
        <x:v>0.0668843098589091</x:v>
      </x:c>
      <x:c r="AK111" s="13" t="n">
        <x:v>-0.0394217890720494</x:v>
      </x:c>
      <x:c r="AL111" s="13" t="n">
        <x:v>0.0471734153228844</x:v>
      </x:c>
      <x:c r="AM111" s="13" t="n">
        <x:v>-0.0037471040621553</x:v>
      </x:c>
    </x:row>
    <x:row r="112" ht="15" hidden="0" customHeight="1">
      <x:c r="A112" s="13" t="n">
        <x:v>1103</x:v>
      </x:c>
      <x:c r="B112" s="13" t="str">
        <x:v>2025-09-02</x:v>
      </x:c>
      <x:c r="C112" s="13" t="str">
        <x:v>confirmation_2025_2026</x:v>
      </x:c>
      <x:c r="D112" s="14" t="b">
        <x:v>0</x:v>
      </x:c>
      <x:c r="E112" s="13" t="str">
        <x:v>none</x:v>
      </x:c>
      <x:c r="F112" s="13" t="str">
        <x:v>post_2024_11_20</x:v>
      </x:c>
      <x:c r="G112" s="14" t="b">
        <x:v>1</x:v>
      </x:c>
      <x:c r="H112" s="13"/>
      <x:c r="I112" s="13" t="str">
        <x:v>short_iron_fly</x:v>
      </x:c>
      <x:c r="J112" s="13" t="str">
        <x:v>2025-09-02 08:39:00+00:00</x:v>
      </x:c>
      <x:c r="K112" s="13" t="str">
        <x:v>2025-09-02 15:09:00+05:30</x:v>
      </x:c>
      <x:c r="L112" s="13" t="n">
        <x:v>7.05625</x:v>
      </x:c>
      <x:c r="M112" s="13" t="n">
        <x:v>24564.6</x:v>
      </x:c>
      <x:c r="N112" s="15" t="n">
        <x:v>0.2883550836027745</x:v>
      </x:c>
      <x:c r="O112" s="15" t="n">
        <x:v>0.2539214140562961</x:v>
      </x:c>
      <x:c r="P112" s="15" t="n">
        <x:v>0.0186725697232141</x:v>
      </x:c>
      <x:c r="Q112" s="15" t="n">
        <x:v>0.8792354474370113</x:v>
      </x:c>
      <x:c r="R112" s="13" t="n">
        <x:v>0.9166666666666666</x:v>
      </x:c>
      <x:c r="S112" s="13" t="n">
        <x:v>4</x:v>
      </x:c>
      <x:c r="T112" s="13" t="n">
        <x:v>75</x:v>
      </x:c>
      <x:c r="U112" s="16" t="n">
        <x:v>343269.9968208361</x:v>
      </x:c>
      <x:c r="V112" s="17" t="n">
        <x:v>0.3132240229072973</x:v>
      </x:c>
      <x:c r="W112" s="17" t="n">
        <x:v>0.0242258974297583</x:v>
      </x:c>
      <x:c r="X112" s="16" t="n">
        <x:v>9495</x:v>
      </x:c>
      <x:c r="Y112" s="16" t="n">
        <x:v>224.4204758385069</x:v>
      </x:c>
      <x:c r="Z112" s="16" t="n">
        <x:v>139.46842051408976</x:v>
      </x:c>
      <x:c r="AA112" s="16" t="n">
        <x:v>363.8888963525967</x:v>
      </x:c>
      <x:c r="AB112" s="16" t="n">
        <x:v>9131.111103647405</x:v>
      </x:c>
      <x:c r="AC112" s="16" t="n">
        <x:v>33227.121184989555</x:v>
      </x:c>
      <x:c r="AD112" s="13" t="n">
        <x:v>2143.2292943714765</x:v>
      </x:c>
      <x:c r="AE112" s="13" t="n">
        <x:v>1.921329524812991</x:v>
      </x:c>
      <x:c r="AF112" s="13" t="n">
        <x:v>0.024359673623813</x:v>
      </x:c>
      <x:c r="AG112" s="13" t="n">
        <x:v>0.1075369587825571</x:v>
      </x:c>
      <x:c r="AH112" s="13" t="n">
        <x:v>0.0143010787762377</x:v>
      </x:c>
      <x:c r="AI112" s="13" t="n">
        <x:v>0.0556339659727961</x:v>
      </x:c>
      <x:c r="AJ112" s="13" t="n">
        <x:v>0.0222646431242318</x:v>
      </x:c>
      <x:c r="AK112" s="13" t="n">
        <x:v>0.0333693228485643</x:v>
      </x:c>
      <x:c r="AL112" s="13" t="n">
        <x:v>0.038949304548514</x:v>
      </x:c>
      <x:c r="AM112" s="13" t="n">
        <x:v>0</x:v>
      </x:c>
    </x:row>
    <x:row r="113" ht="15" hidden="0" customHeight="1">
      <x:c r="A113" s="13" t="n">
        <x:v>1104</x:v>
      </x:c>
      <x:c r="B113" s="13" t="str">
        <x:v>2025-09-09</x:v>
      </x:c>
      <x:c r="C113" s="13" t="str">
        <x:v>confirmation_2025_2026</x:v>
      </x:c>
      <x:c r="D113" s="14" t="b">
        <x:v>0</x:v>
      </x:c>
      <x:c r="E113" s="13" t="str">
        <x:v>none</x:v>
      </x:c>
      <x:c r="F113" s="13" t="str">
        <x:v>post_2024_11_20</x:v>
      </x:c>
      <x:c r="G113" s="14" t="b">
        <x:v>1</x:v>
      </x:c>
      <x:c r="H113" s="13"/>
      <x:c r="I113" s="13" t="str">
        <x:v>short_iron_fly</x:v>
      </x:c>
      <x:c r="J113" s="13" t="str">
        <x:v>2025-09-09 06:27:00+00:00</x:v>
      </x:c>
      <x:c r="K113" s="13" t="str">
        <x:v>2025-09-09 12:57:00+05:30</x:v>
      </x:c>
      <x:c r="L113" s="13" t="n">
        <x:v>7.147916666666666</x:v>
      </x:c>
      <x:c r="M113" s="13" t="n">
        <x:v>24843.7</x:v>
      </x:c>
      <x:c r="N113" s="15" t="n">
        <x:v>0.1860279673685133</x:v>
      </x:c>
      <x:c r="O113" s="15" t="n">
        <x:v>0.1132097111156962</x:v>
      </x:c>
      <x:c r="P113" s="15" t="n">
        <x:v>0.0217899659523612</x:v>
      </x:c>
      <x:c r="Q113" s="15" t="n">
        <x:v>0.8529411764705882</x:v>
      </x:c>
      <x:c r="R113" s="13" t="n">
        <x:v>0.5277777777777778</x:v>
      </x:c>
      <x:c r="S113" s="13" t="n">
        <x:v>4</x:v>
      </x:c>
      <x:c r="T113" s="13" t="n">
        <x:v>75</x:v>
      </x:c>
      <x:c r="U113" s="16" t="n">
        <x:v>347276.15484578145</x:v>
      </x:c>
      <x:c r="V113" s="17" t="n">
        <x:v>0.3142611420128142</x:v>
      </x:c>
      <x:c r="W113" s="17" t="n">
        <x:v>0.0245143811303291</x:v>
      </x:c>
      <x:c r="X113" s="16" t="n">
        <x:v>2415.000000000001</x:v>
      </x:c>
      <x:c r="Y113" s="16" t="n">
        <x:v>233.6959933471322</x:v>
      </x:c>
      <x:c r="Z113" s="16" t="n">
        <x:v>139.48202355044282</x:v>
      </x:c>
      <x:c r="AA113" s="16" t="n">
        <x:v>373.1780168975751</x:v>
      </x:c>
      <x:c r="AB113" s="16" t="n">
        <x:v>2041.8219831024253</x:v>
      </x:c>
      <x:c r="AC113" s="16" t="n">
        <x:v>46815.02610398399</x:v>
      </x:c>
      <x:c r="AD113" s="13" t="n">
        <x:v>370.9867065199279</x:v>
      </x:c>
      <x:c r="AE113" s="13" t="n">
        <x:v>0.1756288151580018</x:v>
      </x:c>
      <x:c r="AF113" s="13" t="n">
        <x:v>0.0009183323539502</x:v>
      </x:c>
      <x:c r="AG113" s="13" t="n">
        <x:v>0.0079160800748905</x:v>
      </x:c>
      <x:c r="AH113" s="13" t="n">
        <x:v>-0.0020216756477706</x:v>
      </x:c>
      <x:c r="AI113" s="13" t="n">
        <x:v>0.0572860652997734</x:v>
      </x:c>
      <x:c r="AJ113" s="13" t="n">
        <x:v>0.0363155639739234</x:v>
      </x:c>
      <x:c r="AK113" s="13" t="n">
        <x:v>0.0209705013258499</x:v>
      </x:c>
      <x:c r="AL113" s="13" t="n">
        <x:v>0.0468008146368484</x:v>
      </x:c>
      <x:c r="AM113" s="13" t="n">
        <x:v>0</x:v>
      </x:c>
    </x:row>
    <x:row r="114" ht="15" hidden="0" customHeight="1">
      <x:c r="A114" s="13" t="n">
        <x:v>1105</x:v>
      </x:c>
      <x:c r="B114" s="13" t="str">
        <x:v>2025-09-16</x:v>
      </x:c>
      <x:c r="C114" s="13" t="str">
        <x:v>confirmation_2025_2026</x:v>
      </x:c>
      <x:c r="D114" s="14" t="b">
        <x:v>0</x:v>
      </x:c>
      <x:c r="E114" s="13" t="str">
        <x:v>none</x:v>
      </x:c>
      <x:c r="F114" s="13" t="str">
        <x:v>post_2024_11_20</x:v>
      </x:c>
      <x:c r="G114" s="14" t="b">
        <x:v>1</x:v>
      </x:c>
      <x:c r="H114" s="13"/>
      <x:c r="I114" s="13" t="str">
        <x:v>short_iron_fly</x:v>
      </x:c>
      <x:c r="J114" s="13" t="str">
        <x:v>2025-09-16 08:24:00+00:00</x:v>
      </x:c>
      <x:c r="K114" s="13" t="str">
        <x:v>2025-09-16 14:54:00+05:30</x:v>
      </x:c>
      <x:c r="L114" s="13" t="n">
        <x:v>7.066666666666666</x:v>
      </x:c>
      <x:c r="M114" s="13" t="n">
        <x:v>25169.8</x:v>
      </x:c>
      <x:c r="N114" s="15" t="n">
        <x:v>0.1639100177047115</x:v>
      </x:c>
      <x:c r="O114" s="15" t="n">
        <x:v>0.077256806308544</x:v>
      </x:c>
      <x:c r="P114" s="15" t="n">
        <x:v>0.0208978797829629</x:v>
      </x:c>
      <x:c r="Q114" s="15" t="n">
        <x:v>0.8716623600344531</x:v>
      </x:c>
      <x:c r="R114" s="13" t="n">
        <x:v>1</x:v>
      </x:c>
      <x:c r="S114" s="13" t="n">
        <x:v>4</x:v>
      </x:c>
      <x:c r="T114" s="13" t="n">
        <x:v>75</x:v>
      </x:c>
      <x:c r="U114" s="16" t="n">
        <x:v>350433.3963675621</x:v>
      </x:c>
      <x:c r="V114" s="17" t="n">
        <x:v>0.3165333678314035</x:v>
      </x:c>
      <x:c r="W114" s="17" t="n">
        <x:v>0.0291300040499949</x:v>
      </x:c>
      <x:c r="X114" s="16" t="n">
        <x:v>-4995</x:v>
      </x:c>
      <x:c r="Y114" s="16" t="n">
        <x:v>218.42878053568165</x:v>
      </x:c>
      <x:c r="Z114" s="16" t="n">
        <x:v>142.3899902940623</x:v>
      </x:c>
      <x:c r="AA114" s="16" t="n">
        <x:v>360.8187708297439</x:v>
      </x:c>
      <x:c r="AB114" s="16" t="n">
        <x:v>-5355.818770829744</x:v>
      </x:c>
      <x:c r="AC114" s="16" t="n">
        <x:v>34337.446234554525</x:v>
      </x:c>
      <x:c r="AD114" s="13" t="n">
        <x:v>-1478.3624495230165</x:v>
      </x:c>
      <x:c r="AE114" s="13" t="n">
        <x:v>1.1917798084804838</x:v>
      </x:c>
      <x:c r="AF114" s="13" t="n">
        <x:v>0.0237615453660949</x:v>
      </x:c>
      <x:c r="AG114" s="13" t="n">
        <x:v>0.015060180609305</x:v>
      </x:c>
      <x:c r="AH114" s="13" t="n">
        <x:v>-0.0011980429765147</x:v>
      </x:c>
      <x:c r="AI114" s="13" t="n">
        <x:v>0.1232479867292518</x:v>
      </x:c>
      <x:c r="AJ114" s="13" t="n">
        <x:v>0.0360404197519501</x:v>
      </x:c>
      <x:c r="AK114" s="13" t="n">
        <x:v>0.0872075669773017</x:v>
      </x:c>
      <x:c r="AL114" s="13" t="n">
        <x:v>0.079644203240601</x:v>
      </x:c>
      <x:c r="AM114" s="13" t="n">
        <x:v>-0.004837710590937</x:v>
      </x:c>
    </x:row>
    <x:row r="115" ht="15" hidden="0" customHeight="1">
      <x:c r="A115" s="13" t="n">
        <x:v>1106</x:v>
      </x:c>
      <x:c r="B115" s="13" t="str">
        <x:v>2025-09-23</x:v>
      </x:c>
      <x:c r="C115" s="13" t="str">
        <x:v>confirmation_2025_2026</x:v>
      </x:c>
      <x:c r="D115" s="14" t="b">
        <x:v>0</x:v>
      </x:c>
      <x:c r="E115" s="13" t="str">
        <x:v>none</x:v>
      </x:c>
      <x:c r="F115" s="13" t="str">
        <x:v>post_2024_11_20</x:v>
      </x:c>
      <x:c r="G115" s="14" t="b">
        <x:v>1</x:v>
      </x:c>
      <x:c r="H115" s="13"/>
      <x:c r="I115" s="13" t="str">
        <x:v>short_iron_fly</x:v>
      </x:c>
      <x:c r="J115" s="13" t="str">
        <x:v>2025-09-23 08:19:00+00:00</x:v>
      </x:c>
      <x:c r="K115" s="13" t="str">
        <x:v>2025-09-23 14:49:00+05:30</x:v>
      </x:c>
      <x:c r="L115" s="13" t="n">
        <x:v>14.07013888888889</x:v>
      </x:c>
      <x:c r="M115" s="13" t="n">
        <x:v>25225.3</x:v>
      </x:c>
      <x:c r="N115" s="15" t="n">
        <x:v>0.2013855173183586</x:v>
      </x:c>
      <x:c r="O115" s="15" t="n">
        <x:v>0.1558679720088836</x:v>
      </x:c>
      <x:c r="P115" s="15" t="n">
        <x:v>0.0162613018874207</x:v>
      </x:c>
      <x:c r="Q115" s="15" t="n">
        <x:v>0.8490566037735849</x:v>
      </x:c>
      <x:c r="R115" s="13" t="n">
        <x:v>0.6666666666666666</x:v>
      </x:c>
      <x:c r="S115" s="13" t="n">
        <x:v>4</x:v>
      </x:c>
      <x:c r="T115" s="13" t="n">
        <x:v>75</x:v>
      </x:c>
      <x:c r="U115" s="16" t="n">
        <x:v>350055.3427659197</x:v>
      </x:c>
      <x:c r="V115" s="17" t="n">
        <x:v>0.3177289669546436</x:v>
      </x:c>
      <x:c r="W115" s="17" t="n">
        <x:v>0.027365539226231</x:v>
      </x:c>
      <x:c r="X115" s="16" t="n">
        <x:v>945</x:v>
      </x:c>
      <x:c r="Y115" s="16" t="n">
        <x:v>220.8316069929052</x:v>
      </x:c>
      <x:c r="Z115" s="16" t="n">
        <x:v>139.40797365510585</x:v>
      </x:c>
      <x:c r="AA115" s="16" t="n">
        <x:v>360.23958064801104</x:v>
      </x:c>
      <x:c r="AB115" s="16" t="n">
        <x:v>584.7604193519888</x:v>
      </x:c>
      <x:c r="AC115" s="16" t="n">
        <x:v>33824.82875342132</x:v>
      </x:c>
      <x:c r="AD115" s="13" t="n">
        <x:v>6.670062852966083</x:v>
      </x:c>
      <x:c r="AE115" s="13" t="n">
        <x:v>0.2478538565044535</x:v>
      </x:c>
      <x:c r="AF115" s="13" t="n">
        <x:v>0.001488515227015</x:v>
      </x:c>
      <x:c r="AG115" s="13" t="n">
        <x:v>0.0092641721783474</x:v>
      </x:c>
      <x:c r="AH115" s="13" t="n">
        <x:v>-0.0129030324240341</x:v>
      </x:c>
      <x:c r="AI115" s="13" t="n">
        <x:v>0.0565640669042029</x:v>
      </x:c>
      <x:c r="AJ115" s="13" t="n">
        <x:v>0.0598708877194042</x:v>
      </x:c>
      <x:c r="AK115" s="13" t="n">
        <x:v>-0.0033068208152012</x:v>
      </x:c>
      <x:c r="AL115" s="13" t="n">
        <x:v>0.0582174773118036</x:v>
      </x:c>
      <x:c r="AM115" s="13" t="n">
        <x:v>-0.0043095183956991</x:v>
      </x:c>
    </x:row>
    <x:row r="116" ht="15" hidden="0" customHeight="1">
      <x:c r="A116" s="13" t="n">
        <x:v>1110</x:v>
      </x:c>
      <x:c r="B116" s="13" t="str">
        <x:v>2025-10-20</x:v>
      </x:c>
      <x:c r="C116" s="13" t="str">
        <x:v>confirmation_2025_2026</x:v>
      </x:c>
      <x:c r="D116" s="14" t="b">
        <x:v>0</x:v>
      </x:c>
      <x:c r="E116" s="13" t="str">
        <x:v>none</x:v>
      </x:c>
      <x:c r="F116" s="13" t="str">
        <x:v>post_2024_11_20</x:v>
      </x:c>
      <x:c r="G116" s="14" t="b">
        <x:v>1</x:v>
      </x:c>
      <x:c r="H116" s="13"/>
      <x:c r="I116" s="13" t="str">
        <x:v>short_iron_fly</x:v>
      </x:c>
      <x:c r="J116" s="13" t="str">
        <x:v>2025-10-20 07:30:00+00:00</x:v>
      </x:c>
      <x:c r="K116" s="13" t="str">
        <x:v>2025-10-20 14:00:00+05:30</x:v>
      </x:c>
      <x:c r="L116" s="13" t="n">
        <x:v>15.104166666666666</x:v>
      </x:c>
      <x:c r="M116" s="13" t="n">
        <x:v>25883.9</x:v>
      </x:c>
      <x:c r="N116" s="15" t="n">
        <x:v>0.1933566179276355</x:v>
      </x:c>
      <x:c r="O116" s="15" t="n">
        <x:v>0.1129570238111526</x:v>
      </x:c>
      <x:c r="P116" s="15" t="n">
        <x:v>0.0246274924681403</x:v>
      </x:c>
      <x:c r="Q116" s="15" t="n">
        <x:v>0.875</x:v>
      </x:c>
      <x:c r="R116" s="13" t="n">
        <x:v>0.4861111111111111</x:v>
      </x:c>
      <x:c r="S116" s="13" t="n">
        <x:v>4</x:v>
      </x:c>
      <x:c r="T116" s="13" t="n">
        <x:v>75</x:v>
      </x:c>
      <x:c r="U116" s="16" t="n">
        <x:v>358429.6460297942</x:v>
      </x:c>
      <x:c r="V116" s="17" t="n">
        <x:v>0.3251573523888594</x:v>
      </x:c>
      <x:c r="W116" s="17" t="n">
        <x:v>0.0252690625747696</x:v>
      </x:c>
      <x:c r="X116" s="16" t="n">
        <x:v>374.9999999999999</x:v>
      </x:c>
      <x:c r="Y116" s="16" t="n">
        <x:v>229.00359534007103</x:v>
      </x:c>
      <x:c r="Z116" s="16" t="n">
        <x:v>142.60251161339056</x:v>
      </x:c>
      <x:c r="AA116" s="16" t="n">
        <x:v>371.6061069534616</x:v>
      </x:c>
      <x:c r="AB116" s="16" t="n">
        <x:v>3.393893046538267</x:v>
      </x:c>
      <x:c r="AC116" s="16" t="n">
        <x:v>42858.05578822616</x:v>
      </x:c>
      <x:c r="AD116" s="13" t="n">
        <x:v>-138.59430108995437</x:v>
      </x:c>
      <x:c r="AE116" s="13" t="n">
        <x:v>0.2773773800250091</x:v>
      </x:c>
      <x:c r="AF116" s="13" t="n">
        <x:v>0.0017215896171451</x:v>
      </x:c>
      <x:c r="AG116" s="13" t="n">
        <x:v>0.0169742506592448</x:v>
      </x:c>
      <x:c r="AH116" s="13" t="n">
        <x:v>-0.0136130723231628</x:v>
      </x:c>
      <x:c r="AI116" s="13" t="n">
        <x:v>0.0460485100950261</x:v>
      </x:c>
      <x:c r="AJ116" s="13" t="n">
        <x:v>0.0394105236804564</x:v>
      </x:c>
      <x:c r="AK116" s="13" t="n">
        <x:v>0.0066379864145697</x:v>
      </x:c>
      <x:c r="AL116" s="13" t="n">
        <x:v>0.0427295168877412</x:v>
      </x:c>
      <x:c r="AM116" s="13" t="n">
        <x:v>-0.0043064528191669</x:v>
      </x:c>
    </x:row>
    <x:row r="117" ht="15" hidden="0" customHeight="1">
      <x:c r="A117" s="13" t="n">
        <x:v>1111</x:v>
      </x:c>
      <x:c r="B117" s="13" t="str">
        <x:v>2025-10-28</x:v>
      </x:c>
      <x:c r="C117" s="13" t="str">
        <x:v>confirmation_2025_2026</x:v>
      </x:c>
      <x:c r="D117" s="14" t="b">
        <x:v>0</x:v>
      </x:c>
      <x:c r="E117" s="13" t="str">
        <x:v>none</x:v>
      </x:c>
      <x:c r="F117" s="13" t="str">
        <x:v>post_2024_11_20</x:v>
      </x:c>
      <x:c r="G117" s="14" t="b">
        <x:v>0</x:v>
      </x:c>
      <x:c r="H117" s="13" t="str">
        <x:v>confidence_score_at_or_below_0.40</x:v>
      </x:c>
      <x:c r="I117" s="13"/>
      <x:c r="J117" s="13" t="str">
        <x:v>2025-10-28 05:05:00+00:00</x:v>
      </x:c>
      <x:c r="K117" s="13"/>
      <x:c r="L117" s="13"/>
      <x:c r="M117" s="13" t="n">
        <x:v>25880.1</x:v>
      </x:c>
      <x:c r="N117" s="15" t="n">
        <x:v>0.2627453049490945</x:v>
      </x:c>
      <x:c r="O117" s="15" t="n">
        <x:v>0.2560981643701998</x:v>
      </x:c>
      <x:c r="P117" s="15" t="n">
        <x:v>0.0034488254790067</x:v>
      </x:c>
      <x:c r="Q117" s="15" t="n">
        <x:v>0.8618365627632687</x:v>
      </x:c>
      <x:c r="R117" s="13" t="n">
        <x:v>0.125</x:v>
      </x:c>
      <x:c r="S117" s="13" t="n">
        <x:v>0</x:v>
      </x:c>
      <x:c r="T117" s="13"/>
      <x:c r="U117" s="16" t="n">
        <x:v>0</x:v>
      </x:c>
      <x:c r="V117" s="17" t="n">
        <x:v>0</x:v>
      </x:c>
      <x:c r="W117" s="17" t="n">
        <x:v>0</x:v>
      </x:c>
      <x:c r="X117" s="16" t="n">
        <x:v>0</x:v>
      </x:c>
      <x:c r="Y117" s="16" t="n">
        <x:v>0</x:v>
      </x:c>
      <x:c r="Z117" s="16" t="n">
        <x:v>0</x:v>
      </x:c>
      <x:c r="AA117" s="16" t="n">
        <x:v>0</x:v>
      </x:c>
      <x:c r="AB117" s="16" t="n">
        <x:v>0</x:v>
      </x:c>
      <x:c r="AC117" s="16" t="n">
        <x:v>0</x:v>
      </x:c>
      <x:c r="AD117" s="13" t="n">
        <x:v>748.6261751707771</x:v>
      </x:c>
      <x:c r="AE117" s="13" t="n">
        <x:v>0.0980203170638098</x:v>
      </x:c>
      <x:c r="AF117" s="13" t="n">
        <x:v>0.0003056496113357</x:v>
      </x:c>
      <x:c r="AG117" s="13" t="n">
        <x:v>0.0102665791559802</x:v>
      </x:c>
      <x:c r="AH117" s="13" t="n">
        <x:v>-0.0078321450923086</x:v>
      </x:c>
      <x:c r="AI117" s="13" t="n">
        <x:v>0.0037834895316695</x:v>
      </x:c>
      <x:c r="AJ117" s="13" t="n">
        <x:v>0.0178416153044763</x:v>
      </x:c>
      <x:c r="AK117" s="13" t="n">
        <x:v>-0.0140581257728067</x:v>
      </x:c>
      <x:c r="AL117" s="13" t="n">
        <x:v>0.0108125524180729</x:v>
      </x:c>
      <x:c r="AM117" s="13" t="n">
        <x:v>-0.0043064528191669</x:v>
      </x:c>
    </x:row>
    <x:row r="118" ht="15" hidden="0" customHeight="1">
      <x:c r="A118" s="13" t="n">
        <x:v>1115</x:v>
      </x:c>
      <x:c r="B118" s="13" t="str">
        <x:v>2025-11-25</x:v>
      </x:c>
      <x:c r="C118" s="13" t="str">
        <x:v>confirmation_2025_2026</x:v>
      </x:c>
      <x:c r="D118" s="14" t="b">
        <x:v>0</x:v>
      </x:c>
      <x:c r="E118" s="13" t="str">
        <x:v>none</x:v>
      </x:c>
      <x:c r="F118" s="13" t="str">
        <x:v>post_2024_11_20</x:v>
      </x:c>
      <x:c r="G118" s="14" t="b">
        <x:v>1</x:v>
      </x:c>
      <x:c r="H118" s="13"/>
      <x:c r="I118" s="13" t="str">
        <x:v>short_iron_fly</x:v>
      </x:c>
      <x:c r="J118" s="13" t="str">
        <x:v>2025-11-25 06:28:00+00:00</x:v>
      </x:c>
      <x:c r="K118" s="13" t="str">
        <x:v>2025-11-25 12:58:00+05:30</x:v>
      </x:c>
      <x:c r="L118" s="13" t="n">
        <x:v>14.147222222222222</x:v>
      </x:c>
      <x:c r="M118" s="13" t="n">
        <x:v>25988</x:v>
      </x:c>
      <x:c r="N118" s="15" t="n">
        <x:v>0.1968125582477329</x:v>
      </x:c>
      <x:c r="O118" s="15" t="n">
        <x:v>0.1086579338081472</x:v>
      </x:c>
      <x:c r="P118" s="15" t="n">
        <x:v>0.0269286365045615</x:v>
      </x:c>
      <x:c r="Q118" s="15" t="n">
        <x:v>0.8898094449047225</x:v>
      </x:c>
      <x:c r="R118" s="13" t="n">
        <x:v>0.5277777777777778</x:v>
      </x:c>
      <x:c r="S118" s="13" t="n">
        <x:v>4</x:v>
      </x:c>
      <x:c r="T118" s="13" t="n">
        <x:v>75</x:v>
      </x:c>
      <x:c r="U118" s="16" t="n">
        <x:v>361271.7940934526</x:v>
      </x:c>
      <x:c r="V118" s="17" t="n">
        <x:v>0.3277346605952561</x:v>
      </x:c>
      <x:c r="W118" s="17" t="n">
        <x:v>0.0222753262678285</x:v>
      </x:c>
      <x:c r="X118" s="16" t="n">
        <x:v>2459.999999999999</x:v>
      </x:c>
      <x:c r="Y118" s="16" t="n">
        <x:v>237.15423469336864</x:v>
      </x:c>
      <x:c r="Z118" s="16" t="n">
        <x:v>140.18098657793303</x:v>
      </x:c>
      <x:c r="AA118" s="16" t="n">
        <x:v>377.3352212713016</x:v>
      </x:c>
      <x:c r="AB118" s="16" t="n">
        <x:v>2082.664778728697</x:v>
      </x:c>
      <x:c r="AC118" s="16" t="n">
        <x:v>50488.994917716205</x:v>
      </x:c>
      <x:c r="AD118" s="13" t="n">
        <x:v>381.1531568417409</x:v>
      </x:c>
      <x:c r="AE118" s="13" t="n">
        <x:v>0.3511613989125502</x:v>
      </x:c>
      <x:c r="AF118" s="13" t="n">
        <x:v>0.0133798611595451</x:v>
      </x:c>
      <x:c r="AG118" s="13" t="n">
        <x:v>0.0148878617284806</x:v>
      </x:c>
      <x:c r="AH118" s="13" t="n">
        <x:v>-0.0190567944581759</x:v>
      </x:c>
      <x:c r="AI118" s="13" t="n">
        <x:v>0.0155564905135277</x:v>
      </x:c>
      <x:c r="AJ118" s="13" t="n">
        <x:v>0.0310110850478968</x:v>
      </x:c>
      <x:c r="AK118" s="13" t="n">
        <x:v>-0.0154545945343691</x:v>
      </x:c>
      <x:c r="AL118" s="13" t="n">
        <x:v>0.0232837877807123</x:v>
      </x:c>
      <x:c r="AM118" s="13" t="n">
        <x:v>-0.0024252596928605</x:v>
      </x:c>
    </x:row>
    <x:row r="119" ht="15" hidden="0" customHeight="1">
      <x:c r="A119" s="13" t="n">
        <x:v>1116</x:v>
      </x:c>
      <x:c r="B119" s="13" t="str">
        <x:v>2025-12-02</x:v>
      </x:c>
      <x:c r="C119" s="13" t="str">
        <x:v>confirmation_2025_2026</x:v>
      </x:c>
      <x:c r="D119" s="14" t="b">
        <x:v>1</x:v>
      </x:c>
      <x:c r="E119" s="13" t="str">
        <x:v>rbi_mpc</x:v>
      </x:c>
      <x:c r="F119" s="13" t="str">
        <x:v>post_2024_11_20</x:v>
      </x:c>
      <x:c r="G119" s="14" t="b">
        <x:v>1</x:v>
      </x:c>
      <x:c r="H119" s="13"/>
      <x:c r="I119" s="13" t="str">
        <x:v>short_iron_fly</x:v>
      </x:c>
      <x:c r="J119" s="13" t="str">
        <x:v>2025-12-02 06:01:00+00:00</x:v>
      </x:c>
      <x:c r="K119" s="13" t="str">
        <x:v>2025-12-02 12:31:00+05:30</x:v>
      </x:c>
      <x:c r="L119" s="13" t="n">
        <x:v>7.165972222222222</x:v>
      </x:c>
      <x:c r="M119" s="13" t="n">
        <x:v>26067.4</x:v>
      </x:c>
      <x:c r="N119" s="15" t="n">
        <x:v>0.177707610757292</x:v>
      </x:c>
      <x:c r="O119" s="15" t="n">
        <x:v>0.116972572713486</x:v>
      </x:c>
      <x:c r="P119" s="15" t="n">
        <x:v>0.0178974121538534</x:v>
      </x:c>
      <x:c r="Q119" s="15" t="n">
        <x:v>0.8556105610561056</x:v>
      </x:c>
      <x:c r="R119" s="13" t="n">
        <x:v>0.5694444444444444</x:v>
      </x:c>
      <x:c r="S119" s="13" t="n">
        <x:v>4</x:v>
      </x:c>
      <x:c r="T119" s="13" t="n">
        <x:v>75</x:v>
      </x:c>
      <x:c r="U119" s="16" t="n">
        <x:v>362644.5669634365</x:v>
      </x:c>
      <x:c r="V119" s="17" t="n">
        <x:v>0.3283596184307636</x:v>
      </x:c>
      <x:c r="W119" s="17" t="n">
        <x:v>0.0221789926894309</x:v>
      </x:c>
      <x:c r="X119" s="16" t="n">
        <x:v>2054.999999999998</x:v>
      </x:c>
      <x:c r="Y119" s="16" t="n">
        <x:v>237.0257534722386</x:v>
      </x:c>
      <x:c r="Z119" s="16" t="n">
        <x:v>143.65576236259676</x:v>
      </x:c>
      <x:c r="AA119" s="16" t="n">
        <x:v>380.6815158348354</x:v>
      </x:c>
      <x:c r="AB119" s="16" t="n">
        <x:v>1674.3184841651628</x:v>
      </x:c>
      <x:c r="AC119" s="16" t="n">
        <x:v>50563.429934110194</x:v>
      </x:c>
      <x:c r="AD119" s="13" t="n">
        <x:v>279.1705811224276</x:v>
      </x:c>
      <x:c r="AE119" s="13" t="n">
        <x:v>0.2239325316597646</x:v>
      </x:c>
      <x:c r="AF119" s="13" t="n">
        <x:v>0.0042402694723089</x:v>
      </x:c>
      <x:c r="AG119" s="13" t="n">
        <x:v>0.0014675332394202</x:v>
      </x:c>
      <x:c r="AH119" s="13" t="n">
        <x:v>-0.0047510095766716</x:v>
      </x:c>
      <x:c r="AI119" s="13" t="n">
        <x:v>0.0243616841207779</x:v>
      </x:c>
      <x:c r="AJ119" s="13" t="n">
        <x:v>0.0130598087753223</x:v>
      </x:c>
      <x:c r="AK119" s="13" t="n">
        <x:v>0.0113018753454556</x:v>
      </x:c>
      <x:c r="AL119" s="13" t="n">
        <x:v>0.0187107464480501</x:v>
      </x:c>
      <x:c r="AM119" s="13" t="n">
        <x:v>-0.000912910487252</x:v>
      </x:c>
    </x:row>
    <x:row r="120" ht="15" hidden="0" customHeight="1">
      <x:c r="A120" s="13" t="n">
        <x:v>1117</x:v>
      </x:c>
      <x:c r="B120" s="13" t="str">
        <x:v>2025-12-09</x:v>
      </x:c>
      <x:c r="C120" s="13" t="str">
        <x:v>confirmation_2025_2026</x:v>
      </x:c>
      <x:c r="D120" s="14" t="b">
        <x:v>1</x:v>
      </x:c>
      <x:c r="E120" s="13" t="str">
        <x:v>rbi_mpc</x:v>
      </x:c>
      <x:c r="F120" s="13" t="str">
        <x:v>post_2024_11_20</x:v>
      </x:c>
      <x:c r="G120" s="14" t="b">
        <x:v>1</x:v>
      </x:c>
      <x:c r="H120" s="13"/>
      <x:c r="I120" s="13" t="str">
        <x:v>short_iron_fly</x:v>
      </x:c>
      <x:c r="J120" s="13" t="str">
        <x:v>2025-12-09 05:03:00+00:00</x:v>
      </x:c>
      <x:c r="K120" s="13" t="str">
        <x:v>2025-12-09 11:33:00+05:30</x:v>
      </x:c>
      <x:c r="L120" s="13" t="n">
        <x:v>7.20625</x:v>
      </x:c>
      <x:c r="M120" s="13" t="n">
        <x:v>25803.65</x:v>
      </x:c>
      <x:c r="N120" s="15" t="n">
        <x:v>0.2101969391426096</x:v>
      </x:c>
      <x:c r="O120" s="15" t="n">
        <x:v>0.2137935277877735</x:v>
      </x:c>
      <x:c r="P120" s="15" t="n">
        <x:v>-0.0015249192990195</x:v>
      </x:c>
      <x:c r="Q120" s="15" t="n">
        <x:v>0.8018092105263158</x:v>
      </x:c>
      <x:c r="R120" s="13" t="n">
        <x:v>0.4861111111111111</x:v>
      </x:c>
      <x:c r="S120" s="13" t="n">
        <x:v>4</x:v>
      </x:c>
      <x:c r="T120" s="13" t="n">
        <x:v>75</x:v>
      </x:c>
      <x:c r="U120" s="16" t="n">
        <x:v>362566.63757645927</x:v>
      </x:c>
      <x:c r="V120" s="17" t="n">
        <x:v>0.3277921152452372</x:v>
      </x:c>
      <x:c r="W120" s="17" t="n">
        <x:v>0.0185381088793025</x:v>
      </x:c>
      <x:c r="X120" s="16" t="n">
        <x:v>-1575.0000000000002</x:v>
      </x:c>
      <x:c r="Y120" s="16" t="n">
        <x:v>257.9738101801348</x:v>
      </x:c>
      <x:c r="Z120" s="16" t="n">
        <x:v>158.32850496070586</x:v>
      </x:c>
      <x:c r="AA120" s="16" t="n">
        <x:v>416.3023151408406</x:v>
      </x:c>
      <x:c r="AB120" s="16" t="n">
        <x:v>-1991.3023151408408</x:v>
      </x:c>
      <x:c r="AC120" s="16" t="n">
        <x:v>74847.04907565974</x:v>
      </x:c>
      <x:c r="AD120" s="13" t="n">
        <x:v>-637.033797368376</x:v>
      </x:c>
      <x:c r="AE120" s="13" t="n">
        <x:v>0.2238836704041995</x:v>
      </x:c>
      <x:c r="AF120" s="13" t="n">
        <x:v>0.0012992818347767</x:v>
      </x:c>
      <x:c r="AG120" s="13" t="n">
        <x:v>0.0119033217535574</x:v>
      </x:c>
      <x:c r="AH120" s="13" t="n">
        <x:v>-0.0068968501279229</x:v>
      </x:c>
      <x:c r="AI120" s="13" t="n">
        <x:v>0.0148730722127397</x:v>
      </x:c>
      <x:c r="AJ120" s="13" t="n">
        <x:v>0.002829619880293</x:v>
      </x:c>
      <x:c r="AK120" s="13" t="n">
        <x:v>0.0120434523324466</x:v>
      </x:c>
      <x:c r="AL120" s="13" t="n">
        <x:v>0.0088513460465163</x:v>
      </x:c>
      <x:c r="AM120" s="13" t="n">
        <x:v>-0.0027115793205183</x:v>
      </x:c>
    </x:row>
    <x:row r="121" ht="15" hidden="0" customHeight="1">
      <x:c r="A121" s="13" t="n">
        <x:v>1118</x:v>
      </x:c>
      <x:c r="B121" s="13" t="str">
        <x:v>2026-01-20</x:v>
      </x:c>
      <x:c r="C121" s="13" t="str">
        <x:v>confirmation_2025_2026</x:v>
      </x:c>
      <x:c r="D121" s="14" t="b">
        <x:v>0</x:v>
      </x:c>
      <x:c r="E121" s="13" t="str">
        <x:v>none</x:v>
      </x:c>
      <x:c r="F121" s="13" t="str">
        <x:v>post_2024_11_20</x:v>
      </x:c>
      <x:c r="G121" s="14" t="b">
        <x:v>1</x:v>
      </x:c>
      <x:c r="H121" s="13"/>
      <x:c r="I121" s="13" t="str">
        <x:v>short_iron_fly</x:v>
      </x:c>
      <x:c r="J121" s="13" t="str">
        <x:v>2026-01-20 07:13:00+00:00</x:v>
      </x:c>
      <x:c r="K121" s="13" t="str">
        <x:v>2026-01-20 13:43:00+05:30</x:v>
      </x:c>
      <x:c r="L121" s="13" t="n">
        <x:v>14.115972222222222</x:v>
      </x:c>
      <x:c r="M121" s="13" t="n">
        <x:v>25418</x:v>
      </x:c>
      <x:c r="N121" s="15" t="n">
        <x:v>0.202079646662875</x:v>
      </x:c>
      <x:c r="O121" s="15" t="n">
        <x:v>0.1304284731829145</x:v>
      </x:c>
      <x:c r="P121" s="15" t="n">
        <x:v>0.0238245969785661</x:v>
      </x:c>
      <x:c r="Q121" s="15" t="n">
        <x:v>0.8586345381526105</x:v>
      </x:c>
      <x:c r="R121" s="13" t="n">
        <x:v>0.8472222222222222</x:v>
      </x:c>
      <x:c r="S121" s="13" t="n">
        <x:v>5</x:v>
      </x:c>
      <x:c r="T121" s="13" t="n">
        <x:v>65</x:v>
      </x:c>
      <x:c r="U121" s="16" t="n">
        <x:v>382050.2775257579</x:v>
      </x:c>
      <x:c r="V121" s="17" t="n">
        <x:v>0.3460300007408127</x:v>
      </x:c>
      <x:c r="W121" s="17" t="n">
        <x:v>0.0253093193034273</x:v>
      </x:c>
      <x:c r="X121" s="16" t="n">
        <x:v>3753.75</x:v>
      </x:c>
      <x:c r="Y121" s="16" t="n">
        <x:v>235.8836351293317</x:v>
      </x:c>
      <x:c r="Z121" s="16" t="n">
        <x:v>157.99328752012678</x:v>
      </x:c>
      <x:c r="AA121" s="16" t="n">
        <x:v>393.8769226494585</x:v>
      </x:c>
      <x:c r="AB121" s="16" t="n">
        <x:v>3359.8730773505413</x:v>
      </x:c>
      <x:c r="AC121" s="16" t="n">
        <x:v>48469.15241885475</x:v>
      </x:c>
      <x:c r="AD121" s="13" t="n">
        <x:v>523.304542215726</x:v>
      </x:c>
      <x:c r="AE121" s="13" t="n">
        <x:v>1.4436581391213918</x:v>
      </x:c>
      <x:c r="AF121" s="13" t="n">
        <x:v>0.0109503753815925</x:v>
      </x:c>
      <x:c r="AG121" s="13" t="n">
        <x:v>0.0231406270468214</x:v>
      </x:c>
      <x:c r="AH121" s="13" t="n">
        <x:v>0.0041530562372695</x:v>
      </x:c>
      <x:c r="AI121" s="13" t="n">
        <x:v>0.0343050743554222</x:v>
      </x:c>
      <x:c r="AJ121" s="13" t="n">
        <x:v>0.0260005540316611</x:v>
      </x:c>
      <x:c r="AK121" s="13" t="n">
        <x:v>0.0083045203237611</x:v>
      </x:c>
      <x:c r="AL121" s="13" t="n">
        <x:v>0.0301528141935417</x:v>
      </x:c>
      <x:c r="AM121" s="13" t="n">
        <x:v>0</x:v>
      </x:c>
    </x:row>
    <x:row r="122" ht="15" hidden="0" customHeight="1">
      <x:c r="A122" s="13" t="n">
        <x:v>1121</x:v>
      </x:c>
      <x:c r="B122" s="13" t="str">
        <x:v>2026-02-10</x:v>
      </x:c>
      <x:c r="C122" s="13" t="str">
        <x:v>confirmation_2025_2026</x:v>
      </x:c>
      <x:c r="D122" s="14" t="b">
        <x:v>1</x:v>
      </x:c>
      <x:c r="E122" s="13" t="str">
        <x:v>rbi_mpc</x:v>
      </x:c>
      <x:c r="F122" s="13" t="str">
        <x:v>post_2024_11_20</x:v>
      </x:c>
      <x:c r="G122" s="14" t="b">
        <x:v>1</x:v>
      </x:c>
      <x:c r="H122" s="13"/>
      <x:c r="I122" s="13" t="str">
        <x:v>short_iron_fly</x:v>
      </x:c>
      <x:c r="J122" s="13" t="str">
        <x:v>2026-02-10 05:32:00+00:00</x:v>
      </x:c>
      <x:c r="K122" s="13" t="str">
        <x:v>2026-02-10 12:02:00+05:30</x:v>
      </x:c>
      <x:c r="L122" s="13" t="n">
        <x:v>7.186111111111111</x:v>
      </x:c>
      <x:c r="M122" s="13" t="n">
        <x:v>25967.3</x:v>
      </x:c>
      <x:c r="N122" s="15" t="n">
        <x:v>0.1594587327718798</x:v>
      </x:c>
      <x:c r="O122" s="15" t="n">
        <x:v>0.1156411734166643</x:v>
      </x:c>
      <x:c r="P122" s="15" t="n">
        <x:v>0.0120542064680307</x:v>
      </x:c>
      <x:c r="Q122" s="15" t="n">
        <x:v>0.8625893566322478</x:v>
      </x:c>
      <x:c r="R122" s="13" t="n">
        <x:v>0.5694444444444444</x:v>
      </x:c>
      <x:c r="S122" s="13" t="n">
        <x:v>4</x:v>
      </x:c>
      <x:c r="T122" s="13" t="n">
        <x:v>65</x:v>
      </x:c>
      <x:c r="U122" s="16" t="n">
        <x:v>312135.5269277083</x:v>
      </x:c>
      <x:c r="V122" s="17" t="n">
        <x:v>0.2818492232119294</x:v>
      </x:c>
      <x:c r="W122" s="17" t="n">
        <x:v>0.0211536801418387</x:v>
      </x:c>
      <x:c r="X122" s="16" t="n">
        <x:v>2859.999999999999</x:v>
      </x:c>
      <x:c r="Y122" s="16" t="n">
        <x:v>227.2913424297581</x:v>
      </x:c>
      <x:c r="Z122" s="16" t="n">
        <x:v>120.92722393021045</x:v>
      </x:c>
      <x:c r="AA122" s="16" t="n">
        <x:v>348.21856635996846</x:v>
      </x:c>
      <x:c r="AB122" s="16" t="n">
        <x:v>2511.78143364003</x:v>
      </x:c>
      <x:c r="AC122" s="16" t="n">
        <x:v>39727.9681232072</x:v>
      </x:c>
      <x:c r="AD122" s="13" t="n">
        <x:v>488.1864480615165</x:v>
      </x:c>
      <x:c r="AE122" s="13" t="n">
        <x:v>0.2121550303543192</x:v>
      </x:c>
      <x:c r="AF122" s="13" t="n">
        <x:v>0.0015749276639878</x:v>
      </x:c>
      <x:c r="AG122" s="13" t="n">
        <x:v>0.0013299337296771</x:v>
      </x:c>
      <x:c r="AH122" s="13" t="n">
        <x:v>-0.0096834299866573</x:v>
      </x:c>
      <x:c r="AI122" s="13" t="n">
        <x:v>0.0487085878299684</x:v>
      </x:c>
      <x:c r="AJ122" s="13" t="n">
        <x:v>0.0286156946626857</x:v>
      </x:c>
      <x:c r="AK122" s="13" t="n">
        <x:v>0.0200928931672826</x:v>
      </x:c>
      <x:c r="AL122" s="13" t="n">
        <x:v>0.038662141246327</x:v>
      </x:c>
      <x:c r="AM122" s="13" t="n">
        <x:v>0</x:v>
      </x:c>
    </x:row>
    <x:row r="123" ht="15" hidden="0" customHeight="1">
      <x:c r="A123" s="13" t="n">
        <x:v>1123</x:v>
      </x:c>
      <x:c r="B123" s="13" t="str">
        <x:v>2026-03-02</x:v>
      </x:c>
      <x:c r="C123" s="13" t="str">
        <x:v>confirmation_2025_2026</x:v>
      </x:c>
      <x:c r="D123" s="14" t="b">
        <x:v>0</x:v>
      </x:c>
      <x:c r="E123" s="13" t="str">
        <x:v>none</x:v>
      </x:c>
      <x:c r="F123" s="13" t="str">
        <x:v>post_2024_11_20</x:v>
      </x:c>
      <x:c r="G123" s="14" t="b">
        <x:v>0</x:v>
      </x:c>
      <x:c r="H123" s="13" t="str">
        <x:v>confidence_score_at_or_below_0.40</x:v>
      </x:c>
      <x:c r="I123" s="13"/>
      <x:c r="J123" s="13" t="str">
        <x:v>2026-03-02 05:31:00+00:00</x:v>
      </x:c>
      <x:c r="K123" s="13"/>
      <x:c r="L123" s="13"/>
      <x:c r="M123" s="13" t="n">
        <x:v>24857.05</x:v>
      </x:c>
      <x:c r="N123" s="15" t="n">
        <x:v>0.2954640840637149</x:v>
      </x:c>
      <x:c r="O123" s="15" t="n">
        <x:v>0.2689582011657701</x:v>
      </x:c>
      <x:c r="P123" s="15" t="n">
        <x:v>0.0149605109972831</x:v>
      </x:c>
      <x:c r="Q123" s="15" t="n">
        <x:v>0.8790259230164965</x:v>
      </x:c>
      <x:c r="R123" s="13" t="n">
        <x:v>0.1111111111111111</x:v>
      </x:c>
      <x:c r="S123" s="13" t="n">
        <x:v>0</x:v>
      </x:c>
      <x:c r="T123" s="13"/>
      <x:c r="U123" s="16" t="n">
        <x:v>0</x:v>
      </x:c>
      <x:c r="V123" s="17" t="n">
        <x:v>0</x:v>
      </x:c>
      <x:c r="W123" s="17" t="n">
        <x:v>0</x:v>
      </x:c>
      <x:c r="X123" s="16" t="n">
        <x:v>0</x:v>
      </x:c>
      <x:c r="Y123" s="16" t="n">
        <x:v>0</x:v>
      </x:c>
      <x:c r="Z123" s="16" t="n">
        <x:v>0</x:v>
      </x:c>
      <x:c r="AA123" s="16" t="n">
        <x:v>0</x:v>
      </x:c>
      <x:c r="AB123" s="16" t="n">
        <x:v>0</x:v>
      </x:c>
      <x:c r="AC123" s="16" t="n">
        <x:v>0</x:v>
      </x:c>
      <x:c r="AD123" s="13" t="n">
        <x:v>-32.39710844176244</x:v>
      </x:c>
      <x:c r="AE123" s="13" t="n">
        <x:v>0.1095424756386277</x:v>
      </x:c>
      <x:c r="AF123" s="13" t="n">
        <x:v>0.0160441280202807</x:v>
      </x:c>
      <x:c r="AG123" s="13" t="n">
        <x:v>0.0082298205578839</x:v>
      </x:c>
      <x:c r="AH123" s="13" t="n">
        <x:v>-0.0241899348401875</x:v>
      </x:c>
      <x:c r="AI123" s="13" t="n">
        <x:v>0.0295243486935886</x:v>
      </x:c>
      <x:c r="AJ123" s="13" t="n">
        <x:v>-0.0094676047222247</x:v>
      </x:c>
      <x:c r="AK123" s="13" t="n">
        <x:v>0.0389919534158134</x:v>
      </x:c>
      <x:c r="AL123" s="13" t="n">
        <x:v>0.0100283719856819</x:v>
      </x:c>
      <x:c r="AM123" s="13" t="n">
        <x:v>0</x:v>
      </x:c>
    </x:row>
    <x:row r="124" ht="15" hidden="0" customHeight="1">
      <x:c r="A124" s="13" t="n">
        <x:v>1125</x:v>
      </x:c>
      <x:c r="B124" s="13" t="str">
        <x:v>2026-03-06</x:v>
      </x:c>
      <x:c r="C124" s="13" t="str">
        <x:v>confirmation_2025_2026</x:v>
      </x:c>
      <x:c r="D124" s="14" t="b">
        <x:v>0</x:v>
      </x:c>
      <x:c r="E124" s="13" t="str">
        <x:v>none</x:v>
      </x:c>
      <x:c r="F124" s="13" t="str">
        <x:v>post_2024_11_20</x:v>
      </x:c>
      <x:c r="G124" s="14" t="b">
        <x:v>1</x:v>
      </x:c>
      <x:c r="H124" s="13"/>
      <x:c r="I124" s="13" t="str">
        <x:v>short_iron_fly</x:v>
      </x:c>
      <x:c r="J124" s="13" t="str">
        <x:v>2026-03-06 08:02:00+00:00</x:v>
      </x:c>
      <x:c r="K124" s="13" t="str">
        <x:v>2026-03-06 14:32:00+05:30</x:v>
      </x:c>
      <x:c r="L124" s="13" t="n">
        <x:v>11.081944444444444</x:v>
      </x:c>
      <x:c r="M124" s="13" t="n">
        <x:v>24590.6</x:v>
      </x:c>
      <x:c r="N124" s="15" t="n">
        <x:v>0.2032345340721426</x:v>
      </x:c>
      <x:c r="O124" s="15" t="n">
        <x:v>0.1459052757325694</x:v>
      </x:c>
      <x:c r="P124" s="15" t="n">
        <x:v>0.0200159263529237</x:v>
      </x:c>
      <x:c r="Q124" s="15" t="n">
        <x:v>0.8598277212216131</x:v>
      </x:c>
      <x:c r="R124" s="13" t="n">
        <x:v>0.6111111111111112</x:v>
      </x:c>
      <x:c r="S124" s="13" t="n">
        <x:v>4</x:v>
      </x:c>
      <x:c r="T124" s="13" t="n">
        <x:v>65</x:v>
      </x:c>
      <x:c r="U124" s="16" t="n">
        <x:v>370313.0096192407</x:v>
      </x:c>
      <x:c r="V124" s="17" t="n">
        <x:v>0.3336250998464761</x:v>
      </x:c>
      <x:c r="W124" s="17" t="n">
        <x:v>0.0054467933940315</x:v>
      </x:c>
      <x:c r="X124" s="16" t="n">
        <x:v>-260</x:v>
      </x:c>
      <x:c r="Y124" s="16" t="n">
        <x:v>537.6590589123402</x:v>
      </x:c>
      <x:c r="Z124" s="16" t="n">
        <x:v>1006.3771172207828</x:v>
      </x:c>
      <x:c r="AA124" s="16" t="n">
        <x:v>1544.0361761331228</x:v>
      </x:c>
      <x:c r="AB124" s="16" t="n">
        <x:v>-1804.0361761331228</x:v>
      </x:c>
      <x:c r="AC124" s="16" t="n">
        <x:v>373594.77185369807</x:v>
      </x:c>
      <x:c r="AD124" s="13" t="n">
        <x:v>-574.5195793931287</x:v>
      </x:c>
      <x:c r="AE124" s="13" t="n">
        <x:v>0.194371580189934</x:v>
      </x:c>
      <x:c r="AF124" s="13" t="n">
        <x:v>0.0012969690829129</x:v>
      </x:c>
      <x:c r="AG124" s="13" t="n">
        <x:v>0.0011221652089443</x:v>
      </x:c>
      <x:c r="AH124" s="13" t="n">
        <x:v>-0.0117788455785676</x:v>
      </x:c>
      <x:c r="AI124" s="13" t="n">
        <x:v>0.0095829042973378</x:v>
      </x:c>
      <x:c r="AJ124" s="13" t="n">
        <x:v>-0.0075221184804131</x:v>
      </x:c>
      <x:c r="AK124" s="13" t="n">
        <x:v>0.0171050227777509</x:v>
      </x:c>
      <x:c r="AL124" s="13" t="n">
        <x:v>0.0010303929084623</x:v>
      </x:c>
      <x:c r="AM124" s="13" t="n">
        <x:v>-0.0016253054409509</x:v>
      </x:c>
    </x:row>
    <x:row r="125" ht="15" hidden="0" customHeight="1">
      <x:c r="A125" s="13" t="n">
        <x:v>1138</x:v>
      </x:c>
      <x:c r="B125" s="13" t="str">
        <x:v>2026-04-20</x:v>
      </x:c>
      <x:c r="C125" s="13" t="str">
        <x:v>confirmation_2025_2026</x:v>
      </x:c>
      <x:c r="D125" s="14" t="b">
        <x:v>0</x:v>
      </x:c>
      <x:c r="E125" s="13" t="str">
        <x:v>none</x:v>
      </x:c>
      <x:c r="F125" s="13" t="str">
        <x:v>post_2024_11_20</x:v>
      </x:c>
      <x:c r="G125" s="14" t="b">
        <x:v>0</x:v>
      </x:c>
      <x:c r="H125" s="13" t="str">
        <x:v>confidence_score_at_or_below_0.40</x:v>
      </x:c>
      <x:c r="I125" s="13"/>
      <x:c r="J125" s="13" t="str">
        <x:v>2026-04-20 05:35:00+00:00</x:v>
      </x:c>
      <x:c r="K125" s="13"/>
      <x:c r="L125" s="13"/>
      <x:c r="M125" s="13" t="n">
        <x:v>24434.7</x:v>
      </x:c>
      <x:c r="N125" s="15" t="n">
        <x:v>0.2449112947663088</x:v>
      </x:c>
      <x:c r="O125" s="15" t="n">
        <x:v>0.2140190856654863</x:v>
      </x:c>
      <x:c r="P125" s="15" t="n">
        <x:v>0.014177373275019</x:v>
      </x:c>
      <x:c r="Q125" s="15" t="n">
        <x:v>0.8695318495778972</x:v>
      </x:c>
      <x:c r="R125" s="13" t="n">
        <x:v>0.0694444444444444</x:v>
      </x:c>
      <x:c r="S125" s="13" t="n">
        <x:v>0</x:v>
      </x:c>
      <x:c r="T125" s="13"/>
      <x:c r="U125" s="16" t="n">
        <x:v>0</x:v>
      </x:c>
      <x:c r="V125" s="17" t="n">
        <x:v>0</x:v>
      </x:c>
      <x:c r="W125" s="17" t="n">
        <x:v>0</x:v>
      </x:c>
      <x:c r="X125" s="16" t="n">
        <x:v>0</x:v>
      </x:c>
      <x:c r="Y125" s="16" t="n">
        <x:v>0</x:v>
      </x:c>
      <x:c r="Z125" s="16" t="n">
        <x:v>0</x:v>
      </x:c>
      <x:c r="AA125" s="16" t="n">
        <x:v>0</x:v>
      </x:c>
      <x:c r="AB125" s="16" t="n">
        <x:v>0</x:v>
      </x:c>
      <x:c r="AC125" s="16" t="n">
        <x:v>0</x:v>
      </x:c>
      <x:c r="AD125" s="13" t="n">
        <x:v>-299.3525121326548</x:v>
      </x:c>
      <x:c r="AE125" s="13" t="n">
        <x:v>0.0541945510336738</x:v>
      </x:c>
      <x:c r="AF125" s="13" t="n">
        <x:v>-0.00004033428460228916</x:v>
      </x:c>
      <x:c r="AG125" s="13" t="n">
        <x:v>0.0003809003211588</x:v>
      </x:c>
      <x:c r="AH125" s="13" t="n">
        <x:v>-0.0137374180291737</x:v>
      </x:c>
      <x:c r="AI125" s="13" t="n">
        <x:v>0.0091835663872776</x:v>
      </x:c>
      <x:c r="AJ125" s="13" t="n">
        <x:v>-0.0070644376682776</x:v>
      </x:c>
      <x:c r="AK125" s="13" t="n">
        <x:v>0.0162480040555552</x:v>
      </x:c>
      <x:c r="AL125" s="13" t="n">
        <x:v>0.0010595643595</x:v>
      </x:c>
      <x:c r="AM125" s="13" t="n">
        <x:v>-0.0016253054409509</x:v>
      </x:c>
    </x:row>
    <x:row r="126" ht="15" hidden="0" customHeight="1">
      <x:c r="A126" s="13" t="n">
        <x:v>1140</x:v>
      </x:c>
      <x:c r="B126" s="13" t="str">
        <x:v>2026-04-27</x:v>
      </x:c>
      <x:c r="C126" s="13" t="str">
        <x:v>confirmation_2025_2026</x:v>
      </x:c>
      <x:c r="D126" s="14" t="b">
        <x:v>0</x:v>
      </x:c>
      <x:c r="E126" s="13" t="str">
        <x:v>none</x:v>
      </x:c>
      <x:c r="F126" s="13" t="str">
        <x:v>post_2024_11_20</x:v>
      </x:c>
      <x:c r="G126" s="14" t="b">
        <x:v>1</x:v>
      </x:c>
      <x:c r="H126" s="13"/>
      <x:c r="I126" s="13" t="str">
        <x:v>short_iron_fly</x:v>
      </x:c>
      <x:c r="J126" s="13" t="str">
        <x:v>2026-04-27 08:39:00+00:00</x:v>
      </x:c>
      <x:c r="K126" s="13" t="str">
        <x:v>2026-04-27 15:09:00+05:30</x:v>
      </x:c>
      <x:c r="L126" s="13" t="n">
        <x:v>15.05625</x:v>
      </x:c>
      <x:c r="M126" s="13" t="n">
        <x:v>24109.8</x:v>
      </x:c>
      <x:c r="N126" s="15" t="n">
        <x:v>0.1872464285146973</x:v>
      </x:c>
      <x:c r="O126" s="15" t="n">
        <x:v>0.146401357224202</x:v>
      </x:c>
      <x:c r="P126" s="15" t="n">
        <x:v>0.0136278675944212</x:v>
      </x:c>
      <x:c r="Q126" s="15" t="n">
        <x:v>0.8563789152024446</x:v>
      </x:c>
      <x:c r="R126" s="13" t="n">
        <x:v>0.6527777777777778</x:v>
      </x:c>
      <x:c r="S126" s="13" t="n">
        <x:v>5</x:v>
      </x:c>
      <x:c r="T126" s="13" t="n">
        <x:v>65</x:v>
      </x:c>
      <x:c r="U126" s="16" t="n">
        <x:v>387559.0222625964</x:v>
      </x:c>
      <x:c r="V126" s="17" t="n">
        <x:v>0.3497309230220656</x:v>
      </x:c>
      <x:c r="W126" s="17" t="n">
        <x:v>0.0124294965685485</x:v>
      </x:c>
      <x:c r="X126" s="16" t="n">
        <x:v>731.2500000000023</x:v>
      </x:c>
      <x:c r="Y126" s="16" t="n">
        <x:v>397.5616502513091</x:v>
      </x:c>
      <x:c r="Z126" s="16" t="n">
        <x:v>458.0229867754965</x:v>
      </x:c>
      <x:c r="AA126" s="16" t="n">
        <x:v>855.5846370268056</x:v>
      </x:c>
      <x:c r="AB126" s="16" t="n">
        <x:v>-124.3346370268033</x:v>
      </x:c>
      <x:c r="AC126" s="16" t="n">
        <x:v>175936.26334033706</x:v>
      </x:c>
      <x:c r="AD126" s="13" t="n">
        <x:v>-168.12529001364294</x:v>
      </x:c>
      <x:c r="AE126" s="13" t="n">
        <x:v>0.3078205021123872</x:v>
      </x:c>
      <x:c r="AF126" s="13" t="n">
        <x:v>0.0019619238072438</x:v>
      </x:c>
      <x:c r="AG126" s="13" t="n">
        <x:v>0.0026617435457825</x:v>
      </x:c>
      <x:c r="AH126" s="13" t="n">
        <x:v>-0.0087693321516393</x:v>
      </x:c>
      <x:c r="AI126" s="13" t="n">
        <x:v>0.0073264840966167</x:v>
      </x:c>
      <x:c r="AJ126" s="13" t="n">
        <x:v>-0.0012278252891445</x:v>
      </x:c>
      <x:c r="AK126" s="13" t="n">
        <x:v>0.0085543093857612</x:v>
      </x:c>
      <x:c r="AL126" s="13" t="n">
        <x:v>0.0030493294037361</x:v>
      </x:c>
      <x:c r="AM126" s="13" t="n">
        <x:v>-0.0017373219097622</x:v>
      </x:c>
    </x:row>
    <x:row r="127" ht="15" hidden="0" customHeight="1">
      <x:c r="A127" s="13" t="n">
        <x:v>1143</x:v>
      </x:c>
      <x:c r="B127" s="13" t="str">
        <x:v>2026-05-05</x:v>
      </x:c>
      <x:c r="C127" s="13" t="str">
        <x:v>confirmation_2025_2026</x:v>
      </x:c>
      <x:c r="D127" s="14" t="b">
        <x:v>0</x:v>
      </x:c>
      <x:c r="E127" s="13" t="str">
        <x:v>none</x:v>
      </x:c>
      <x:c r="F127" s="13" t="str">
        <x:v>post_2024_11_20</x:v>
      </x:c>
      <x:c r="G127" s="14" t="b">
        <x:v>1</x:v>
      </x:c>
      <x:c r="H127" s="13"/>
      <x:c r="I127" s="13" t="str">
        <x:v>short_iron_fly</x:v>
      </x:c>
      <x:c r="J127" s="13" t="str">
        <x:v>2026-05-05 07:22:00+00:00</x:v>
      </x:c>
      <x:c r="K127" s="13" t="str">
        <x:v>2026-05-05 13:52:00+05:30</x:v>
      </x:c>
      <x:c r="L127" s="13" t="n">
        <x:v>7.109722222222223</x:v>
      </x:c>
      <x:c r="M127" s="13" t="n">
        <x:v>23993.25</x:v>
      </x:c>
      <x:c r="N127" s="15" t="n">
        <x:v>0.2391793332983924</x:v>
      </x:c>
      <x:c r="O127" s="15" t="n">
        <x:v>0.1906637353093617</x:v>
      </x:c>
      <x:c r="P127" s="15" t="n">
        <x:v>0.0208540935149451</x:v>
      </x:c>
      <x:c r="Q127" s="15" t="n">
        <x:v>0.8514851485148515</x:v>
      </x:c>
      <x:c r="R127" s="13" t="n">
        <x:v>0.4861111111111111</x:v>
      </x:c>
      <x:c r="S127" s="13" t="n">
        <x:v>5</x:v>
      </x:c>
      <x:c r="T127" s="13" t="n">
        <x:v>65</x:v>
      </x:c>
      <x:c r="U127" s="16" t="n">
        <x:v>363392.0510681375</x:v>
      </x:c>
      <x:c r="V127" s="17" t="n">
        <x:v>0.327959590729318</x:v>
      </x:c>
      <x:c r="W127" s="17" t="n">
        <x:v>0.0243833124301273</x:v>
      </x:c>
      <x:c r="X127" s="16" t="n">
        <x:v>81.2500000000013</x:v>
      </x:c>
      <x:c r="Y127" s="16" t="n">
        <x:v>254.41645212809917</x:v>
      </x:c>
      <x:c r="Z127" s="16" t="n">
        <x:v>212.9992774519307</x:v>
      </x:c>
      <x:c r="AA127" s="16" t="n">
        <x:v>467.41572958002985</x:v>
      </x:c>
      <x:c r="AB127" s="16" t="n">
        <x:v>-386.1657295800285</x:v>
      </x:c>
      <x:c r="AC127" s="16" t="n">
        <x:v>55433.94895626945</x:v>
      </x:c>
      <x:c r="AD127" s="13" t="n">
        <x:v>-225.17505887584792</x:v>
      </x:c>
      <x:c r="AE127" s="13" t="n">
        <x:v>0.470218329634486</x:v>
      </x:c>
      <x:c r="AF127" s="13" t="n">
        <x:v>0.0032439785925345</x:v>
      </x:c>
      <x:c r="AG127" s="13" t="n">
        <x:v>0.0081131475885719</x:v>
      </x:c>
      <x:c r="AH127" s="13" t="n">
        <x:v>0.0024781193950508</x:v>
      </x:c>
      <x:c r="AI127" s="13" t="n">
        <x:v>0.0150299937295987</x:v>
      </x:c>
      <x:c r="AJ127" s="13" t="n">
        <x:v>0.0302596580206121</x:v>
      </x:c>
      <x:c r="AK127" s="13" t="n">
        <x:v>-0.0152296642910133</x:v>
      </x:c>
      <x:c r="AL127" s="13" t="n">
        <x:v>0.0226448258751054</x:v>
      </x:c>
      <x:c r="AM127" s="13" t="n">
        <x:v>-0.0020852291577978</x:v>
      </x:c>
    </x:row>
    <x:row r="128" ht="15" hidden="0" customHeight="1">
      <x:c r="A128" s="13" t="n">
        <x:v>1146</x:v>
      </x:c>
      <x:c r="B128" s="13" t="str">
        <x:v>2026-05-18</x:v>
      </x:c>
      <x:c r="C128" s="13" t="str">
        <x:v>confirmation_2025_2026</x:v>
      </x:c>
      <x:c r="D128" s="14" t="b">
        <x:v>0</x:v>
      </x:c>
      <x:c r="E128" s="13" t="str">
        <x:v>none</x:v>
      </x:c>
      <x:c r="F128" s="13" t="str">
        <x:v>post_2024_11_20</x:v>
      </x:c>
      <x:c r="G128" s="14" t="b">
        <x:v>0</x:v>
      </x:c>
      <x:c r="H128" s="13" t="str">
        <x:v>confidence_score_at_or_below_0.40</x:v>
      </x:c>
      <x:c r="I128" s="13"/>
      <x:c r="J128" s="13" t="str">
        <x:v>2026-05-18 07:22:00+00:00</x:v>
      </x:c>
      <x:c r="K128" s="13"/>
      <x:c r="L128" s="13"/>
      <x:c r="M128" s="13" t="n">
        <x:v>23587.95</x:v>
      </x:c>
      <x:c r="N128" s="15" t="n">
        <x:v>0.2453254072717655</x:v>
      </x:c>
      <x:c r="O128" s="15" t="n">
        <x:v>0.193079135472367</x:v>
      </x:c>
      <x:c r="P128" s="15" t="n">
        <x:v>0.0229050028983009</x:v>
      </x:c>
      <x:c r="Q128" s="15" t="n">
        <x:v>0.8608169440242057</x:v>
      </x:c>
      <x:c r="R128" s="13" t="n">
        <x:v>0.2083333333333333</x:v>
      </x:c>
      <x:c r="S128" s="13" t="n">
        <x:v>0</x:v>
      </x:c>
      <x:c r="T128" s="13"/>
      <x:c r="U128" s="16" t="n">
        <x:v>0</x:v>
      </x:c>
      <x:c r="V128" s="17" t="n">
        <x:v>0</x:v>
      </x:c>
      <x:c r="W128" s="17" t="n">
        <x:v>0</x:v>
      </x:c>
      <x:c r="X128" s="16" t="n">
        <x:v>0</x:v>
      </x:c>
      <x:c r="Y128" s="16" t="n">
        <x:v>0</x:v>
      </x:c>
      <x:c r="Z128" s="16" t="n">
        <x:v>0</x:v>
      </x:c>
      <x:c r="AA128" s="16" t="n">
        <x:v>0</x:v>
      </x:c>
      <x:c r="AB128" s="16" t="n">
        <x:v>0</x:v>
      </x:c>
      <x:c r="AC128" s="16" t="n">
        <x:v>0</x:v>
      </x:c>
      <x:c r="AD128" s="13" t="n">
        <x:v>-480.5935635717564</x:v>
      </x:c>
      <x:c r="AE128" s="13" t="n">
        <x:v>0.1654074399984233</x:v>
      </x:c>
      <x:c r="AF128" s="13" t="n">
        <x:v>0.0008376393844965</x:v>
      </x:c>
      <x:c r="AG128" s="13" t="n">
        <x:v>0.0019954646107331</x:v>
      </x:c>
      <x:c r="AH128" s="13" t="n">
        <x:v>-0.0052428873861512</x:v>
      </x:c>
      <x:c r="AI128" s="13" t="n">
        <x:v>0.0095837394201653</x:v>
      </x:c>
      <x:c r="AJ128" s="13" t="n">
        <x:v>-0.0058564523059318</x:v>
      </x:c>
      <x:c r="AK128" s="13" t="n">
        <x:v>0.0154401917260971</x:v>
      </x:c>
      <x:c r="AL128" s="13" t="n">
        <x:v>0.0018636435571167</x:v>
      </x:c>
      <x:c r="AM128" s="13" t="n">
        <x:v>-0.0020852291577978</x:v>
      </x:c>
    </x:row>
    <x:row r="129" ht="15" hidden="0" customHeight="1">
      <x:c r="A129" s="13" t="n">
        <x:v>1148</x:v>
      </x:c>
      <x:c r="B129" s="13" t="str">
        <x:v>2026-05-25</x:v>
      </x:c>
      <x:c r="C129" s="13" t="str">
        <x:v>confirmation_2025_2026</x:v>
      </x:c>
      <x:c r="D129" s="14" t="b">
        <x:v>0</x:v>
      </x:c>
      <x:c r="E129" s="13" t="str">
        <x:v>none</x:v>
      </x:c>
      <x:c r="F129" s="13" t="str">
        <x:v>post_2024_11_20</x:v>
      </x:c>
      <x:c r="G129" s="14" t="b">
        <x:v>0</x:v>
      </x:c>
      <x:c r="H129" s="13" t="str">
        <x:v>confidence_score_at_or_below_0.40</x:v>
      </x:c>
      <x:c r="I129" s="13"/>
      <x:c r="J129" s="13" t="str">
        <x:v>2026-05-25 07:14:00+00:00</x:v>
      </x:c>
      <x:c r="K129" s="13"/>
      <x:c r="L129" s="13"/>
      <x:c r="M129" s="13" t="n">
        <x:v>23958.55</x:v>
      </x:c>
      <x:c r="N129" s="15" t="n">
        <x:v>0.1770901208621026</x:v>
      </x:c>
      <x:c r="O129" s="15" t="n">
        <x:v>0.1012322158331854</x:v>
      </x:c>
      <x:c r="P129" s="15" t="n">
        <x:v>0.0211129493844574</x:v>
      </x:c>
      <x:c r="Q129" s="15" t="n">
        <x:v>0.853051996985682</x:v>
      </x:c>
      <x:c r="R129" s="13" t="n">
        <x:v>0.3194444444444444</x:v>
      </x:c>
      <x:c r="S129" s="13" t="n">
        <x:v>0</x:v>
      </x:c>
      <x:c r="T129" s="13"/>
      <x:c r="U129" s="16" t="n">
        <x:v>0</x:v>
      </x:c>
      <x:c r="V129" s="17" t="n">
        <x:v>0</x:v>
      </x:c>
      <x:c r="W129" s="17" t="n">
        <x:v>0</x:v>
      </x:c>
      <x:c r="X129" s="16" t="n">
        <x:v>0</x:v>
      </x:c>
      <x:c r="Y129" s="16" t="n">
        <x:v>0</x:v>
      </x:c>
      <x:c r="Z129" s="16" t="n">
        <x:v>0</x:v>
      </x:c>
      <x:c r="AA129" s="16" t="n">
        <x:v>0</x:v>
      </x:c>
      <x:c r="AB129" s="16" t="n">
        <x:v>0</x:v>
      </x:c>
      <x:c r="AC129" s="16" t="n">
        <x:v>0</x:v>
      </x:c>
      <x:c r="AD129" s="13" t="n">
        <x:v>-67.27833408600071</x:v>
      </x:c>
      <x:c r="AE129" s="13" t="n">
        <x:v>0.0740529482115417</x:v>
      </x:c>
      <x:c r="AF129" s="13" t="n">
        <x:v>0.0001207302562946</x:v>
      </x:c>
      <x:c r="AG129" s="13" t="n">
        <x:v>-0.0002835476280843</x:v>
      </x:c>
      <x:c r="AH129" s="13" t="n">
        <x:v>-0.0018722018987628</x:v>
      </x:c>
      <x:c r="AI129" s="13" t="n">
        <x:v>0.0064528002300334</x:v>
      </x:c>
      <x:c r="AJ129" s="13" t="n">
        <x:v>-0.002678121708186</x:v>
      </x:c>
      <x:c r="AK129" s="13" t="n">
        <x:v>0.0091309219382195</x:v>
      </x:c>
      <x:c r="AL129" s="13" t="n">
        <x:v>0.0018873392609236</x:v>
      </x:c>
      <x:c r="AM129" s="13" t="n">
        <x:v>-0.0020852291577978</x:v>
      </x:c>
    </x:row>
    <x:row r="130" ht="15" hidden="0" customHeight="1">
      <x:c r="A130" s="13" t="n">
        <x:v>1150</x:v>
      </x:c>
      <x:c r="B130" s="13" t="str">
        <x:v>2026-06-08</x:v>
      </x:c>
      <x:c r="C130" s="13" t="str">
        <x:v>confirmation_2025_2026</x:v>
      </x:c>
      <x:c r="D130" s="14" t="b">
        <x:v>0</x:v>
      </x:c>
      <x:c r="E130" s="13" t="str">
        <x:v>none</x:v>
      </x:c>
      <x:c r="F130" s="13" t="str">
        <x:v>post_2024_11_20</x:v>
      </x:c>
      <x:c r="G130" s="14" t="b">
        <x:v>0</x:v>
      </x:c>
      <x:c r="H130" s="13" t="str">
        <x:v>confidence_score_at_or_below_0.40</x:v>
      </x:c>
      <x:c r="I130" s="13"/>
      <x:c r="J130" s="13" t="str">
        <x:v>2026-06-08 05:40:00+00:00</x:v>
      </x:c>
      <x:c r="K130" s="13"/>
      <x:c r="L130" s="13"/>
      <x:c r="M130" s="13" t="n">
        <x:v>23204.15</x:v>
      </x:c>
      <x:c r="N130" s="15" t="n">
        <x:v>0.2252328442045246</x:v>
      </x:c>
      <x:c r="O130" s="15" t="n">
        <x:v>0.1943866380581679</x:v>
      </x:c>
      <x:c r="P130" s="15" t="n">
        <x:v>0.0129436690529024</x:v>
      </x:c>
      <x:c r="Q130" s="15" t="n">
        <x:v>0.8540419161676647</x:v>
      </x:c>
      <x:c r="R130" s="13" t="n">
        <x:v>0.2638888888888889</x:v>
      </x:c>
      <x:c r="S130" s="13" t="n">
        <x:v>0</x:v>
      </x:c>
      <x:c r="T130" s="13"/>
      <x:c r="U130" s="16" t="n">
        <x:v>0</x:v>
      </x:c>
      <x:c r="V130" s="17" t="n">
        <x:v>0</x:v>
      </x:c>
      <x:c r="W130" s="17" t="n">
        <x:v>0</x:v>
      </x:c>
      <x:c r="X130" s="16" t="n">
        <x:v>0</x:v>
      </x:c>
      <x:c r="Y130" s="16" t="n">
        <x:v>0</x:v>
      </x:c>
      <x:c r="Z130" s="16" t="n">
        <x:v>0</x:v>
      </x:c>
      <x:c r="AA130" s="16" t="n">
        <x:v>0</x:v>
      </x:c>
      <x:c r="AB130" s="16" t="n">
        <x:v>0</x:v>
      </x:c>
      <x:c r="AC130" s="16" t="n">
        <x:v>0</x:v>
      </x:c>
      <x:c r="AD130" s="13" t="n">
        <x:v>-295.4706587817741</x:v>
      </x:c>
      <x:c r="AE130" s="13" t="n">
        <x:v>0.141217249117571</x:v>
      </x:c>
      <x:c r="AF130" s="13" t="n">
        <x:v>0.0006895782823493</x:v>
      </x:c>
      <x:c r="AG130" s="13" t="n">
        <x:v>0.0005011497909373</x:v>
      </x:c>
      <x:c r="AH130" s="13" t="n">
        <x:v>-0.0154728292717466</x:v>
      </x:c>
      <x:c r="AI130" s="13" t="n">
        <x:v>0.0038400684687743</x:v>
      </x:c>
      <x:c r="AJ130" s="13" t="n">
        <x:v>-0.0031944842149094</x:v>
      </x:c>
      <x:c r="AK130" s="13" t="n">
        <x:v>0.0070345526836838</x:v>
      </x:c>
      <x:c r="AL130" s="13" t="n">
        <x:v>0.0003227921269324</x:v>
      </x:c>
      <x:c r="AM130" s="13" t="n">
        <x:v>-0.0020852291577978</x:v>
      </x:c>
    </x:row>
    <x:row r="131" ht="15" hidden="0" customHeight="1">
      <x:c r="A131" s="13" t="n">
        <x:v>1152</x:v>
      </x:c>
      <x:c r="B131" s="13" t="str">
        <x:v>2026-06-16</x:v>
      </x:c>
      <x:c r="C131" s="13" t="str">
        <x:v>confirmation_2025_2026</x:v>
      </x:c>
      <x:c r="D131" s="14" t="b">
        <x:v>0</x:v>
      </x:c>
      <x:c r="E131" s="13" t="str">
        <x:v>none</x:v>
      </x:c>
      <x:c r="F131" s="13" t="str">
        <x:v>post_2024_11_20</x:v>
      </x:c>
      <x:c r="G131" s="14" t="b">
        <x:v>1</x:v>
      </x:c>
      <x:c r="H131" s="13"/>
      <x:c r="I131" s="13" t="str">
        <x:v>short_iron_fly</x:v>
      </x:c>
      <x:c r="J131" s="13" t="str">
        <x:v>2026-06-16 08:12:00+00:00</x:v>
      </x:c>
      <x:c r="K131" s="13" t="str">
        <x:v>2026-06-16 14:42:00+05:30</x:v>
      </x:c>
      <x:c r="L131" s="13" t="n">
        <x:v>7.075</x:v>
      </x:c>
      <x:c r="M131" s="13" t="n">
        <x:v>23970.7</x:v>
      </x:c>
      <x:c r="N131" s="15" t="n">
        <x:v>0.1847408345567897</x:v>
      </x:c>
      <x:c r="O131" s="15" t="n">
        <x:v>0.1265886032254953</x:v>
      </x:c>
      <x:c r="P131" s="15" t="n">
        <x:v>0.0181045014861572</x:v>
      </x:c>
      <x:c r="Q131" s="15" t="n">
        <x:v>0.857036485480268</x:v>
      </x:c>
      <x:c r="R131" s="13" t="n">
        <x:v>0.8055555555555556</x:v>
      </x:c>
      <x:c r="S131" s="13" t="n">
        <x:v>5</x:v>
      </x:c>
      <x:c r="T131" s="13" t="n">
        <x:v>65</x:v>
      </x:c>
      <x:c r="U131" s="16" t="n">
        <x:v>361304.8683219146</x:v>
      </x:c>
      <x:c r="V131" s="17" t="n">
        <x:v>0.3261895994948676</x:v>
      </x:c>
      <x:c r="W131" s="17" t="n">
        <x:v>0.031037622408284</x:v>
      </x:c>
      <x:c r="X131" s="16" t="n">
        <x:v>975.0000000000013</x:v>
      </x:c>
      <x:c r="Y131" s="16" t="n">
        <x:v>229.2412527665913</x:v>
      </x:c>
      <x:c r="Z131" s="16" t="n">
        <x:v>155.88248092758298</x:v>
      </x:c>
      <x:c r="AA131" s="16" t="n">
        <x:v>385.12373369417423</x:v>
      </x:c>
      <x:c r="AB131" s="16" t="n">
        <x:v>589.876266305827</x:v>
      </x:c>
      <x:c r="AC131" s="16" t="n">
        <x:v>33607.27074647179</x:v>
      </x:c>
      <x:c r="AD131" s="13" t="n">
        <x:v>-30.70918833052056</x:v>
      </x:c>
      <x:c r="AE131" s="13" t="n">
        <x:v>0.2220654247649599</x:v>
      </x:c>
      <x:c r="AF131" s="13" t="n">
        <x:v>0.0012849276370748</x:v>
      </x:c>
      <x:c r="AG131" s="13" t="n">
        <x:v>0.0115324869159877</x:v>
      </x:c>
      <x:c r="AH131" s="13" t="n">
        <x:v>0.0011710586286627</x:v>
      </x:c>
      <x:c r="AI131" s="13" t="n">
        <x:v>0.0861365008349347</x:v>
      </x:c>
      <x:c r="AJ131" s="13" t="n">
        <x:v>0.0689021115995374</x:v>
      </x:c>
      <x:c r="AK131" s="13" t="n">
        <x:v>0.0172343892353972</x:v>
      </x:c>
      <x:c r="AL131" s="13" t="n">
        <x:v>0.0775193062172361</x:v>
      </x:c>
      <x:c r="AM131" s="13" t="n">
        <x:v>-0.0015537935259637</x:v>
      </x:c>
    </x:row>
    <x:row r="132" ht="15" hidden="0" customHeight="1">
      <x:c r="A132" s="13" t="n">
        <x:v>1154</x:v>
      </x:c>
      <x:c r="B132" s="13" t="str">
        <x:v>2026-06-22</x:v>
      </x:c>
      <x:c r="C132" s="13" t="str">
        <x:v>confirmation_2025_2026</x:v>
      </x:c>
      <x:c r="D132" s="14" t="b">
        <x:v>0</x:v>
      </x:c>
      <x:c r="E132" s="13" t="str">
        <x:v>none</x:v>
      </x:c>
      <x:c r="F132" s="13" t="str">
        <x:v>post_2024_11_20</x:v>
      </x:c>
      <x:c r="G132" s="14" t="b">
        <x:v>1</x:v>
      </x:c>
      <x:c r="H132" s="13"/>
      <x:c r="I132" s="13" t="str">
        <x:v>short_iron_fly</x:v>
      </x:c>
      <x:c r="J132" s="13" t="str">
        <x:v>2026-06-22 05:00:00+00:00</x:v>
      </x:c>
      <x:c r="K132" s="13" t="str">
        <x:v>2026-06-22 11:30:00+05:30</x:v>
      </x:c>
      <x:c r="L132" s="13" t="n">
        <x:v>15.208333333333334</x:v>
      </x:c>
      <x:c r="M132" s="13" t="n">
        <x:v>24157.55</x:v>
      </x:c>
      <x:c r="N132" s="15" t="n">
        <x:v>0.1407476877012486</x:v>
      </x:c>
      <x:c r="O132" s="15" t="n">
        <x:v>0.1402675893826241</x:v>
      </x:c>
      <x:c r="P132" s="15" t="n">
        <x:v>0.0001349149620357</x:v>
      </x:c>
      <x:c r="Q132" s="15" t="n">
        <x:v>0.8491827637444279</x:v>
      </x:c>
      <x:c r="R132" s="13" t="n">
        <x:v>0.4861111111111111</x:v>
      </x:c>
      <x:c r="S132" s="13" t="n">
        <x:v>5</x:v>
      </x:c>
      <x:c r="T132" s="13" t="n">
        <x:v>65</x:v>
      </x:c>
      <x:c r="U132" s="16" t="n">
        <x:v>380188.6841866546</x:v>
      </x:c>
      <x:c r="V132" s="17" t="n">
        <x:v>0.343055401931018</x:v>
      </x:c>
      <x:c r="W132" s="17" t="n">
        <x:v>0.014833314001446</x:v>
      </x:c>
      <x:c r="X132" s="16" t="n">
        <x:v>650.0000000000023</x:v>
      </x:c>
      <x:c r="Y132" s="16" t="n">
        <x:v>345.407318873998</x:v>
      </x:c>
      <x:c r="Z132" s="16" t="n">
        <x:v>228.3502267476397</x:v>
      </x:c>
      <x:c r="AA132" s="16" t="n">
        <x:v>573.7575456216377</x:v>
      </x:c>
      <x:c r="AB132" s="16" t="n">
        <x:v>76.24245437836453</x:v>
      </x:c>
      <x:c r="AC132" s="16" t="n">
        <x:v>131848.2566643588</x:v>
      </x:c>
      <x:c r="AD132" s="13" t="n">
        <x:v>-132.04442285613698</x:v>
      </x:c>
      <x:c r="AE132" s="13" t="n">
        <x:v>0.1841055048103535</x:v>
      </x:c>
      <x:c r="AF132" s="13" t="n">
        <x:v>0.0010133136317495</x:v>
      </x:c>
      <x:c r="AG132" s="13" t="n">
        <x:v>0.0010022240684103</x:v>
      </x:c>
      <x:c r="AH132" s="13" t="n">
        <x:v>-0.0080332437353825</x:v>
      </x:c>
      <x:c r="AI132" s="13" t="n">
        <x:v>0.0058624357623434</x:v>
      </x:c>
      <x:c r="AJ132" s="13" t="n">
        <x:v>0.0005680780652932</x:v>
      </x:c>
      <x:c r="AK132" s="13" t="n">
        <x:v>0.0052943576970501</x:v>
      </x:c>
      <x:c r="AL132" s="13" t="n">
        <x:v>0.0032152569138183</x:v>
      </x:c>
      <x:c r="AM132" s="13" t="n">
        <x:v>-0.0014851046174085</x:v>
      </x:c>
    </x:row>
    <x:row r="133" ht="15" hidden="0" customHeight="1">
      <x:c r="A133" s="13" t="n">
        <x:v>1156</x:v>
      </x:c>
      <x:c r="B133" s="13" t="str">
        <x:v>2026-06-30</x:v>
      </x:c>
      <x:c r="C133" s="13" t="str">
        <x:v>confirmation_2025_2026</x:v>
      </x:c>
      <x:c r="D133" s="14" t="b">
        <x:v>0</x:v>
      </x:c>
      <x:c r="E133" s="13" t="str">
        <x:v>none</x:v>
      </x:c>
      <x:c r="F133" s="13" t="str">
        <x:v>post_2024_11_20</x:v>
      </x:c>
      <x:c r="G133" s="14" t="b">
        <x:v>1</x:v>
      </x:c>
      <x:c r="H133" s="13"/>
      <x:c r="I133" s="13" t="str">
        <x:v>short_iron_fly</x:v>
      </x:c>
      <x:c r="J133" s="13" t="str">
        <x:v>2026-06-30 07:03:00+00:00</x:v>
      </x:c>
      <x:c r="K133" s="13" t="str">
        <x:v>2026-06-30 13:33:00+05:30</x:v>
      </x:c>
      <x:c r="L133" s="13" t="n">
        <x:v>14.122916666666669</x:v>
      </x:c>
      <x:c r="M133" s="13" t="n">
        <x:v>23917.15</x:v>
      </x:c>
      <x:c r="N133" s="15" t="n">
        <x:v>0.2428358187706343</x:v>
      </x:c>
      <x:c r="O133" s="15" t="n">
        <x:v>0.1805216400060339</x:v>
      </x:c>
      <x:c r="P133" s="15" t="n">
        <x:v>0.0263811723675362</x:v>
      </x:c>
      <x:c r="Q133" s="15" t="n">
        <x:v>0.8786084381939304</x:v>
      </x:c>
      <x:c r="R133" s="13" t="n">
        <x:v>0.4027777777777778</x:v>
      </x:c>
      <x:c r="S133" s="13" t="n">
        <x:v>5</x:v>
      </x:c>
      <x:c r="T133" s="13" t="n">
        <x:v>65</x:v>
      </x:c>
      <x:c r="U133" s="16" t="n">
        <x:v>364745.9879175204</x:v>
      </x:c>
      <x:c r="V133" s="17" t="n">
        <x:v>0.3290983635159151</x:v>
      </x:c>
      <x:c r="W133" s="17" t="n">
        <x:v>0.0230575875209088</x:v>
      </x:c>
      <x:c r="X133" s="16" t="n">
        <x:v>1104.999999999999</x:v>
      </x:c>
      <x:c r="Y133" s="16" t="n">
        <x:v>262.6861650604538</x:v>
      </x:c>
      <x:c r="Z133" s="16" t="n">
        <x:v>177.8882528248475</x:v>
      </x:c>
      <x:c r="AA133" s="16" t="n">
        <x:v>440.5744178853013</x:v>
      </x:c>
      <x:c r="AB133" s="16" t="n">
        <x:v>664.4255821146978</x:v>
      </x:c>
      <x:c r="AC133" s="16" t="n">
        <x:v>61753.53324291361</x:v>
      </x:c>
      <x:c r="AD133" s="13" t="n">
        <x:v>-15.441936700125751</x:v>
      </x:c>
      <x:c r="AE133" s="13" t="n">
        <x:v>0.5120263243513385</x:v>
      </x:c>
      <x:c r="AF133" s="13" t="n">
        <x:v>0.0065138871129064</x:v>
      </x:c>
      <x:c r="AG133" s="13" t="n">
        <x:v>0.0048334054738016</x:v>
      </x:c>
      <x:c r="AH133" s="13" t="n">
        <x:v>-0.0105680103347215</x:v>
      </x:c>
      <x:c r="AI133" s="13" t="n">
        <x:v>0.0357956745060345</x:v>
      </x:c>
      <x:c r="AJ133" s="13" t="n">
        <x:v>0.0164320347941784</x:v>
      </x:c>
      <x:c r="AK133" s="13" t="n">
        <x:v>0.019363639711856</x:v>
      </x:c>
      <x:c r="AL133" s="13" t="n">
        <x:v>0.0261138546501064</x:v>
      </x:c>
      <x:c r="AM133" s="13" t="n">
        <x:v>-0.0008865054717792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8" hidden="0" customWidth="1"/>
    <x:col min="5" max="5" width="19" hidden="0" customWidth="1"/>
    <x:col min="6" max="6" width="16" hidden="0" customWidth="1"/>
    <x:col min="7" max="7" width="17" hidden="0" customWidth="1"/>
    <x:col min="8" max="8" width="23" hidden="0" customWidth="1"/>
    <x:col min="9" max="9" width="15" hidden="0" customWidth="1"/>
    <x:col min="10" max="10" width="20" hidden="0" customWidth="1"/>
    <x:col min="11" max="11" width="17" hidden="0" customWidth="1"/>
    <x:col min="12" max="12" width="14" hidden="0" customWidth="1"/>
    <x:col min="13" max="13" width="14" hidden="0" customWidth="1"/>
  </x:cols>
  <x:sheetData>
    <x:row r="1" ht="15" hidden="0" customHeight="1">
      <x:c r="A1" s="12" t="str">
        <x:v>date</x:v>
      </x:c>
      <x:c r="B1" s="12" t="str">
        <x:v>signals</x:v>
      </x:c>
      <x:c r="C1" s="12" t="str">
        <x:v>lots</x:v>
      </x:c>
      <x:c r="D1" s="12" t="str">
        <x:v>gross_pnl_rupees</x:v>
      </x:c>
      <x:c r="E1" s="12" t="str">
        <x:v>total_cost_rupees</x:v>
      </x:c>
      <x:c r="F1" s="12" t="str">
        <x:v>net_pnl_rupees</x:v>
      </x:c>
      <x:c r="G1" s="12" t="str">
        <x:v>turnover_rupees</x:v>
      </x:c>
      <x:c r="H1" s="12" t="str">
        <x:v>maximum_margin_rupees</x:v>
      </x:c>
      <x:c r="I1" s="12" t="str">
        <x:v>equity_rupees</x:v>
      </x:c>
      <x:c r="J1" s="12" t="str">
        <x:v>peak_equity_rupees</x:v>
      </x:c>
      <x:c r="K1" s="12" t="str">
        <x:v>drawdown_rupees</x:v>
      </x:c>
      <x:c r="L1" s="12" t="str">
        <x:v>drawdown_pct</x:v>
      </x:c>
      <x:c r="M1" s="12" t="str">
        <x:v>daily_return</x:v>
      </x:c>
      <x:c r="N1" s="11"/>
      <x:c r="O1" s="11" t="str">
        <x:v>date</x:v>
      </x:c>
      <x:c r="P1" s="11" t="str">
        <x:v>equity_rupees</x:v>
      </x:c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15" hidden="0" customHeight="1">
      <x:c r="A2" s="13" t="str">
        <x:v>2021-05-12</x:v>
      </x:c>
      <x:c r="B2" s="13" t="n">
        <x:v>1</x:v>
      </x:c>
      <x:c r="C2" s="13" t="n">
        <x:v>5</x:v>
      </x:c>
      <x:c r="D2" s="16" t="n">
        <x:v>5662.499999999999</x:v>
      </x:c>
      <x:c r="E2" s="16" t="n">
        <x:v>504.3504757930705</x:v>
      </x:c>
      <x:c r="F2" s="16" t="n">
        <x:v>5158.149524206929</x:v>
      </x:c>
      <x:c r="G2" s="16" t="n">
        <x:v>40230.42924774802</x:v>
      </x:c>
      <x:c r="H2" s="16" t="n">
        <x:v>280159.54749866</x:v>
      </x:c>
      <x:c r="I2" s="16" t="n">
        <x:v>1005158.1495242068</x:v>
      </x:c>
      <x:c r="J2" s="16" t="n">
        <x:v>1005158.1495242068</x:v>
      </x:c>
      <x:c r="K2" s="16" t="n">
        <x:v>0</x:v>
      </x:c>
      <x:c r="L2" s="18" t="n">
        <x:v>0</x:v>
      </x:c>
      <x:c r="M2" s="18" t="n">
        <x:v>0.0051581495242069</x:v>
      </x:c>
      <x:c r="O2" t="str">
        <x:v>2021-05-12</x:v>
      </x:c>
      <x:c r="P2" t="n">
        <x:v>1005158.1495242068</x:v>
      </x:c>
    </x:row>
    <x:row r="3" ht="15" hidden="0" customHeight="1">
      <x:c r="A3" s="13" t="str">
        <x:v>2021-05-13</x:v>
      </x:c>
      <x:c r="B3" s="13" t="n">
        <x:v>0</x:v>
      </x:c>
      <x:c r="C3" s="13" t="n">
        <x:v>0</x:v>
      </x:c>
      <x:c r="D3" s="16" t="n">
        <x:v>0</x:v>
      </x:c>
      <x:c r="E3" s="16" t="n">
        <x:v>0</x:v>
      </x:c>
      <x:c r="F3" s="16" t="n">
        <x:v>0</x:v>
      </x:c>
      <x:c r="G3" s="16" t="n">
        <x:v>0</x:v>
      </x:c>
      <x:c r="H3" s="16" t="n">
        <x:v>0</x:v>
      </x:c>
      <x:c r="I3" s="16" t="n">
        <x:v>1005158.1495242068</x:v>
      </x:c>
      <x:c r="J3" s="16" t="n">
        <x:v>1005158.1495242068</x:v>
      </x:c>
      <x:c r="K3" s="16" t="n">
        <x:v>0</x:v>
      </x:c>
      <x:c r="L3" s="18" t="n">
        <x:v>0</x:v>
      </x:c>
      <x:c r="M3" s="18" t="n">
        <x:v>0</x:v>
      </x:c>
      <x:c r="O3" t="str">
        <x:v>2021-05-13</x:v>
      </x:c>
      <x:c r="P3" t="n">
        <x:v>1005158.1495242068</x:v>
      </x:c>
    </x:row>
    <x:row r="4" ht="15" hidden="0" customHeight="1">
      <x:c r="A4" s="13" t="str">
        <x:v>2021-05-14</x:v>
      </x:c>
      <x:c r="B4" s="13" t="n">
        <x:v>0</x:v>
      </x:c>
      <x:c r="C4" s="13" t="n">
        <x:v>0</x:v>
      </x:c>
      <x:c r="D4" s="16" t="n">
        <x:v>0</x:v>
      </x:c>
      <x:c r="E4" s="16" t="n">
        <x:v>0</x:v>
      </x:c>
      <x:c r="F4" s="16" t="n">
        <x:v>0</x:v>
      </x:c>
      <x:c r="G4" s="16" t="n">
        <x:v>0</x:v>
      </x:c>
      <x:c r="H4" s="16" t="n">
        <x:v>0</x:v>
      </x:c>
      <x:c r="I4" s="16" t="n">
        <x:v>1005158.1495242068</x:v>
      </x:c>
      <x:c r="J4" s="16" t="n">
        <x:v>1005158.1495242068</x:v>
      </x:c>
      <x:c r="K4" s="16" t="n">
        <x:v>0</x:v>
      </x:c>
      <x:c r="L4" s="18" t="n">
        <x:v>0</x:v>
      </x:c>
      <x:c r="M4" s="18" t="n">
        <x:v>0</x:v>
      </x:c>
      <x:c r="O4" t="str">
        <x:v>2021-05-14</x:v>
      </x:c>
      <x:c r="P4" t="n">
        <x:v>1005158.1495242068</x:v>
      </x:c>
    </x:row>
    <x:row r="5" ht="15" hidden="0" customHeight="1">
      <x:c r="A5" s="13" t="str">
        <x:v>2021-05-17</x:v>
      </x:c>
      <x:c r="B5" s="13" t="n">
        <x:v>0</x:v>
      </x:c>
      <x:c r="C5" s="13" t="n">
        <x:v>0</x:v>
      </x:c>
      <x:c r="D5" s="16" t="n">
        <x:v>0</x:v>
      </x:c>
      <x:c r="E5" s="16" t="n">
        <x:v>0</x:v>
      </x:c>
      <x:c r="F5" s="16" t="n">
        <x:v>0</x:v>
      </x:c>
      <x:c r="G5" s="16" t="n">
        <x:v>0</x:v>
      </x:c>
      <x:c r="H5" s="16" t="n">
        <x:v>0</x:v>
      </x:c>
      <x:c r="I5" s="16" t="n">
        <x:v>1005158.1495242068</x:v>
      </x:c>
      <x:c r="J5" s="16" t="n">
        <x:v>1005158.1495242068</x:v>
      </x:c>
      <x:c r="K5" s="16" t="n">
        <x:v>0</x:v>
      </x:c>
      <x:c r="L5" s="18" t="n">
        <x:v>0</x:v>
      </x:c>
      <x:c r="M5" s="18" t="n">
        <x:v>0</x:v>
      </x:c>
      <x:c r="O5" t="str">
        <x:v>2021-05-17</x:v>
      </x:c>
      <x:c r="P5" t="n">
        <x:v>1005158.1495242068</x:v>
      </x:c>
    </x:row>
    <x:row r="6" ht="15" hidden="0" customHeight="1">
      <x:c r="A6" s="13" t="str">
        <x:v>2021-05-18</x:v>
      </x:c>
      <x:c r="B6" s="13" t="n">
        <x:v>0</x:v>
      </x:c>
      <x:c r="C6" s="13" t="n">
        <x:v>0</x:v>
      </x:c>
      <x:c r="D6" s="16" t="n">
        <x:v>0</x:v>
      </x:c>
      <x:c r="E6" s="16" t="n">
        <x:v>0</x:v>
      </x:c>
      <x:c r="F6" s="16" t="n">
        <x:v>0</x:v>
      </x:c>
      <x:c r="G6" s="16" t="n">
        <x:v>0</x:v>
      </x:c>
      <x:c r="H6" s="16" t="n">
        <x:v>0</x:v>
      </x:c>
      <x:c r="I6" s="16" t="n">
        <x:v>1005158.1495242068</x:v>
      </x:c>
      <x:c r="J6" s="16" t="n">
        <x:v>1005158.1495242068</x:v>
      </x:c>
      <x:c r="K6" s="16" t="n">
        <x:v>0</x:v>
      </x:c>
      <x:c r="L6" s="18" t="n">
        <x:v>0</x:v>
      </x:c>
      <x:c r="M6" s="18" t="n">
        <x:v>0</x:v>
      </x:c>
      <x:c r="O6" t="str">
        <x:v>2021-05-18</x:v>
      </x:c>
      <x:c r="P6" t="n">
        <x:v>1005158.1495242068</x:v>
      </x:c>
    </x:row>
    <x:row r="7" ht="15" hidden="0" customHeight="1">
      <x:c r="A7" s="13" t="str">
        <x:v>2021-05-19</x:v>
      </x:c>
      <x:c r="B7" s="13" t="n">
        <x:v>0</x:v>
      </x:c>
      <x:c r="C7" s="13" t="n">
        <x:v>0</x:v>
      </x:c>
      <x:c r="D7" s="16" t="n">
        <x:v>0</x:v>
      </x:c>
      <x:c r="E7" s="16" t="n">
        <x:v>0</x:v>
      </x:c>
      <x:c r="F7" s="16" t="n">
        <x:v>0</x:v>
      </x:c>
      <x:c r="G7" s="16" t="n">
        <x:v>0</x:v>
      </x:c>
      <x:c r="H7" s="16" t="n">
        <x:v>0</x:v>
      </x:c>
      <x:c r="I7" s="16" t="n">
        <x:v>1005158.1495242068</x:v>
      </x:c>
      <x:c r="J7" s="16" t="n">
        <x:v>1005158.1495242068</x:v>
      </x:c>
      <x:c r="K7" s="16" t="n">
        <x:v>0</x:v>
      </x:c>
      <x:c r="L7" s="18" t="n">
        <x:v>0</x:v>
      </x:c>
      <x:c r="M7" s="18" t="n">
        <x:v>0</x:v>
      </x:c>
      <x:c r="O7" t="str">
        <x:v>2021-05-19</x:v>
      </x:c>
      <x:c r="P7" t="n">
        <x:v>1005158.1495242068</x:v>
      </x:c>
    </x:row>
    <x:row r="8" ht="15" hidden="0" customHeight="1">
      <x:c r="A8" s="13" t="str">
        <x:v>2021-05-20</x:v>
      </x:c>
      <x:c r="B8" s="13" t="n">
        <x:v>0</x:v>
      </x:c>
      <x:c r="C8" s="13" t="n">
        <x:v>0</x:v>
      </x:c>
      <x:c r="D8" s="16" t="n">
        <x:v>0</x:v>
      </x:c>
      <x:c r="E8" s="16" t="n">
        <x:v>0</x:v>
      </x:c>
      <x:c r="F8" s="16" t="n">
        <x:v>0</x:v>
      </x:c>
      <x:c r="G8" s="16" t="n">
        <x:v>0</x:v>
      </x:c>
      <x:c r="H8" s="16" t="n">
        <x:v>0</x:v>
      </x:c>
      <x:c r="I8" s="16" t="n">
        <x:v>1005158.1495242068</x:v>
      </x:c>
      <x:c r="J8" s="16" t="n">
        <x:v>1005158.1495242068</x:v>
      </x:c>
      <x:c r="K8" s="16" t="n">
        <x:v>0</x:v>
      </x:c>
      <x:c r="L8" s="18" t="n">
        <x:v>0</x:v>
      </x:c>
      <x:c r="M8" s="18" t="n">
        <x:v>0</x:v>
      </x:c>
      <x:c r="O8" t="str">
        <x:v>2021-05-20</x:v>
      </x:c>
      <x:c r="P8" t="n">
        <x:v>1005158.1495242068</x:v>
      </x:c>
    </x:row>
    <x:row r="9" ht="15" hidden="0" customHeight="1">
      <x:c r="A9" s="13" t="str">
        <x:v>2021-05-21</x:v>
      </x:c>
      <x:c r="B9" s="13" t="n">
        <x:v>0</x:v>
      </x:c>
      <x:c r="C9" s="13" t="n">
        <x:v>0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v>0</x:v>
      </x:c>
      <x:c r="I9" s="16" t="n">
        <x:v>1005158.1495242068</x:v>
      </x:c>
      <x:c r="J9" s="16" t="n">
        <x:v>1005158.1495242068</x:v>
      </x:c>
      <x:c r="K9" s="16" t="n">
        <x:v>0</x:v>
      </x:c>
      <x:c r="L9" s="18" t="n">
        <x:v>0</x:v>
      </x:c>
      <x:c r="M9" s="18" t="n">
        <x:v>0</x:v>
      </x:c>
      <x:c r="O9" t="str">
        <x:v>2021-05-21</x:v>
      </x:c>
      <x:c r="P9" t="n">
        <x:v>1005158.1495242068</x:v>
      </x:c>
    </x:row>
    <x:row r="10" ht="15" hidden="0" customHeight="1">
      <x:c r="A10" s="13" t="str">
        <x:v>2021-05-24</x:v>
      </x:c>
      <x:c r="B10" s="13" t="n">
        <x:v>0</x:v>
      </x:c>
      <x:c r="C10" s="13" t="n">
        <x:v>0</x:v>
      </x:c>
      <x:c r="D10" s="16" t="n">
        <x:v>0</x:v>
      </x:c>
      <x:c r="E10" s="16" t="n">
        <x:v>0</x:v>
      </x:c>
      <x:c r="F10" s="16" t="n">
        <x:v>0</x:v>
      </x:c>
      <x:c r="G10" s="16" t="n">
        <x:v>0</x:v>
      </x:c>
      <x:c r="H10" s="16" t="n">
        <x:v>0</x:v>
      </x:c>
      <x:c r="I10" s="16" t="n">
        <x:v>1005158.1495242068</x:v>
      </x:c>
      <x:c r="J10" s="16" t="n">
        <x:v>1005158.1495242068</x:v>
      </x:c>
      <x:c r="K10" s="16" t="n">
        <x:v>0</x:v>
      </x:c>
      <x:c r="L10" s="18" t="n">
        <x:v>0</x:v>
      </x:c>
      <x:c r="M10" s="18" t="n">
        <x:v>0</x:v>
      </x:c>
      <x:c r="O10" t="str">
        <x:v>2021-05-24</x:v>
      </x:c>
      <x:c r="P10" t="n">
        <x:v>1005158.1495242068</x:v>
      </x:c>
    </x:row>
    <x:row r="11" ht="15" hidden="0" customHeight="1">
      <x:c r="A11" s="13" t="str">
        <x:v>2021-05-25</x:v>
      </x:c>
      <x:c r="B11" s="13" t="n">
        <x:v>0</x:v>
      </x:c>
      <x:c r="C11" s="13" t="n">
        <x:v>0</x:v>
      </x:c>
      <x:c r="D11" s="16" t="n">
        <x:v>0</x:v>
      </x:c>
      <x:c r="E11" s="16" t="n">
        <x:v>0</x:v>
      </x:c>
      <x:c r="F11" s="16" t="n">
        <x:v>0</x:v>
      </x:c>
      <x:c r="G11" s="16" t="n">
        <x:v>0</x:v>
      </x:c>
      <x:c r="H11" s="16" t="n">
        <x:v>0</x:v>
      </x:c>
      <x:c r="I11" s="16" t="n">
        <x:v>1005158.1495242068</x:v>
      </x:c>
      <x:c r="J11" s="16" t="n">
        <x:v>1005158.1495242068</x:v>
      </x:c>
      <x:c r="K11" s="16" t="n">
        <x:v>0</x:v>
      </x:c>
      <x:c r="L11" s="18" t="n">
        <x:v>0</x:v>
      </x:c>
      <x:c r="M11" s="18" t="n">
        <x:v>0</x:v>
      </x:c>
      <x:c r="O11" t="str">
        <x:v>2021-05-25</x:v>
      </x:c>
      <x:c r="P11" t="n">
        <x:v>1005158.1495242068</x:v>
      </x:c>
    </x:row>
    <x:row r="12" ht="15" hidden="0" customHeight="1">
      <x:c r="A12" s="13" t="str">
        <x:v>2021-05-26</x:v>
      </x:c>
      <x:c r="B12" s="13" t="n">
        <x:v>0</x:v>
      </x:c>
      <x:c r="C12" s="13" t="n">
        <x:v>0</x:v>
      </x:c>
      <x:c r="D12" s="16" t="n">
        <x:v>0</x:v>
      </x:c>
      <x:c r="E12" s="16" t="n">
        <x:v>0</x:v>
      </x:c>
      <x:c r="F12" s="16" t="n">
        <x:v>0</x:v>
      </x:c>
      <x:c r="G12" s="16" t="n">
        <x:v>0</x:v>
      </x:c>
      <x:c r="H12" s="16" t="n">
        <x:v>0</x:v>
      </x:c>
      <x:c r="I12" s="16" t="n">
        <x:v>1005158.1495242068</x:v>
      </x:c>
      <x:c r="J12" s="16" t="n">
        <x:v>1005158.1495242068</x:v>
      </x:c>
      <x:c r="K12" s="16" t="n">
        <x:v>0</x:v>
      </x:c>
      <x:c r="L12" s="18" t="n">
        <x:v>0</x:v>
      </x:c>
      <x:c r="M12" s="18" t="n">
        <x:v>0</x:v>
      </x:c>
      <x:c r="O12" t="str">
        <x:v>2021-05-26</x:v>
      </x:c>
      <x:c r="P12" t="n">
        <x:v>1005158.1495242068</x:v>
      </x:c>
    </x:row>
    <x:row r="13" ht="15" hidden="0" customHeight="1">
      <x:c r="A13" s="13" t="str">
        <x:v>2021-05-27</x:v>
      </x:c>
      <x:c r="B13" s="13" t="n">
        <x:v>0</x:v>
      </x:c>
      <x:c r="C13" s="13" t="n">
        <x:v>0</x:v>
      </x:c>
      <x:c r="D13" s="16" t="n">
        <x:v>0</x:v>
      </x:c>
      <x:c r="E13" s="16" t="n">
        <x:v>0</x:v>
      </x:c>
      <x:c r="F13" s="16" t="n">
        <x:v>0</x:v>
      </x:c>
      <x:c r="G13" s="16" t="n">
        <x:v>0</x:v>
      </x:c>
      <x:c r="H13" s="16" t="n">
        <x:v>0</x:v>
      </x:c>
      <x:c r="I13" s="16" t="n">
        <x:v>1005158.1495242068</x:v>
      </x:c>
      <x:c r="J13" s="16" t="n">
        <x:v>1005158.1495242068</x:v>
      </x:c>
      <x:c r="K13" s="16" t="n">
        <x:v>0</x:v>
      </x:c>
      <x:c r="L13" s="18" t="n">
        <x:v>0</x:v>
      </x:c>
      <x:c r="M13" s="18" t="n">
        <x:v>0</x:v>
      </x:c>
      <x:c r="O13" t="str">
        <x:v>2021-05-27</x:v>
      </x:c>
      <x:c r="P13" t="n">
        <x:v>1005158.1495242068</x:v>
      </x:c>
    </x:row>
    <x:row r="14" ht="15" hidden="0" customHeight="1">
      <x:c r="A14" s="13" t="str">
        <x:v>2021-05-28</x:v>
      </x:c>
      <x:c r="B14" s="13" t="n">
        <x:v>0</x:v>
      </x:c>
      <x:c r="C14" s="13" t="n">
        <x:v>0</x:v>
      </x:c>
      <x:c r="D14" s="16" t="n">
        <x:v>0</x:v>
      </x:c>
      <x:c r="E14" s="16" t="n">
        <x:v>0</x:v>
      </x:c>
      <x:c r="F14" s="16" t="n">
        <x:v>0</x:v>
      </x:c>
      <x:c r="G14" s="16" t="n">
        <x:v>0</x:v>
      </x:c>
      <x:c r="H14" s="16" t="n">
        <x:v>0</x:v>
      </x:c>
      <x:c r="I14" s="16" t="n">
        <x:v>1005158.1495242068</x:v>
      </x:c>
      <x:c r="J14" s="16" t="n">
        <x:v>1005158.1495242068</x:v>
      </x:c>
      <x:c r="K14" s="16" t="n">
        <x:v>0</x:v>
      </x:c>
      <x:c r="L14" s="18" t="n">
        <x:v>0</x:v>
      </x:c>
      <x:c r="M14" s="18" t="n">
        <x:v>0</x:v>
      </x:c>
      <x:c r="O14" t="str">
        <x:v>2021-05-28</x:v>
      </x:c>
      <x:c r="P14" t="n">
        <x:v>1005158.1495242068</x:v>
      </x:c>
    </x:row>
    <x:row r="15" ht="15" hidden="0" customHeight="1">
      <x:c r="A15" s="13" t="str">
        <x:v>2021-05-31</x:v>
      </x:c>
      <x:c r="B15" s="13" t="n">
        <x:v>0</x:v>
      </x:c>
      <x:c r="C15" s="13" t="n">
        <x:v>0</x:v>
      </x:c>
      <x:c r="D15" s="16" t="n">
        <x:v>0</x:v>
      </x:c>
      <x:c r="E15" s="16" t="n">
        <x:v>0</x:v>
      </x:c>
      <x:c r="F15" s="16" t="n">
        <x:v>0</x:v>
      </x:c>
      <x:c r="G15" s="16" t="n">
        <x:v>0</x:v>
      </x:c>
      <x:c r="H15" s="16" t="n">
        <x:v>0</x:v>
      </x:c>
      <x:c r="I15" s="16" t="n">
        <x:v>1005158.1495242068</x:v>
      </x:c>
      <x:c r="J15" s="16" t="n">
        <x:v>1005158.1495242068</x:v>
      </x:c>
      <x:c r="K15" s="16" t="n">
        <x:v>0</x:v>
      </x:c>
      <x:c r="L15" s="18" t="n">
        <x:v>0</x:v>
      </x:c>
      <x:c r="M15" s="18" t="n">
        <x:v>0</x:v>
      </x:c>
      <x:c r="O15" t="str">
        <x:v>2021-05-31</x:v>
      </x:c>
      <x:c r="P15" t="n">
        <x:v>1005158.1495242068</x:v>
      </x:c>
    </x:row>
    <x:row r="16" ht="15" hidden="0" customHeight="1">
      <x:c r="A16" s="13" t="str">
        <x:v>2021-06-01</x:v>
      </x:c>
      <x:c r="B16" s="13" t="n">
        <x:v>0</x:v>
      </x:c>
      <x:c r="C16" s="13" t="n">
        <x:v>0</x:v>
      </x:c>
      <x:c r="D16" s="16" t="n">
        <x:v>0</x:v>
      </x:c>
      <x:c r="E16" s="16" t="n">
        <x:v>0</x:v>
      </x:c>
      <x:c r="F16" s="16" t="n">
        <x:v>0</x:v>
      </x:c>
      <x:c r="G16" s="16" t="n">
        <x:v>0</x:v>
      </x:c>
      <x:c r="H16" s="16" t="n">
        <x:v>0</x:v>
      </x:c>
      <x:c r="I16" s="16" t="n">
        <x:v>1005158.1495242068</x:v>
      </x:c>
      <x:c r="J16" s="16" t="n">
        <x:v>1005158.1495242068</x:v>
      </x:c>
      <x:c r="K16" s="16" t="n">
        <x:v>0</x:v>
      </x:c>
      <x:c r="L16" s="18" t="n">
        <x:v>0</x:v>
      </x:c>
      <x:c r="M16" s="18" t="n">
        <x:v>0</x:v>
      </x:c>
      <x:c r="O16" t="str">
        <x:v>2021-06-01</x:v>
      </x:c>
      <x:c r="P16" t="n">
        <x:v>1005158.1495242068</x:v>
      </x:c>
    </x:row>
    <x:row r="17" ht="15" hidden="0" customHeight="1">
      <x:c r="A17" s="13" t="str">
        <x:v>2021-06-02</x:v>
      </x:c>
      <x:c r="B17" s="13" t="n">
        <x:v>0</x:v>
      </x:c>
      <x:c r="C17" s="13" t="n">
        <x:v>0</x:v>
      </x:c>
      <x:c r="D17" s="16" t="n">
        <x:v>0</x:v>
      </x:c>
      <x:c r="E17" s="16" t="n">
        <x:v>0</x:v>
      </x:c>
      <x:c r="F17" s="16" t="n">
        <x:v>0</x:v>
      </x:c>
      <x:c r="G17" s="16" t="n">
        <x:v>0</x:v>
      </x:c>
      <x:c r="H17" s="16" t="n">
        <x:v>0</x:v>
      </x:c>
      <x:c r="I17" s="16" t="n">
        <x:v>1005158.1495242068</x:v>
      </x:c>
      <x:c r="J17" s="16" t="n">
        <x:v>1005158.1495242068</x:v>
      </x:c>
      <x:c r="K17" s="16" t="n">
        <x:v>0</x:v>
      </x:c>
      <x:c r="L17" s="18" t="n">
        <x:v>0</x:v>
      </x:c>
      <x:c r="M17" s="18" t="n">
        <x:v>0</x:v>
      </x:c>
      <x:c r="O17" t="str">
        <x:v>2021-06-02</x:v>
      </x:c>
      <x:c r="P17" t="n">
        <x:v>1005158.1495242068</x:v>
      </x:c>
    </x:row>
    <x:row r="18" ht="15" hidden="0" customHeight="1">
      <x:c r="A18" s="13" t="str">
        <x:v>2021-06-03</x:v>
      </x:c>
      <x:c r="B18" s="13" t="n">
        <x:v>1</x:v>
      </x:c>
      <x:c r="C18" s="13" t="n">
        <x:v>5</x:v>
      </x:c>
      <x:c r="D18" s="16" t="n">
        <x:v>-7106.25</x:v>
      </x:c>
      <x:c r="E18" s="16" t="n">
        <x:v>553.5855979181779</x:v>
      </x:c>
      <x:c r="F18" s="16" t="n">
        <x:v>-7659.835597918178</x:v>
      </x:c>
      <x:c r="G18" s="16" t="n">
        <x:v>49565.78284622738</x:v>
      </x:c>
      <x:c r="H18" s="16" t="n">
        <x:v>293413.6469001069</x:v>
      </x:c>
      <x:c r="I18" s="16" t="n">
        <x:v>997498.3139262889</x:v>
      </x:c>
      <x:c r="J18" s="16" t="n">
        <x:v>1005158.1495242068</x:v>
      </x:c>
      <x:c r="K18" s="16" t="n">
        <x:v>-7659.835597918136</x:v>
      </x:c>
      <x:c r="L18" s="18" t="n">
        <x:v>-0.0076205277761951</x:v>
      </x:c>
      <x:c r="M18" s="18" t="n">
        <x:v>-0.0076205277761951</x:v>
      </x:c>
      <x:c r="O18" t="str">
        <x:v>2021-06-03</x:v>
      </x:c>
      <x:c r="P18" t="n">
        <x:v>997498.3139262889</x:v>
      </x:c>
    </x:row>
    <x:row r="19" ht="15" hidden="0" customHeight="1">
      <x:c r="A19" s="13" t="str">
        <x:v>2021-06-04</x:v>
      </x:c>
      <x:c r="B19" s="13" t="n">
        <x:v>0</x:v>
      </x:c>
      <x:c r="C19" s="13" t="n">
        <x:v>0</x:v>
      </x:c>
      <x:c r="D19" s="16" t="n">
        <x:v>0</x:v>
      </x:c>
      <x:c r="E19" s="16" t="n">
        <x:v>0</x:v>
      </x:c>
      <x:c r="F19" s="16" t="n">
        <x:v>0</x:v>
      </x:c>
      <x:c r="G19" s="16" t="n">
        <x:v>0</x:v>
      </x:c>
      <x:c r="H19" s="16" t="n">
        <x:v>0</x:v>
      </x:c>
      <x:c r="I19" s="16" t="n">
        <x:v>997498.3139262889</x:v>
      </x:c>
      <x:c r="J19" s="16" t="n">
        <x:v>1005158.1495242068</x:v>
      </x:c>
      <x:c r="K19" s="16" t="n">
        <x:v>-7659.835597918136</x:v>
      </x:c>
      <x:c r="L19" s="18" t="n">
        <x:v>-0.0076205277761951</x:v>
      </x:c>
      <x:c r="M19" s="18" t="n">
        <x:v>0</x:v>
      </x:c>
      <x:c r="O19" t="str">
        <x:v>2021-06-04</x:v>
      </x:c>
      <x:c r="P19" t="n">
        <x:v>997498.3139262889</x:v>
      </x:c>
    </x:row>
    <x:row r="20" ht="15" hidden="0" customHeight="1">
      <x:c r="A20" s="13" t="str">
        <x:v>2021-06-07</x:v>
      </x:c>
      <x:c r="B20" s="13" t="n">
        <x:v>0</x:v>
      </x:c>
      <x:c r="C20" s="13" t="n">
        <x:v>0</x:v>
      </x:c>
      <x:c r="D20" s="16" t="n">
        <x:v>0</x:v>
      </x:c>
      <x:c r="E20" s="16" t="n">
        <x:v>0</x:v>
      </x:c>
      <x:c r="F20" s="16" t="n">
        <x:v>0</x:v>
      </x:c>
      <x:c r="G20" s="16" t="n">
        <x:v>0</x:v>
      </x:c>
      <x:c r="H20" s="16" t="n">
        <x:v>0</x:v>
      </x:c>
      <x:c r="I20" s="16" t="n">
        <x:v>997498.3139262889</x:v>
      </x:c>
      <x:c r="J20" s="16" t="n">
        <x:v>1005158.1495242068</x:v>
      </x:c>
      <x:c r="K20" s="16" t="n">
        <x:v>-7659.835597918136</x:v>
      </x:c>
      <x:c r="L20" s="18" t="n">
        <x:v>-0.0076205277761951</x:v>
      </x:c>
      <x:c r="M20" s="18" t="n">
        <x:v>0</x:v>
      </x:c>
      <x:c r="O20" t="str">
        <x:v>2021-06-07</x:v>
      </x:c>
      <x:c r="P20" t="n">
        <x:v>997498.3139262889</x:v>
      </x:c>
    </x:row>
    <x:row r="21" ht="15" hidden="0" customHeight="1">
      <x:c r="A21" s="13" t="str">
        <x:v>2021-06-08</x:v>
      </x:c>
      <x:c r="B21" s="13" t="n">
        <x:v>0</x:v>
      </x:c>
      <x:c r="C21" s="13" t="n">
        <x:v>0</x:v>
      </x:c>
      <x:c r="D21" s="16" t="n">
        <x:v>0</x:v>
      </x:c>
      <x:c r="E21" s="16" t="n">
        <x:v>0</x:v>
      </x:c>
      <x:c r="F21" s="16" t="n">
        <x:v>0</x:v>
      </x:c>
      <x:c r="G21" s="16" t="n">
        <x:v>0</x:v>
      </x:c>
      <x:c r="H21" s="16" t="n">
        <x:v>0</x:v>
      </x:c>
      <x:c r="I21" s="16" t="n">
        <x:v>997498.3139262889</x:v>
      </x:c>
      <x:c r="J21" s="16" t="n">
        <x:v>1005158.1495242068</x:v>
      </x:c>
      <x:c r="K21" s="16" t="n">
        <x:v>-7659.835597918136</x:v>
      </x:c>
      <x:c r="L21" s="18" t="n">
        <x:v>-0.0076205277761951</x:v>
      </x:c>
      <x:c r="M21" s="18" t="n">
        <x:v>0</x:v>
      </x:c>
      <x:c r="O21" t="str">
        <x:v>2021-06-08</x:v>
      </x:c>
      <x:c r="P21" t="n">
        <x:v>997498.3139262889</x:v>
      </x:c>
    </x:row>
    <x:row r="22" ht="15" hidden="0" customHeight="1">
      <x:c r="A22" s="13" t="str">
        <x:v>2021-06-09</x:v>
      </x:c>
      <x:c r="B22" s="13" t="n">
        <x:v>0</x:v>
      </x:c>
      <x:c r="C22" s="13" t="n">
        <x:v>0</x:v>
      </x:c>
      <x:c r="D22" s="16" t="n">
        <x:v>0</x:v>
      </x:c>
      <x:c r="E22" s="16" t="n">
        <x:v>0</x:v>
      </x:c>
      <x:c r="F22" s="16" t="n">
        <x:v>0</x:v>
      </x:c>
      <x:c r="G22" s="16" t="n">
        <x:v>0</x:v>
      </x:c>
      <x:c r="H22" s="16" t="n">
        <x:v>0</x:v>
      </x:c>
      <x:c r="I22" s="16" t="n">
        <x:v>997498.3139262889</x:v>
      </x:c>
      <x:c r="J22" s="16" t="n">
        <x:v>1005158.1495242068</x:v>
      </x:c>
      <x:c r="K22" s="16" t="n">
        <x:v>-7659.835597918136</x:v>
      </x:c>
      <x:c r="L22" s="18" t="n">
        <x:v>-0.0076205277761951</x:v>
      </x:c>
      <x:c r="M22" s="18" t="n">
        <x:v>0</x:v>
      </x:c>
      <x:c r="O22" t="str">
        <x:v>2021-06-09</x:v>
      </x:c>
      <x:c r="P22" t="n">
        <x:v>997498.3139262889</x:v>
      </x:c>
    </x:row>
    <x:row r="23" ht="15" hidden="0" customHeight="1">
      <x:c r="A23" s="13" t="str">
        <x:v>2021-06-10</x:v>
      </x:c>
      <x:c r="B23" s="13" t="n">
        <x:v>0</x:v>
      </x:c>
      <x:c r="C23" s="13" t="n">
        <x:v>0</x:v>
      </x:c>
      <x:c r="D23" s="16" t="n">
        <x:v>0</x:v>
      </x:c>
      <x:c r="E23" s="16" t="n">
        <x:v>0</x:v>
      </x:c>
      <x:c r="F23" s="16" t="n">
        <x:v>0</x:v>
      </x:c>
      <x:c r="G23" s="16" t="n">
        <x:v>0</x:v>
      </x:c>
      <x:c r="H23" s="16" t="n">
        <x:v>0</x:v>
      </x:c>
      <x:c r="I23" s="16" t="n">
        <x:v>997498.3139262889</x:v>
      </x:c>
      <x:c r="J23" s="16" t="n">
        <x:v>1005158.1495242068</x:v>
      </x:c>
      <x:c r="K23" s="16" t="n">
        <x:v>-7659.835597918136</x:v>
      </x:c>
      <x:c r="L23" s="18" t="n">
        <x:v>-0.0076205277761951</x:v>
      </x:c>
      <x:c r="M23" s="18" t="n">
        <x:v>0</x:v>
      </x:c>
      <x:c r="O23" t="str">
        <x:v>2021-06-10</x:v>
      </x:c>
      <x:c r="P23" t="n">
        <x:v>997498.3139262889</x:v>
      </x:c>
    </x:row>
    <x:row r="24" ht="15" hidden="0" customHeight="1">
      <x:c r="A24" s="13" t="str">
        <x:v>2021-06-11</x:v>
      </x:c>
      <x:c r="B24" s="13" t="n">
        <x:v>0</x:v>
      </x:c>
      <x:c r="C24" s="13" t="n">
        <x:v>0</x:v>
      </x:c>
      <x:c r="D24" s="16" t="n">
        <x:v>0</x:v>
      </x:c>
      <x:c r="E24" s="16" t="n">
        <x:v>0</x:v>
      </x:c>
      <x:c r="F24" s="16" t="n">
        <x:v>0</x:v>
      </x:c>
      <x:c r="G24" s="16" t="n">
        <x:v>0</x:v>
      </x:c>
      <x:c r="H24" s="16" t="n">
        <x:v>0</x:v>
      </x:c>
      <x:c r="I24" s="16" t="n">
        <x:v>997498.3139262889</x:v>
      </x:c>
      <x:c r="J24" s="16" t="n">
        <x:v>1005158.1495242068</x:v>
      </x:c>
      <x:c r="K24" s="16" t="n">
        <x:v>-7659.835597918136</x:v>
      </x:c>
      <x:c r="L24" s="18" t="n">
        <x:v>-0.0076205277761951</x:v>
      </x:c>
      <x:c r="M24" s="18" t="n">
        <x:v>0</x:v>
      </x:c>
      <x:c r="O24" t="str">
        <x:v>2021-06-11</x:v>
      </x:c>
      <x:c r="P24" t="n">
        <x:v>997498.3139262889</x:v>
      </x:c>
    </x:row>
    <x:row r="25" ht="15" hidden="0" customHeight="1">
      <x:c r="A25" s="13" t="str">
        <x:v>2021-06-14</x:v>
      </x:c>
      <x:c r="B25" s="13" t="n">
        <x:v>0</x:v>
      </x:c>
      <x:c r="C25" s="13" t="n">
        <x:v>0</x:v>
      </x:c>
      <x:c r="D25" s="16" t="n">
        <x:v>0</x:v>
      </x:c>
      <x:c r="E25" s="16" t="n">
        <x:v>0</x:v>
      </x:c>
      <x:c r="F25" s="16" t="n">
        <x:v>0</x:v>
      </x:c>
      <x:c r="G25" s="16" t="n">
        <x:v>0</x:v>
      </x:c>
      <x:c r="H25" s="16" t="n">
        <x:v>0</x:v>
      </x:c>
      <x:c r="I25" s="16" t="n">
        <x:v>997498.3139262889</x:v>
      </x:c>
      <x:c r="J25" s="16" t="n">
        <x:v>1005158.1495242068</x:v>
      </x:c>
      <x:c r="K25" s="16" t="n">
        <x:v>-7659.835597918136</x:v>
      </x:c>
      <x:c r="L25" s="18" t="n">
        <x:v>-0.0076205277761951</x:v>
      </x:c>
      <x:c r="M25" s="18" t="n">
        <x:v>0</x:v>
      </x:c>
      <x:c r="O25" t="str">
        <x:v>2021-06-14</x:v>
      </x:c>
      <x:c r="P25" t="n">
        <x:v>997498.3139262889</x:v>
      </x:c>
    </x:row>
    <x:row r="26" ht="15" hidden="0" customHeight="1">
      <x:c r="A26" s="13" t="str">
        <x:v>2021-06-15</x:v>
      </x:c>
      <x:c r="B26" s="13" t="n">
        <x:v>0</x:v>
      </x:c>
      <x:c r="C26" s="13" t="n">
        <x:v>0</x:v>
      </x:c>
      <x:c r="D26" s="16" t="n">
        <x:v>0</x:v>
      </x:c>
      <x:c r="E26" s="16" t="n">
        <x:v>0</x:v>
      </x:c>
      <x:c r="F26" s="16" t="n">
        <x:v>0</x:v>
      </x:c>
      <x:c r="G26" s="16" t="n">
        <x:v>0</x:v>
      </x:c>
      <x:c r="H26" s="16" t="n">
        <x:v>0</x:v>
      </x:c>
      <x:c r="I26" s="16" t="n">
        <x:v>997498.3139262889</x:v>
      </x:c>
      <x:c r="J26" s="16" t="n">
        <x:v>1005158.1495242068</x:v>
      </x:c>
      <x:c r="K26" s="16" t="n">
        <x:v>-7659.835597918136</x:v>
      </x:c>
      <x:c r="L26" s="18" t="n">
        <x:v>-0.0076205277761951</x:v>
      </x:c>
      <x:c r="M26" s="18" t="n">
        <x:v>0</x:v>
      </x:c>
      <x:c r="O26" t="str">
        <x:v>2021-06-15</x:v>
      </x:c>
      <x:c r="P26" t="n">
        <x:v>997498.3139262889</x:v>
      </x:c>
    </x:row>
    <x:row r="27" ht="15" hidden="0" customHeight="1">
      <x:c r="A27" s="13" t="str">
        <x:v>2021-06-16</x:v>
      </x:c>
      <x:c r="B27" s="13" t="n">
        <x:v>0</x:v>
      </x:c>
      <x:c r="C27" s="13" t="n">
        <x:v>0</x:v>
      </x:c>
      <x:c r="D27" s="16" t="n">
        <x:v>0</x:v>
      </x:c>
      <x:c r="E27" s="16" t="n">
        <x:v>0</x:v>
      </x:c>
      <x:c r="F27" s="16" t="n">
        <x:v>0</x:v>
      </x:c>
      <x:c r="G27" s="16" t="n">
        <x:v>0</x:v>
      </x:c>
      <x:c r="H27" s="16" t="n">
        <x:v>0</x:v>
      </x:c>
      <x:c r="I27" s="16" t="n">
        <x:v>997498.3139262889</x:v>
      </x:c>
      <x:c r="J27" s="16" t="n">
        <x:v>1005158.1495242068</x:v>
      </x:c>
      <x:c r="K27" s="16" t="n">
        <x:v>-7659.835597918136</x:v>
      </x:c>
      <x:c r="L27" s="18" t="n">
        <x:v>-0.0076205277761951</x:v>
      </x:c>
      <x:c r="M27" s="18" t="n">
        <x:v>0</x:v>
      </x:c>
      <x:c r="O27" t="str">
        <x:v>2021-06-16</x:v>
      </x:c>
      <x:c r="P27" t="n">
        <x:v>997498.3139262889</x:v>
      </x:c>
    </x:row>
    <x:row r="28" ht="15" hidden="0" customHeight="1">
      <x:c r="A28" s="13" t="str">
        <x:v>2021-06-17</x:v>
      </x:c>
      <x:c r="B28" s="13" t="n">
        <x:v>0</x:v>
      </x:c>
      <x:c r="C28" s="13" t="n">
        <x:v>0</x:v>
      </x:c>
      <x:c r="D28" s="16" t="n">
        <x:v>0</x:v>
      </x:c>
      <x:c r="E28" s="16" t="n">
        <x:v>0</x:v>
      </x:c>
      <x:c r="F28" s="16" t="n">
        <x:v>0</x:v>
      </x:c>
      <x:c r="G28" s="16" t="n">
        <x:v>0</x:v>
      </x:c>
      <x:c r="H28" s="16" t="n">
        <x:v>0</x:v>
      </x:c>
      <x:c r="I28" s="16" t="n">
        <x:v>997498.3139262889</x:v>
      </x:c>
      <x:c r="J28" s="16" t="n">
        <x:v>1005158.1495242068</x:v>
      </x:c>
      <x:c r="K28" s="16" t="n">
        <x:v>-7659.835597918136</x:v>
      </x:c>
      <x:c r="L28" s="18" t="n">
        <x:v>-0.0076205277761951</x:v>
      </x:c>
      <x:c r="M28" s="18" t="n">
        <x:v>0</x:v>
      </x:c>
      <x:c r="O28" t="str">
        <x:v>2021-06-17</x:v>
      </x:c>
      <x:c r="P28" t="n">
        <x:v>997498.3139262889</x:v>
      </x:c>
    </x:row>
    <x:row r="29" ht="15" hidden="0" customHeight="1">
      <x:c r="A29" s="13" t="str">
        <x:v>2021-06-18</x:v>
      </x:c>
      <x:c r="B29" s="13" t="n">
        <x:v>0</x:v>
      </x:c>
      <x:c r="C29" s="13" t="n">
        <x:v>0</x:v>
      </x:c>
      <x:c r="D29" s="16" t="n">
        <x:v>0</x:v>
      </x:c>
      <x:c r="E29" s="16" t="n">
        <x:v>0</x:v>
      </x:c>
      <x:c r="F29" s="16" t="n">
        <x:v>0</x:v>
      </x:c>
      <x:c r="G29" s="16" t="n">
        <x:v>0</x:v>
      </x:c>
      <x:c r="H29" s="16" t="n">
        <x:v>0</x:v>
      </x:c>
      <x:c r="I29" s="16" t="n">
        <x:v>997498.3139262889</x:v>
      </x:c>
      <x:c r="J29" s="16" t="n">
        <x:v>1005158.1495242068</x:v>
      </x:c>
      <x:c r="K29" s="16" t="n">
        <x:v>-7659.835597918136</x:v>
      </x:c>
      <x:c r="L29" s="18" t="n">
        <x:v>-0.0076205277761951</x:v>
      </x:c>
      <x:c r="M29" s="18" t="n">
        <x:v>0</x:v>
      </x:c>
      <x:c r="O29" t="str">
        <x:v>2021-06-18</x:v>
      </x:c>
      <x:c r="P29" t="n">
        <x:v>997498.3139262889</x:v>
      </x:c>
    </x:row>
    <x:row r="30" ht="15" hidden="0" customHeight="1">
      <x:c r="A30" s="13" t="str">
        <x:v>2021-06-21</x:v>
      </x:c>
      <x:c r="B30" s="13" t="n">
        <x:v>0</x:v>
      </x:c>
      <x:c r="C30" s="13" t="n">
        <x:v>0</x:v>
      </x:c>
      <x:c r="D30" s="16" t="n">
        <x:v>0</x:v>
      </x:c>
      <x:c r="E30" s="16" t="n">
        <x:v>0</x:v>
      </x:c>
      <x:c r="F30" s="16" t="n">
        <x:v>0</x:v>
      </x:c>
      <x:c r="G30" s="16" t="n">
        <x:v>0</x:v>
      </x:c>
      <x:c r="H30" s="16" t="n">
        <x:v>0</x:v>
      </x:c>
      <x:c r="I30" s="16" t="n">
        <x:v>997498.3139262889</x:v>
      </x:c>
      <x:c r="J30" s="16" t="n">
        <x:v>1005158.1495242068</x:v>
      </x:c>
      <x:c r="K30" s="16" t="n">
        <x:v>-7659.835597918136</x:v>
      </x:c>
      <x:c r="L30" s="18" t="n">
        <x:v>-0.0076205277761951</x:v>
      </x:c>
      <x:c r="M30" s="18" t="n">
        <x:v>0</x:v>
      </x:c>
      <x:c r="O30" t="str">
        <x:v>2021-06-21</x:v>
      </x:c>
      <x:c r="P30" t="n">
        <x:v>997498.3139262889</x:v>
      </x:c>
    </x:row>
    <x:row r="31" ht="15" hidden="0" customHeight="1">
      <x:c r="A31" s="13" t="str">
        <x:v>2021-06-22</x:v>
      </x:c>
      <x:c r="B31" s="13" t="n">
        <x:v>0</x:v>
      </x:c>
      <x:c r="C31" s="13" t="n">
        <x:v>0</x:v>
      </x:c>
      <x:c r="D31" s="16" t="n">
        <x:v>0</x:v>
      </x:c>
      <x:c r="E31" s="16" t="n">
        <x:v>0</x:v>
      </x:c>
      <x:c r="F31" s="16" t="n">
        <x:v>0</x:v>
      </x:c>
      <x:c r="G31" s="16" t="n">
        <x:v>0</x:v>
      </x:c>
      <x:c r="H31" s="16" t="n">
        <x:v>0</x:v>
      </x:c>
      <x:c r="I31" s="16" t="n">
        <x:v>997498.3139262889</x:v>
      </x:c>
      <x:c r="J31" s="16" t="n">
        <x:v>1005158.1495242068</x:v>
      </x:c>
      <x:c r="K31" s="16" t="n">
        <x:v>-7659.835597918136</x:v>
      </x:c>
      <x:c r="L31" s="18" t="n">
        <x:v>-0.0076205277761951</x:v>
      </x:c>
      <x:c r="M31" s="18" t="n">
        <x:v>0</x:v>
      </x:c>
      <x:c r="O31" t="str">
        <x:v>2021-06-22</x:v>
      </x:c>
      <x:c r="P31" t="n">
        <x:v>997498.3139262889</x:v>
      </x:c>
    </x:row>
    <x:row r="32" ht="15" hidden="0" customHeight="1">
      <x:c r="A32" s="13" t="str">
        <x:v>2021-06-23</x:v>
      </x:c>
      <x:c r="B32" s="13" t="n">
        <x:v>0</x:v>
      </x:c>
      <x:c r="C32" s="13" t="n">
        <x:v>0</x:v>
      </x:c>
      <x:c r="D32" s="16" t="n">
        <x:v>0</x:v>
      </x:c>
      <x:c r="E32" s="16" t="n">
        <x:v>0</x:v>
      </x:c>
      <x:c r="F32" s="16" t="n">
        <x:v>0</x:v>
      </x:c>
      <x:c r="G32" s="16" t="n">
        <x:v>0</x:v>
      </x:c>
      <x:c r="H32" s="16" t="n">
        <x:v>0</x:v>
      </x:c>
      <x:c r="I32" s="16" t="n">
        <x:v>997498.3139262889</x:v>
      </x:c>
      <x:c r="J32" s="16" t="n">
        <x:v>1005158.1495242068</x:v>
      </x:c>
      <x:c r="K32" s="16" t="n">
        <x:v>-7659.835597918136</x:v>
      </x:c>
      <x:c r="L32" s="18" t="n">
        <x:v>-0.0076205277761951</x:v>
      </x:c>
      <x:c r="M32" s="18" t="n">
        <x:v>0</x:v>
      </x:c>
      <x:c r="O32" t="str">
        <x:v>2021-06-23</x:v>
      </x:c>
      <x:c r="P32" t="n">
        <x:v>997498.3139262889</x:v>
      </x:c>
    </x:row>
    <x:row r="33" ht="15" hidden="0" customHeight="1">
      <x:c r="A33" s="13" t="str">
        <x:v>2021-06-24</x:v>
      </x:c>
      <x:c r="B33" s="13" t="n">
        <x:v>0</x:v>
      </x:c>
      <x:c r="C33" s="13" t="n">
        <x:v>0</x:v>
      </x:c>
      <x:c r="D33" s="16" t="n">
        <x:v>0</x:v>
      </x:c>
      <x:c r="E33" s="16" t="n">
        <x:v>0</x:v>
      </x:c>
      <x:c r="F33" s="16" t="n">
        <x:v>0</x:v>
      </x:c>
      <x:c r="G33" s="16" t="n">
        <x:v>0</x:v>
      </x:c>
      <x:c r="H33" s="16" t="n">
        <x:v>0</x:v>
      </x:c>
      <x:c r="I33" s="16" t="n">
        <x:v>997498.3139262889</x:v>
      </x:c>
      <x:c r="J33" s="16" t="n">
        <x:v>1005158.1495242068</x:v>
      </x:c>
      <x:c r="K33" s="16" t="n">
        <x:v>-7659.835597918136</x:v>
      </x:c>
      <x:c r="L33" s="18" t="n">
        <x:v>-0.0076205277761951</x:v>
      </x:c>
      <x:c r="M33" s="18" t="n">
        <x:v>0</x:v>
      </x:c>
      <x:c r="O33" t="str">
        <x:v>2021-06-24</x:v>
      </x:c>
      <x:c r="P33" t="n">
        <x:v>997498.3139262889</x:v>
      </x:c>
    </x:row>
    <x:row r="34" ht="15" hidden="0" customHeight="1">
      <x:c r="A34" s="13" t="str">
        <x:v>2021-06-25</x:v>
      </x:c>
      <x:c r="B34" s="13" t="n">
        <x:v>0</x:v>
      </x:c>
      <x:c r="C34" s="13" t="n">
        <x:v>0</x:v>
      </x:c>
      <x:c r="D34" s="16" t="n">
        <x:v>0</x:v>
      </x:c>
      <x:c r="E34" s="16" t="n">
        <x:v>0</x:v>
      </x:c>
      <x:c r="F34" s="16" t="n">
        <x:v>0</x:v>
      </x:c>
      <x:c r="G34" s="16" t="n">
        <x:v>0</x:v>
      </x:c>
      <x:c r="H34" s="16" t="n">
        <x:v>0</x:v>
      </x:c>
      <x:c r="I34" s="16" t="n">
        <x:v>997498.3139262889</x:v>
      </x:c>
      <x:c r="J34" s="16" t="n">
        <x:v>1005158.1495242068</x:v>
      </x:c>
      <x:c r="K34" s="16" t="n">
        <x:v>-7659.835597918136</x:v>
      </x:c>
      <x:c r="L34" s="18" t="n">
        <x:v>-0.0076205277761951</x:v>
      </x:c>
      <x:c r="M34" s="18" t="n">
        <x:v>0</x:v>
      </x:c>
      <x:c r="O34" t="str">
        <x:v>2021-06-25</x:v>
      </x:c>
      <x:c r="P34" t="n">
        <x:v>997498.3139262889</x:v>
      </x:c>
    </x:row>
    <x:row r="35" ht="15" hidden="0" customHeight="1">
      <x:c r="A35" s="13" t="str">
        <x:v>2021-06-28</x:v>
      </x:c>
      <x:c r="B35" s="13" t="n">
        <x:v>0</x:v>
      </x:c>
      <x:c r="C35" s="13" t="n">
        <x:v>0</x:v>
      </x:c>
      <x:c r="D35" s="16" t="n">
        <x:v>0</x:v>
      </x:c>
      <x:c r="E35" s="16" t="n">
        <x:v>0</x:v>
      </x:c>
      <x:c r="F35" s="16" t="n">
        <x:v>0</x:v>
      </x:c>
      <x:c r="G35" s="16" t="n">
        <x:v>0</x:v>
      </x:c>
      <x:c r="H35" s="16" t="n">
        <x:v>0</x:v>
      </x:c>
      <x:c r="I35" s="16" t="n">
        <x:v>997498.3139262889</x:v>
      </x:c>
      <x:c r="J35" s="16" t="n">
        <x:v>1005158.1495242068</x:v>
      </x:c>
      <x:c r="K35" s="16" t="n">
        <x:v>-7659.835597918136</x:v>
      </x:c>
      <x:c r="L35" s="18" t="n">
        <x:v>-0.0076205277761951</x:v>
      </x:c>
      <x:c r="M35" s="18" t="n">
        <x:v>0</x:v>
      </x:c>
      <x:c r="O35" t="str">
        <x:v>2021-06-28</x:v>
      </x:c>
      <x:c r="P35" t="n">
        <x:v>997498.3139262889</x:v>
      </x:c>
    </x:row>
    <x:row r="36" ht="15" hidden="0" customHeight="1">
      <x:c r="A36" s="13" t="str">
        <x:v>2021-06-29</x:v>
      </x:c>
      <x:c r="B36" s="13" t="n">
        <x:v>0</x:v>
      </x:c>
      <x:c r="C36" s="13" t="n">
        <x:v>0</x:v>
      </x:c>
      <x:c r="D36" s="16" t="n">
        <x:v>0</x:v>
      </x:c>
      <x:c r="E36" s="16" t="n">
        <x:v>0</x:v>
      </x:c>
      <x:c r="F36" s="16" t="n">
        <x:v>0</x:v>
      </x:c>
      <x:c r="G36" s="16" t="n">
        <x:v>0</x:v>
      </x:c>
      <x:c r="H36" s="16" t="n">
        <x:v>0</x:v>
      </x:c>
      <x:c r="I36" s="16" t="n">
        <x:v>997498.3139262889</x:v>
      </x:c>
      <x:c r="J36" s="16" t="n">
        <x:v>1005158.1495242068</x:v>
      </x:c>
      <x:c r="K36" s="16" t="n">
        <x:v>-7659.835597918136</x:v>
      </x:c>
      <x:c r="L36" s="18" t="n">
        <x:v>-0.0076205277761951</x:v>
      </x:c>
      <x:c r="M36" s="18" t="n">
        <x:v>0</x:v>
      </x:c>
      <x:c r="O36" t="str">
        <x:v>2021-06-29</x:v>
      </x:c>
      <x:c r="P36" t="n">
        <x:v>997498.3139262889</x:v>
      </x:c>
    </x:row>
    <x:row r="37" ht="15" hidden="0" customHeight="1">
      <x:c r="A37" s="13" t="str">
        <x:v>2021-06-30</x:v>
      </x:c>
      <x:c r="B37" s="13" t="n">
        <x:v>0</x:v>
      </x:c>
      <x:c r="C37" s="13" t="n">
        <x:v>0</x:v>
      </x:c>
      <x:c r="D37" s="16" t="n">
        <x:v>0</x:v>
      </x:c>
      <x:c r="E37" s="16" t="n">
        <x:v>0</x:v>
      </x:c>
      <x:c r="F37" s="16" t="n">
        <x:v>0</x:v>
      </x:c>
      <x:c r="G37" s="16" t="n">
        <x:v>0</x:v>
      </x:c>
      <x:c r="H37" s="16" t="n">
        <x:v>0</x:v>
      </x:c>
      <x:c r="I37" s="16" t="n">
        <x:v>997498.3139262889</x:v>
      </x:c>
      <x:c r="J37" s="16" t="n">
        <x:v>1005158.1495242068</x:v>
      </x:c>
      <x:c r="K37" s="16" t="n">
        <x:v>-7659.835597918136</x:v>
      </x:c>
      <x:c r="L37" s="18" t="n">
        <x:v>-0.0076205277761951</x:v>
      </x:c>
      <x:c r="M37" s="18" t="n">
        <x:v>0</x:v>
      </x:c>
      <x:c r="O37" t="str">
        <x:v>2021-06-30</x:v>
      </x:c>
      <x:c r="P37" t="n">
        <x:v>997498.3139262889</x:v>
      </x:c>
    </x:row>
    <x:row r="38" ht="15" hidden="0" customHeight="1">
      <x:c r="A38" s="13" t="str">
        <x:v>2021-07-01</x:v>
      </x:c>
      <x:c r="B38" s="13" t="n">
        <x:v>0</x:v>
      </x:c>
      <x:c r="C38" s="13" t="n">
        <x:v>0</x:v>
      </x:c>
      <x:c r="D38" s="16" t="n">
        <x:v>0</x:v>
      </x:c>
      <x:c r="E38" s="16" t="n">
        <x:v>0</x:v>
      </x:c>
      <x:c r="F38" s="16" t="n">
        <x:v>0</x:v>
      </x:c>
      <x:c r="G38" s="16" t="n">
        <x:v>0</x:v>
      </x:c>
      <x:c r="H38" s="16" t="n">
        <x:v>0</x:v>
      </x:c>
      <x:c r="I38" s="16" t="n">
        <x:v>997498.3139262889</x:v>
      </x:c>
      <x:c r="J38" s="16" t="n">
        <x:v>1005158.1495242068</x:v>
      </x:c>
      <x:c r="K38" s="16" t="n">
        <x:v>-7659.835597918136</x:v>
      </x:c>
      <x:c r="L38" s="18" t="n">
        <x:v>-0.0076205277761951</x:v>
      </x:c>
      <x:c r="M38" s="18" t="n">
        <x:v>0</x:v>
      </x:c>
      <x:c r="O38" t="str">
        <x:v>2021-07-01</x:v>
      </x:c>
      <x:c r="P38" t="n">
        <x:v>997498.3139262889</x:v>
      </x:c>
    </x:row>
    <x:row r="39" ht="15" hidden="0" customHeight="1">
      <x:c r="A39" s="13" t="str">
        <x:v>2021-07-02</x:v>
      </x:c>
      <x:c r="B39" s="13" t="n">
        <x:v>0</x:v>
      </x:c>
      <x:c r="C39" s="13" t="n">
        <x:v>0</x:v>
      </x:c>
      <x:c r="D39" s="16" t="n">
        <x:v>0</x:v>
      </x:c>
      <x:c r="E39" s="16" t="n">
        <x:v>0</x:v>
      </x:c>
      <x:c r="F39" s="16" t="n">
        <x:v>0</x:v>
      </x:c>
      <x:c r="G39" s="16" t="n">
        <x:v>0</x:v>
      </x:c>
      <x:c r="H39" s="16" t="n">
        <x:v>0</x:v>
      </x:c>
      <x:c r="I39" s="16" t="n">
        <x:v>997498.3139262889</x:v>
      </x:c>
      <x:c r="J39" s="16" t="n">
        <x:v>1005158.1495242068</x:v>
      </x:c>
      <x:c r="K39" s="16" t="n">
        <x:v>-7659.835597918136</x:v>
      </x:c>
      <x:c r="L39" s="18" t="n">
        <x:v>-0.0076205277761951</x:v>
      </x:c>
      <x:c r="M39" s="18" t="n">
        <x:v>0</x:v>
      </x:c>
      <x:c r="O39" t="str">
        <x:v>2021-07-02</x:v>
      </x:c>
      <x:c r="P39" t="n">
        <x:v>997498.3139262889</x:v>
      </x:c>
    </x:row>
    <x:row r="40" ht="15" hidden="0" customHeight="1">
      <x:c r="A40" s="13" t="str">
        <x:v>2021-07-05</x:v>
      </x:c>
      <x:c r="B40" s="13" t="n">
        <x:v>0</x:v>
      </x:c>
      <x:c r="C40" s="13" t="n">
        <x:v>0</x:v>
      </x:c>
      <x:c r="D40" s="16" t="n">
        <x:v>0</x:v>
      </x:c>
      <x:c r="E40" s="16" t="n">
        <x:v>0</x:v>
      </x:c>
      <x:c r="F40" s="16" t="n">
        <x:v>0</x:v>
      </x:c>
      <x:c r="G40" s="16" t="n">
        <x:v>0</x:v>
      </x:c>
      <x:c r="H40" s="16" t="n">
        <x:v>0</x:v>
      </x:c>
      <x:c r="I40" s="16" t="n">
        <x:v>997498.3139262889</x:v>
      </x:c>
      <x:c r="J40" s="16" t="n">
        <x:v>1005158.1495242068</x:v>
      </x:c>
      <x:c r="K40" s="16" t="n">
        <x:v>-7659.835597918136</x:v>
      </x:c>
      <x:c r="L40" s="18" t="n">
        <x:v>-0.0076205277761951</x:v>
      </x:c>
      <x:c r="M40" s="18" t="n">
        <x:v>0</x:v>
      </x:c>
      <x:c r="O40" t="str">
        <x:v>2021-07-05</x:v>
      </x:c>
      <x:c r="P40" t="n">
        <x:v>997498.3139262889</x:v>
      </x:c>
    </x:row>
    <x:row r="41" ht="15" hidden="0" customHeight="1">
      <x:c r="A41" s="13" t="str">
        <x:v>2021-07-06</x:v>
      </x:c>
      <x:c r="B41" s="13" t="n">
        <x:v>0</x:v>
      </x:c>
      <x:c r="C41" s="13" t="n">
        <x:v>0</x:v>
      </x:c>
      <x:c r="D41" s="16" t="n">
        <x:v>0</x:v>
      </x:c>
      <x:c r="E41" s="16" t="n">
        <x:v>0</x:v>
      </x:c>
      <x:c r="F41" s="16" t="n">
        <x:v>0</x:v>
      </x:c>
      <x:c r="G41" s="16" t="n">
        <x:v>0</x:v>
      </x:c>
      <x:c r="H41" s="16" t="n">
        <x:v>0</x:v>
      </x:c>
      <x:c r="I41" s="16" t="n">
        <x:v>997498.3139262889</x:v>
      </x:c>
      <x:c r="J41" s="16" t="n">
        <x:v>1005158.1495242068</x:v>
      </x:c>
      <x:c r="K41" s="16" t="n">
        <x:v>-7659.835597918136</x:v>
      </x:c>
      <x:c r="L41" s="18" t="n">
        <x:v>-0.0076205277761951</x:v>
      </x:c>
      <x:c r="M41" s="18" t="n">
        <x:v>0</x:v>
      </x:c>
      <x:c r="O41" t="str">
        <x:v>2021-07-06</x:v>
      </x:c>
      <x:c r="P41" t="n">
        <x:v>997498.3139262889</x:v>
      </x:c>
    </x:row>
    <x:row r="42" ht="15" hidden="0" customHeight="1">
      <x:c r="A42" s="13" t="str">
        <x:v>2021-07-07</x:v>
      </x:c>
      <x:c r="B42" s="13" t="n">
        <x:v>0</x:v>
      </x:c>
      <x:c r="C42" s="13" t="n">
        <x:v>0</x:v>
      </x:c>
      <x:c r="D42" s="16" t="n">
        <x:v>0</x:v>
      </x:c>
      <x:c r="E42" s="16" t="n">
        <x:v>0</x:v>
      </x:c>
      <x:c r="F42" s="16" t="n">
        <x:v>0</x:v>
      </x:c>
      <x:c r="G42" s="16" t="n">
        <x:v>0</x:v>
      </x:c>
      <x:c r="H42" s="16" t="n">
        <x:v>0</x:v>
      </x:c>
      <x:c r="I42" s="16" t="n">
        <x:v>997498.3139262889</x:v>
      </x:c>
      <x:c r="J42" s="16" t="n">
        <x:v>1005158.1495242068</x:v>
      </x:c>
      <x:c r="K42" s="16" t="n">
        <x:v>-7659.835597918136</x:v>
      </x:c>
      <x:c r="L42" s="18" t="n">
        <x:v>-0.0076205277761951</x:v>
      </x:c>
      <x:c r="M42" s="18" t="n">
        <x:v>0</x:v>
      </x:c>
      <x:c r="O42" t="str">
        <x:v>2021-07-07</x:v>
      </x:c>
      <x:c r="P42" t="n">
        <x:v>997498.3139262889</x:v>
      </x:c>
    </x:row>
    <x:row r="43" ht="15" hidden="0" customHeight="1">
      <x:c r="A43" s="13" t="str">
        <x:v>2021-07-08</x:v>
      </x:c>
      <x:c r="B43" s="13" t="n">
        <x:v>1</x:v>
      </x:c>
      <x:c r="C43" s="13" t="n">
        <x:v>4</x:v>
      </x:c>
      <x:c r="D43" s="16" t="n">
        <x:v>6989.999999999999</x:v>
      </x:c>
      <x:c r="E43" s="16" t="n">
        <x:v>370.7637544954091</x:v>
      </x:c>
      <x:c r="F43" s="16" t="n">
        <x:v>6619.2362455045895</x:v>
      </x:c>
      <x:c r="G43" s="16" t="n">
        <x:v>19746.216778066027</x:v>
      </x:c>
      <x:c r="H43" s="16" t="n">
        <x:v>233230.3404867786</x:v>
      </x:c>
      <x:c r="I43" s="16" t="n">
        <x:v>1004117.5501717932</x:v>
      </x:c>
      <x:c r="J43" s="16" t="n">
        <x:v>1005158.1495242068</x:v>
      </x:c>
      <x:c r="K43" s="16" t="n">
        <x:v>-1040.5993524135556</x:v>
      </x:c>
      <x:c r="L43" s="18" t="n">
        <x:v>-0.0010352593299931</x:v>
      </x:c>
      <x:c r="M43" s="18" t="n">
        <x:v>0.0066358370265813</x:v>
      </x:c>
      <x:c r="O43" t="str">
        <x:v>2021-07-08</x:v>
      </x:c>
      <x:c r="P43" t="n">
        <x:v>1004117.5501717932</x:v>
      </x:c>
    </x:row>
    <x:row r="44" ht="15" hidden="0" customHeight="1">
      <x:c r="A44" s="13" t="str">
        <x:v>2021-07-09</x:v>
      </x:c>
      <x:c r="B44" s="13" t="n">
        <x:v>0</x:v>
      </x:c>
      <x:c r="C44" s="13" t="n">
        <x:v>0</x:v>
      </x:c>
      <x:c r="D44" s="16" t="n">
        <x:v>0</x:v>
      </x:c>
      <x:c r="E44" s="16" t="n">
        <x:v>0</x:v>
      </x:c>
      <x:c r="F44" s="16" t="n">
        <x:v>0</x:v>
      </x:c>
      <x:c r="G44" s="16" t="n">
        <x:v>0</x:v>
      </x:c>
      <x:c r="H44" s="16" t="n">
        <x:v>0</x:v>
      </x:c>
      <x:c r="I44" s="16" t="n">
        <x:v>1004117.5501717932</x:v>
      </x:c>
      <x:c r="J44" s="16" t="n">
        <x:v>1005158.1495242068</x:v>
      </x:c>
      <x:c r="K44" s="16" t="n">
        <x:v>-1040.5993524135556</x:v>
      </x:c>
      <x:c r="L44" s="18" t="n">
        <x:v>-0.0010352593299931</x:v>
      </x:c>
      <x:c r="M44" s="18" t="n">
        <x:v>0</x:v>
      </x:c>
      <x:c r="O44" t="str">
        <x:v>2021-07-09</x:v>
      </x:c>
      <x:c r="P44" t="n">
        <x:v>1004117.5501717932</x:v>
      </x:c>
    </x:row>
    <x:row r="45" ht="15" hidden="0" customHeight="1">
      <x:c r="A45" s="13" t="str">
        <x:v>2021-07-12</x:v>
      </x:c>
      <x:c r="B45" s="13" t="n">
        <x:v>0</x:v>
      </x:c>
      <x:c r="C45" s="13" t="n">
        <x:v>0</x:v>
      </x:c>
      <x:c r="D45" s="16" t="n">
        <x:v>0</x:v>
      </x:c>
      <x:c r="E45" s="16" t="n">
        <x:v>0</x:v>
      </x:c>
      <x:c r="F45" s="16" t="n">
        <x:v>0</x:v>
      </x:c>
      <x:c r="G45" s="16" t="n">
        <x:v>0</x:v>
      </x:c>
      <x:c r="H45" s="16" t="n">
        <x:v>0</x:v>
      </x:c>
      <x:c r="I45" s="16" t="n">
        <x:v>1004117.5501717932</x:v>
      </x:c>
      <x:c r="J45" s="16" t="n">
        <x:v>1005158.1495242068</x:v>
      </x:c>
      <x:c r="K45" s="16" t="n">
        <x:v>-1040.5993524135556</x:v>
      </x:c>
      <x:c r="L45" s="18" t="n">
        <x:v>-0.0010352593299931</x:v>
      </x:c>
      <x:c r="M45" s="18" t="n">
        <x:v>0</x:v>
      </x:c>
      <x:c r="O45" t="str">
        <x:v>2021-07-12</x:v>
      </x:c>
      <x:c r="P45" t="n">
        <x:v>1004117.5501717932</x:v>
      </x:c>
    </x:row>
    <x:row r="46" ht="15" hidden="0" customHeight="1">
      <x:c r="A46" s="13" t="str">
        <x:v>2021-07-13</x:v>
      </x:c>
      <x:c r="B46" s="13" t="n">
        <x:v>0</x:v>
      </x:c>
      <x:c r="C46" s="13" t="n">
        <x:v>0</x:v>
      </x:c>
      <x:c r="D46" s="16" t="n">
        <x:v>0</x:v>
      </x:c>
      <x:c r="E46" s="16" t="n">
        <x:v>0</x:v>
      </x:c>
      <x:c r="F46" s="16" t="n">
        <x:v>0</x:v>
      </x:c>
      <x:c r="G46" s="16" t="n">
        <x:v>0</x:v>
      </x:c>
      <x:c r="H46" s="16" t="n">
        <x:v>0</x:v>
      </x:c>
      <x:c r="I46" s="16" t="n">
        <x:v>1004117.5501717932</x:v>
      </x:c>
      <x:c r="J46" s="16" t="n">
        <x:v>1005158.1495242068</x:v>
      </x:c>
      <x:c r="K46" s="16" t="n">
        <x:v>-1040.5993524135556</x:v>
      </x:c>
      <x:c r="L46" s="18" t="n">
        <x:v>-0.0010352593299931</x:v>
      </x:c>
      <x:c r="M46" s="18" t="n">
        <x:v>0</x:v>
      </x:c>
      <x:c r="O46" t="str">
        <x:v>2021-07-13</x:v>
      </x:c>
      <x:c r="P46" t="n">
        <x:v>1004117.5501717932</x:v>
      </x:c>
    </x:row>
    <x:row r="47" ht="15" hidden="0" customHeight="1">
      <x:c r="A47" s="13" t="str">
        <x:v>2021-07-14</x:v>
      </x:c>
      <x:c r="B47" s="13" t="n">
        <x:v>0</x:v>
      </x:c>
      <x:c r="C47" s="13" t="n">
        <x:v>0</x:v>
      </x:c>
      <x:c r="D47" s="16" t="n">
        <x:v>0</x:v>
      </x:c>
      <x:c r="E47" s="16" t="n">
        <x:v>0</x:v>
      </x:c>
      <x:c r="F47" s="16" t="n">
        <x:v>0</x:v>
      </x:c>
      <x:c r="G47" s="16" t="n">
        <x:v>0</x:v>
      </x:c>
      <x:c r="H47" s="16" t="n">
        <x:v>0</x:v>
      </x:c>
      <x:c r="I47" s="16" t="n">
        <x:v>1004117.5501717932</x:v>
      </x:c>
      <x:c r="J47" s="16" t="n">
        <x:v>1005158.1495242068</x:v>
      </x:c>
      <x:c r="K47" s="16" t="n">
        <x:v>-1040.5993524135556</x:v>
      </x:c>
      <x:c r="L47" s="18" t="n">
        <x:v>-0.0010352593299931</x:v>
      </x:c>
      <x:c r="M47" s="18" t="n">
        <x:v>0</x:v>
      </x:c>
      <x:c r="O47" t="str">
        <x:v>2021-07-14</x:v>
      </x:c>
      <x:c r="P47" t="n">
        <x:v>1004117.5501717932</x:v>
      </x:c>
    </x:row>
    <x:row r="48" ht="15" hidden="0" customHeight="1">
      <x:c r="A48" s="13" t="str">
        <x:v>2021-07-15</x:v>
      </x:c>
      <x:c r="B48" s="13" t="n">
        <x:v>1</x:v>
      </x:c>
      <x:c r="C48" s="13" t="n">
        <x:v>5</x:v>
      </x:c>
      <x:c r="D48" s="16" t="n">
        <x:v>599.9999999999999</x:v>
      </x:c>
      <x:c r="E48" s="16" t="n">
        <x:v>445.3416598508754</x:v>
      </x:c>
      <x:c r="F48" s="16" t="n">
        <x:v>154.65834014912446</x:v>
      </x:c>
      <x:c r="G48" s="16" t="n">
        <x:v>48927.98962007767</x:v>
      </x:c>
      <x:c r="H48" s="16" t="n">
        <x:v>293261.4147425243</x:v>
      </x:c>
      <x:c r="I48" s="16" t="n">
        <x:v>1004272.2085119424</x:v>
      </x:c>
      <x:c r="J48" s="16" t="n">
        <x:v>1005158.1495242068</x:v>
      </x:c>
      <x:c r="K48" s="16" t="n">
        <x:v>-885.9410122644622</x:v>
      </x:c>
      <x:c r="L48" s="18" t="n">
        <x:v>-0.0008813946468859</x:v>
      </x:c>
      <x:c r="M48" s="18" t="n">
        <x:v>0.0001540241380331</x:v>
      </x:c>
      <x:c r="O48" t="str">
        <x:v>2021-07-15</x:v>
      </x:c>
      <x:c r="P48" t="n">
        <x:v>1004272.2085119424</x:v>
      </x:c>
    </x:row>
    <x:row r="49" ht="15" hidden="0" customHeight="1">
      <x:c r="A49" s="13" t="str">
        <x:v>2021-07-16</x:v>
      </x:c>
      <x:c r="B49" s="13" t="n">
        <x:v>0</x:v>
      </x:c>
      <x:c r="C49" s="13" t="n">
        <x:v>0</x:v>
      </x:c>
      <x:c r="D49" s="16" t="n">
        <x:v>0</x:v>
      </x:c>
      <x:c r="E49" s="16" t="n">
        <x:v>0</x:v>
      </x:c>
      <x:c r="F49" s="16" t="n">
        <x:v>0</x:v>
      </x:c>
      <x:c r="G49" s="16" t="n">
        <x:v>0</x:v>
      </x:c>
      <x:c r="H49" s="16" t="n">
        <x:v>0</x:v>
      </x:c>
      <x:c r="I49" s="16" t="n">
        <x:v>1004272.2085119424</x:v>
      </x:c>
      <x:c r="J49" s="16" t="n">
        <x:v>1005158.1495242068</x:v>
      </x:c>
      <x:c r="K49" s="16" t="n">
        <x:v>-885.9410122644622</x:v>
      </x:c>
      <x:c r="L49" s="18" t="n">
        <x:v>-0.0008813946468859</x:v>
      </x:c>
      <x:c r="M49" s="18" t="n">
        <x:v>0</x:v>
      </x:c>
      <x:c r="O49" t="str">
        <x:v>2021-07-16</x:v>
      </x:c>
      <x:c r="P49" t="n">
        <x:v>1004272.2085119424</x:v>
      </x:c>
    </x:row>
    <x:row r="50" ht="15" hidden="0" customHeight="1">
      <x:c r="A50" s="13" t="str">
        <x:v>2021-07-19</x:v>
      </x:c>
      <x:c r="B50" s="13" t="n">
        <x:v>0</x:v>
      </x:c>
      <x:c r="C50" s="13" t="n">
        <x:v>0</x:v>
      </x:c>
      <x:c r="D50" s="16" t="n">
        <x:v>0</x:v>
      </x:c>
      <x:c r="E50" s="16" t="n">
        <x:v>0</x:v>
      </x:c>
      <x:c r="F50" s="16" t="n">
        <x:v>0</x:v>
      </x:c>
      <x:c r="G50" s="16" t="n">
        <x:v>0</x:v>
      </x:c>
      <x:c r="H50" s="16" t="n">
        <x:v>0</x:v>
      </x:c>
      <x:c r="I50" s="16" t="n">
        <x:v>1004272.2085119424</x:v>
      </x:c>
      <x:c r="J50" s="16" t="n">
        <x:v>1005158.1495242068</x:v>
      </x:c>
      <x:c r="K50" s="16" t="n">
        <x:v>-885.9410122644622</x:v>
      </x:c>
      <x:c r="L50" s="18" t="n">
        <x:v>-0.0008813946468859</x:v>
      </x:c>
      <x:c r="M50" s="18" t="n">
        <x:v>0</x:v>
      </x:c>
      <x:c r="O50" t="str">
        <x:v>2021-07-19</x:v>
      </x:c>
      <x:c r="P50" t="n">
        <x:v>1004272.2085119424</x:v>
      </x:c>
    </x:row>
    <x:row r="51" ht="15" hidden="0" customHeight="1">
      <x:c r="A51" s="13" t="str">
        <x:v>2021-07-20</x:v>
      </x:c>
      <x:c r="B51" s="13" t="n">
        <x:v>0</x:v>
      </x:c>
      <x:c r="C51" s="13" t="n">
        <x:v>0</x:v>
      </x:c>
      <x:c r="D51" s="16" t="n">
        <x:v>0</x:v>
      </x:c>
      <x:c r="E51" s="16" t="n">
        <x:v>0</x:v>
      </x:c>
      <x:c r="F51" s="16" t="n">
        <x:v>0</x:v>
      </x:c>
      <x:c r="G51" s="16" t="n">
        <x:v>0</x:v>
      </x:c>
      <x:c r="H51" s="16" t="n">
        <x:v>0</x:v>
      </x:c>
      <x:c r="I51" s="16" t="n">
        <x:v>1004272.2085119424</x:v>
      </x:c>
      <x:c r="J51" s="16" t="n">
        <x:v>1005158.1495242068</x:v>
      </x:c>
      <x:c r="K51" s="16" t="n">
        <x:v>-885.9410122644622</x:v>
      </x:c>
      <x:c r="L51" s="18" t="n">
        <x:v>-0.0008813946468859</x:v>
      </x:c>
      <x:c r="M51" s="18" t="n">
        <x:v>0</x:v>
      </x:c>
      <x:c r="O51" t="str">
        <x:v>2021-07-20</x:v>
      </x:c>
      <x:c r="P51" t="n">
        <x:v>1004272.2085119424</x:v>
      </x:c>
    </x:row>
    <x:row r="52" ht="15" hidden="0" customHeight="1">
      <x:c r="A52" s="13" t="str">
        <x:v>2021-07-21</x:v>
      </x:c>
      <x:c r="B52" s="13" t="n">
        <x:v>0</x:v>
      </x:c>
      <x:c r="C52" s="13" t="n">
        <x:v>0</x:v>
      </x:c>
      <x:c r="D52" s="16" t="n">
        <x:v>0</x:v>
      </x:c>
      <x:c r="E52" s="16" t="n">
        <x:v>0</x:v>
      </x:c>
      <x:c r="F52" s="16" t="n">
        <x:v>0</x:v>
      </x:c>
      <x:c r="G52" s="16" t="n">
        <x:v>0</x:v>
      </x:c>
      <x:c r="H52" s="16" t="n">
        <x:v>0</x:v>
      </x:c>
      <x:c r="I52" s="16" t="n">
        <x:v>1004272.2085119424</x:v>
      </x:c>
      <x:c r="J52" s="16" t="n">
        <x:v>1005158.1495242068</x:v>
      </x:c>
      <x:c r="K52" s="16" t="n">
        <x:v>-885.9410122644622</x:v>
      </x:c>
      <x:c r="L52" s="18" t="n">
        <x:v>-0.0008813946468859</x:v>
      </x:c>
      <x:c r="M52" s="18" t="n">
        <x:v>0</x:v>
      </x:c>
      <x:c r="O52" t="str">
        <x:v>2021-07-21</x:v>
      </x:c>
      <x:c r="P52" t="n">
        <x:v>1004272.2085119424</x:v>
      </x:c>
    </x:row>
    <x:row r="53" ht="15" hidden="0" customHeight="1">
      <x:c r="A53" s="13" t="str">
        <x:v>2021-07-22</x:v>
      </x:c>
      <x:c r="B53" s="13" t="n">
        <x:v>0</x:v>
      </x:c>
      <x:c r="C53" s="13" t="n">
        <x:v>0</x:v>
      </x:c>
      <x:c r="D53" s="16" t="n">
        <x:v>0</x:v>
      </x:c>
      <x:c r="E53" s="16" t="n">
        <x:v>0</x:v>
      </x:c>
      <x:c r="F53" s="16" t="n">
        <x:v>0</x:v>
      </x:c>
      <x:c r="G53" s="16" t="n">
        <x:v>0</x:v>
      </x:c>
      <x:c r="H53" s="16" t="n">
        <x:v>0</x:v>
      </x:c>
      <x:c r="I53" s="16" t="n">
        <x:v>1004272.2085119424</x:v>
      </x:c>
      <x:c r="J53" s="16" t="n">
        <x:v>1005158.1495242068</x:v>
      </x:c>
      <x:c r="K53" s="16" t="n">
        <x:v>-885.9410122644622</x:v>
      </x:c>
      <x:c r="L53" s="18" t="n">
        <x:v>-0.0008813946468859</x:v>
      </x:c>
      <x:c r="M53" s="18" t="n">
        <x:v>0</x:v>
      </x:c>
      <x:c r="O53" t="str">
        <x:v>2021-07-22</x:v>
      </x:c>
      <x:c r="P53" t="n">
        <x:v>1004272.2085119424</x:v>
      </x:c>
    </x:row>
    <x:row r="54" ht="15" hidden="0" customHeight="1">
      <x:c r="A54" s="13" t="str">
        <x:v>2021-07-23</x:v>
      </x:c>
      <x:c r="B54" s="13" t="n">
        <x:v>0</x:v>
      </x:c>
      <x:c r="C54" s="13" t="n">
        <x:v>0</x:v>
      </x:c>
      <x:c r="D54" s="16" t="n">
        <x:v>0</x:v>
      </x:c>
      <x:c r="E54" s="16" t="n">
        <x:v>0</x:v>
      </x:c>
      <x:c r="F54" s="16" t="n">
        <x:v>0</x:v>
      </x:c>
      <x:c r="G54" s="16" t="n">
        <x:v>0</x:v>
      </x:c>
      <x:c r="H54" s="16" t="n">
        <x:v>0</x:v>
      </x:c>
      <x:c r="I54" s="16" t="n">
        <x:v>1004272.2085119424</x:v>
      </x:c>
      <x:c r="J54" s="16" t="n">
        <x:v>1005158.1495242068</x:v>
      </x:c>
      <x:c r="K54" s="16" t="n">
        <x:v>-885.9410122644622</x:v>
      </x:c>
      <x:c r="L54" s="18" t="n">
        <x:v>-0.0008813946468859</x:v>
      </x:c>
      <x:c r="M54" s="18" t="n">
        <x:v>0</x:v>
      </x:c>
      <x:c r="O54" t="str">
        <x:v>2021-07-23</x:v>
      </x:c>
      <x:c r="P54" t="n">
        <x:v>1004272.2085119424</x:v>
      </x:c>
    </x:row>
    <x:row r="55" ht="15" hidden="0" customHeight="1">
      <x:c r="A55" s="13" t="str">
        <x:v>2021-07-26</x:v>
      </x:c>
      <x:c r="B55" s="13" t="n">
        <x:v>0</x:v>
      </x:c>
      <x:c r="C55" s="13" t="n">
        <x:v>0</x:v>
      </x:c>
      <x:c r="D55" s="16" t="n">
        <x:v>0</x:v>
      </x:c>
      <x:c r="E55" s="16" t="n">
        <x:v>0</x:v>
      </x:c>
      <x:c r="F55" s="16" t="n">
        <x:v>0</x:v>
      </x:c>
      <x:c r="G55" s="16" t="n">
        <x:v>0</x:v>
      </x:c>
      <x:c r="H55" s="16" t="n">
        <x:v>0</x:v>
      </x:c>
      <x:c r="I55" s="16" t="n">
        <x:v>1004272.2085119424</x:v>
      </x:c>
      <x:c r="J55" s="16" t="n">
        <x:v>1005158.1495242068</x:v>
      </x:c>
      <x:c r="K55" s="16" t="n">
        <x:v>-885.9410122644622</x:v>
      </x:c>
      <x:c r="L55" s="18" t="n">
        <x:v>-0.0008813946468859</x:v>
      </x:c>
      <x:c r="M55" s="18" t="n">
        <x:v>0</x:v>
      </x:c>
      <x:c r="O55" t="str">
        <x:v>2021-07-26</x:v>
      </x:c>
      <x:c r="P55" t="n">
        <x:v>1004272.2085119424</x:v>
      </x:c>
    </x:row>
    <x:row r="56" ht="15" hidden="0" customHeight="1">
      <x:c r="A56" s="13" t="str">
        <x:v>2021-07-27</x:v>
      </x:c>
      <x:c r="B56" s="13" t="n">
        <x:v>0</x:v>
      </x:c>
      <x:c r="C56" s="13" t="n">
        <x:v>0</x:v>
      </x:c>
      <x:c r="D56" s="16" t="n">
        <x:v>0</x:v>
      </x:c>
      <x:c r="E56" s="16" t="n">
        <x:v>0</x:v>
      </x:c>
      <x:c r="F56" s="16" t="n">
        <x:v>0</x:v>
      </x:c>
      <x:c r="G56" s="16" t="n">
        <x:v>0</x:v>
      </x:c>
      <x:c r="H56" s="16" t="n">
        <x:v>0</x:v>
      </x:c>
      <x:c r="I56" s="16" t="n">
        <x:v>1004272.2085119424</x:v>
      </x:c>
      <x:c r="J56" s="16" t="n">
        <x:v>1005158.1495242068</x:v>
      </x:c>
      <x:c r="K56" s="16" t="n">
        <x:v>-885.9410122644622</x:v>
      </x:c>
      <x:c r="L56" s="18" t="n">
        <x:v>-0.0008813946468859</x:v>
      </x:c>
      <x:c r="M56" s="18" t="n">
        <x:v>0</x:v>
      </x:c>
      <x:c r="O56" t="str">
        <x:v>2021-07-27</x:v>
      </x:c>
      <x:c r="P56" t="n">
        <x:v>1004272.2085119424</x:v>
      </x:c>
    </x:row>
    <x:row r="57" ht="15" hidden="0" customHeight="1">
      <x:c r="A57" s="13" t="str">
        <x:v>2021-07-28</x:v>
      </x:c>
      <x:c r="B57" s="13" t="n">
        <x:v>0</x:v>
      </x:c>
      <x:c r="C57" s="13" t="n">
        <x:v>0</x:v>
      </x:c>
      <x:c r="D57" s="16" t="n">
        <x:v>0</x:v>
      </x:c>
      <x:c r="E57" s="16" t="n">
        <x:v>0</x:v>
      </x:c>
      <x:c r="F57" s="16" t="n">
        <x:v>0</x:v>
      </x:c>
      <x:c r="G57" s="16" t="n">
        <x:v>0</x:v>
      </x:c>
      <x:c r="H57" s="16" t="n">
        <x:v>0</x:v>
      </x:c>
      <x:c r="I57" s="16" t="n">
        <x:v>1004272.2085119424</x:v>
      </x:c>
      <x:c r="J57" s="16" t="n">
        <x:v>1005158.1495242068</x:v>
      </x:c>
      <x:c r="K57" s="16" t="n">
        <x:v>-885.9410122644622</x:v>
      </x:c>
      <x:c r="L57" s="18" t="n">
        <x:v>-0.0008813946468859</x:v>
      </x:c>
      <x:c r="M57" s="18" t="n">
        <x:v>0</x:v>
      </x:c>
      <x:c r="O57" t="str">
        <x:v>2021-07-28</x:v>
      </x:c>
      <x:c r="P57" t="n">
        <x:v>1004272.2085119424</x:v>
      </x:c>
    </x:row>
    <x:row r="58" ht="15" hidden="0" customHeight="1">
      <x:c r="A58" s="13" t="str">
        <x:v>2021-07-29</x:v>
      </x:c>
      <x:c r="B58" s="13" t="n">
        <x:v>1</x:v>
      </x:c>
      <x:c r="C58" s="13" t="n">
        <x:v>6</x:v>
      </x:c>
      <x:c r="D58" s="16" t="n">
        <x:v>2744.9999999999995</x:v>
      </x:c>
      <x:c r="E58" s="16" t="n">
        <x:v>353.14353677241746</x:v>
      </x:c>
      <x:c r="F58" s="16" t="n">
        <x:v>2391.856463227582</x:v>
      </x:c>
      <x:c r="G58" s="16" t="n">
        <x:v>17924.9563991319</x:v>
      </x:c>
      <x:c r="H58" s="16" t="n">
        <x:v>233899.3418717124</x:v>
      </x:c>
      <x:c r="I58" s="16" t="n">
        <x:v>1006664.06497517</x:v>
      </x:c>
      <x:c r="J58" s="16" t="n">
        <x:v>1006664.06497517</x:v>
      </x:c>
      <x:c r="K58" s="16" t="n">
        <x:v>0</x:v>
      </x:c>
      <x:c r="L58" s="18" t="n">
        <x:v>0</x:v>
      </x:c>
      <x:c r="M58" s="18" t="n">
        <x:v>0.002381681423577</x:v>
      </x:c>
      <x:c r="O58" t="str">
        <x:v>2021-07-29</x:v>
      </x:c>
      <x:c r="P58" t="n">
        <x:v>1006664.06497517</x:v>
      </x:c>
    </x:row>
    <x:row r="59" ht="15" hidden="0" customHeight="1">
      <x:c r="A59" s="13" t="str">
        <x:v>2021-07-30</x:v>
      </x:c>
      <x:c r="B59" s="13" t="n">
        <x:v>0</x:v>
      </x:c>
      <x:c r="C59" s="13" t="n">
        <x:v>0</x:v>
      </x:c>
      <x:c r="D59" s="16" t="n">
        <x:v>0</x:v>
      </x:c>
      <x:c r="E59" s="16" t="n">
        <x:v>0</x:v>
      </x:c>
      <x:c r="F59" s="16" t="n">
        <x:v>0</x:v>
      </x:c>
      <x:c r="G59" s="16" t="n">
        <x:v>0</x:v>
      </x:c>
      <x:c r="H59" s="16" t="n">
        <x:v>0</x:v>
      </x:c>
      <x:c r="I59" s="16" t="n">
        <x:v>1006664.06497517</x:v>
      </x:c>
      <x:c r="J59" s="16" t="n">
        <x:v>1006664.06497517</x:v>
      </x:c>
      <x:c r="K59" s="16" t="n">
        <x:v>0</x:v>
      </x:c>
      <x:c r="L59" s="18" t="n">
        <x:v>0</x:v>
      </x:c>
      <x:c r="M59" s="18" t="n">
        <x:v>0</x:v>
      </x:c>
      <x:c r="O59" t="str">
        <x:v>2021-07-30</x:v>
      </x:c>
      <x:c r="P59" t="n">
        <x:v>1006664.06497517</x:v>
      </x:c>
    </x:row>
    <x:row r="60" ht="15" hidden="0" customHeight="1">
      <x:c r="A60" s="13" t="str">
        <x:v>2021-08-02</x:v>
      </x:c>
      <x:c r="B60" s="13" t="n">
        <x:v>0</x:v>
      </x:c>
      <x:c r="C60" s="13" t="n">
        <x:v>0</x:v>
      </x:c>
      <x:c r="D60" s="16" t="n">
        <x:v>0</x:v>
      </x:c>
      <x:c r="E60" s="16" t="n">
        <x:v>0</x:v>
      </x:c>
      <x:c r="F60" s="16" t="n">
        <x:v>0</x:v>
      </x:c>
      <x:c r="G60" s="16" t="n">
        <x:v>0</x:v>
      </x:c>
      <x:c r="H60" s="16" t="n">
        <x:v>0</x:v>
      </x:c>
      <x:c r="I60" s="16" t="n">
        <x:v>1006664.06497517</x:v>
      </x:c>
      <x:c r="J60" s="16" t="n">
        <x:v>1006664.06497517</x:v>
      </x:c>
      <x:c r="K60" s="16" t="n">
        <x:v>0</x:v>
      </x:c>
      <x:c r="L60" s="18" t="n">
        <x:v>0</x:v>
      </x:c>
      <x:c r="M60" s="18" t="n">
        <x:v>0</x:v>
      </x:c>
      <x:c r="O60" t="str">
        <x:v>2021-08-02</x:v>
      </x:c>
      <x:c r="P60" t="n">
        <x:v>1006664.06497517</x:v>
      </x:c>
    </x:row>
    <x:row r="61" ht="15" hidden="0" customHeight="1">
      <x:c r="A61" s="13" t="str">
        <x:v>2021-08-03</x:v>
      </x:c>
      <x:c r="B61" s="13" t="n">
        <x:v>0</x:v>
      </x:c>
      <x:c r="C61" s="13" t="n">
        <x:v>0</x:v>
      </x:c>
      <x:c r="D61" s="16" t="n">
        <x:v>0</x:v>
      </x:c>
      <x:c r="E61" s="16" t="n">
        <x:v>0</x:v>
      </x:c>
      <x:c r="F61" s="16" t="n">
        <x:v>0</x:v>
      </x:c>
      <x:c r="G61" s="16" t="n">
        <x:v>0</x:v>
      </x:c>
      <x:c r="H61" s="16" t="n">
        <x:v>0</x:v>
      </x:c>
      <x:c r="I61" s="16" t="n">
        <x:v>1006664.06497517</x:v>
      </x:c>
      <x:c r="J61" s="16" t="n">
        <x:v>1006664.06497517</x:v>
      </x:c>
      <x:c r="K61" s="16" t="n">
        <x:v>0</x:v>
      </x:c>
      <x:c r="L61" s="18" t="n">
        <x:v>0</x:v>
      </x:c>
      <x:c r="M61" s="18" t="n">
        <x:v>0</x:v>
      </x:c>
      <x:c r="O61" t="str">
        <x:v>2021-08-03</x:v>
      </x:c>
      <x:c r="P61" t="n">
        <x:v>1006664.06497517</x:v>
      </x:c>
    </x:row>
    <x:row r="62" ht="15" hidden="0" customHeight="1">
      <x:c r="A62" s="13" t="str">
        <x:v>2021-08-04</x:v>
      </x:c>
      <x:c r="B62" s="13" t="n">
        <x:v>0</x:v>
      </x:c>
      <x:c r="C62" s="13" t="n">
        <x:v>0</x:v>
      </x:c>
      <x:c r="D62" s="16" t="n">
        <x:v>0</x:v>
      </x:c>
      <x:c r="E62" s="16" t="n">
        <x:v>0</x:v>
      </x:c>
      <x:c r="F62" s="16" t="n">
        <x:v>0</x:v>
      </x:c>
      <x:c r="G62" s="16" t="n">
        <x:v>0</x:v>
      </x:c>
      <x:c r="H62" s="16" t="n">
        <x:v>0</x:v>
      </x:c>
      <x:c r="I62" s="16" t="n">
        <x:v>1006664.06497517</x:v>
      </x:c>
      <x:c r="J62" s="16" t="n">
        <x:v>1006664.06497517</x:v>
      </x:c>
      <x:c r="K62" s="16" t="n">
        <x:v>0</x:v>
      </x:c>
      <x:c r="L62" s="18" t="n">
        <x:v>0</x:v>
      </x:c>
      <x:c r="M62" s="18" t="n">
        <x:v>0</x:v>
      </x:c>
      <x:c r="O62" t="str">
        <x:v>2021-08-04</x:v>
      </x:c>
      <x:c r="P62" t="n">
        <x:v>1006664.06497517</x:v>
      </x:c>
    </x:row>
    <x:row r="63" ht="15" hidden="0" customHeight="1">
      <x:c r="A63" s="13" t="str">
        <x:v>2021-08-05</x:v>
      </x:c>
      <x:c r="B63" s="13" t="n">
        <x:v>0</x:v>
      </x:c>
      <x:c r="C63" s="13" t="n">
        <x:v>0</x:v>
      </x:c>
      <x:c r="D63" s="16" t="n">
        <x:v>0</x:v>
      </x:c>
      <x:c r="E63" s="16" t="n">
        <x:v>0</x:v>
      </x:c>
      <x:c r="F63" s="16" t="n">
        <x:v>0</x:v>
      </x:c>
      <x:c r="G63" s="16" t="n">
        <x:v>0</x:v>
      </x:c>
      <x:c r="H63" s="16" t="n">
        <x:v>0</x:v>
      </x:c>
      <x:c r="I63" s="16" t="n">
        <x:v>1006664.06497517</x:v>
      </x:c>
      <x:c r="J63" s="16" t="n">
        <x:v>1006664.06497517</x:v>
      </x:c>
      <x:c r="K63" s="16" t="n">
        <x:v>0</x:v>
      </x:c>
      <x:c r="L63" s="18" t="n">
        <x:v>0</x:v>
      </x:c>
      <x:c r="M63" s="18" t="n">
        <x:v>0</x:v>
      </x:c>
      <x:c r="O63" t="str">
        <x:v>2021-08-05</x:v>
      </x:c>
      <x:c r="P63" t="n">
        <x:v>1006664.06497517</x:v>
      </x:c>
    </x:row>
    <x:row r="64" ht="15" hidden="0" customHeight="1">
      <x:c r="A64" s="13" t="str">
        <x:v>2021-08-06</x:v>
      </x:c>
      <x:c r="B64" s="13" t="n">
        <x:v>0</x:v>
      </x:c>
      <x:c r="C64" s="13" t="n">
        <x:v>0</x:v>
      </x:c>
      <x:c r="D64" s="16" t="n">
        <x:v>0</x:v>
      </x:c>
      <x:c r="E64" s="16" t="n">
        <x:v>0</x:v>
      </x:c>
      <x:c r="F64" s="16" t="n">
        <x:v>0</x:v>
      </x:c>
      <x:c r="G64" s="16" t="n">
        <x:v>0</x:v>
      </x:c>
      <x:c r="H64" s="16" t="n">
        <x:v>0</x:v>
      </x:c>
      <x:c r="I64" s="16" t="n">
        <x:v>1006664.06497517</x:v>
      </x:c>
      <x:c r="J64" s="16" t="n">
        <x:v>1006664.06497517</x:v>
      </x:c>
      <x:c r="K64" s="16" t="n">
        <x:v>0</x:v>
      </x:c>
      <x:c r="L64" s="18" t="n">
        <x:v>0</x:v>
      </x:c>
      <x:c r="M64" s="18" t="n">
        <x:v>0</x:v>
      </x:c>
      <x:c r="O64" t="str">
        <x:v>2021-08-06</x:v>
      </x:c>
      <x:c r="P64" t="n">
        <x:v>1006664.06497517</x:v>
      </x:c>
    </x:row>
    <x:row r="65" ht="15" hidden="0" customHeight="1">
      <x:c r="A65" s="13" t="str">
        <x:v>2021-08-09</x:v>
      </x:c>
      <x:c r="B65" s="13" t="n">
        <x:v>0</x:v>
      </x:c>
      <x:c r="C65" s="13" t="n">
        <x:v>0</x:v>
      </x:c>
      <x:c r="D65" s="16" t="n">
        <x:v>0</x:v>
      </x:c>
      <x:c r="E65" s="16" t="n">
        <x:v>0</x:v>
      </x:c>
      <x:c r="F65" s="16" t="n">
        <x:v>0</x:v>
      </x:c>
      <x:c r="G65" s="16" t="n">
        <x:v>0</x:v>
      </x:c>
      <x:c r="H65" s="16" t="n">
        <x:v>0</x:v>
      </x:c>
      <x:c r="I65" s="16" t="n">
        <x:v>1006664.06497517</x:v>
      </x:c>
      <x:c r="J65" s="16" t="n">
        <x:v>1006664.06497517</x:v>
      </x:c>
      <x:c r="K65" s="16" t="n">
        <x:v>0</x:v>
      </x:c>
      <x:c r="L65" s="18" t="n">
        <x:v>0</x:v>
      </x:c>
      <x:c r="M65" s="18" t="n">
        <x:v>0</x:v>
      </x:c>
      <x:c r="O65" t="str">
        <x:v>2021-08-09</x:v>
      </x:c>
      <x:c r="P65" t="n">
        <x:v>1006664.06497517</x:v>
      </x:c>
    </x:row>
    <x:row r="66" ht="15" hidden="0" customHeight="1">
      <x:c r="A66" s="13" t="str">
        <x:v>2021-08-10</x:v>
      </x:c>
      <x:c r="B66" s="13" t="n">
        <x:v>0</x:v>
      </x:c>
      <x:c r="C66" s="13" t="n">
        <x:v>0</x:v>
      </x:c>
      <x:c r="D66" s="16" t="n">
        <x:v>0</x:v>
      </x:c>
      <x:c r="E66" s="16" t="n">
        <x:v>0</x:v>
      </x:c>
      <x:c r="F66" s="16" t="n">
        <x:v>0</x:v>
      </x:c>
      <x:c r="G66" s="16" t="n">
        <x:v>0</x:v>
      </x:c>
      <x:c r="H66" s="16" t="n">
        <x:v>0</x:v>
      </x:c>
      <x:c r="I66" s="16" t="n">
        <x:v>1006664.06497517</x:v>
      </x:c>
      <x:c r="J66" s="16" t="n">
        <x:v>1006664.06497517</x:v>
      </x:c>
      <x:c r="K66" s="16" t="n">
        <x:v>0</x:v>
      </x:c>
      <x:c r="L66" s="18" t="n">
        <x:v>0</x:v>
      </x:c>
      <x:c r="M66" s="18" t="n">
        <x:v>0</x:v>
      </x:c>
      <x:c r="O66" t="str">
        <x:v>2021-08-10</x:v>
      </x:c>
      <x:c r="P66" t="n">
        <x:v>1006664.06497517</x:v>
      </x:c>
    </x:row>
    <x:row r="67" ht="15" hidden="0" customHeight="1">
      <x:c r="A67" s="13" t="str">
        <x:v>2021-08-11</x:v>
      </x:c>
      <x:c r="B67" s="13" t="n">
        <x:v>0</x:v>
      </x:c>
      <x:c r="C67" s="13" t="n">
        <x:v>0</x:v>
      </x:c>
      <x:c r="D67" s="16" t="n">
        <x:v>0</x:v>
      </x:c>
      <x:c r="E67" s="16" t="n">
        <x:v>0</x:v>
      </x:c>
      <x:c r="F67" s="16" t="n">
        <x:v>0</x:v>
      </x:c>
      <x:c r="G67" s="16" t="n">
        <x:v>0</x:v>
      </x:c>
      <x:c r="H67" s="16" t="n">
        <x:v>0</x:v>
      </x:c>
      <x:c r="I67" s="16" t="n">
        <x:v>1006664.06497517</x:v>
      </x:c>
      <x:c r="J67" s="16" t="n">
        <x:v>1006664.06497517</x:v>
      </x:c>
      <x:c r="K67" s="16" t="n">
        <x:v>0</x:v>
      </x:c>
      <x:c r="L67" s="18" t="n">
        <x:v>0</x:v>
      </x:c>
      <x:c r="M67" s="18" t="n">
        <x:v>0</x:v>
      </x:c>
      <x:c r="O67" t="str">
        <x:v>2021-08-11</x:v>
      </x:c>
      <x:c r="P67" t="n">
        <x:v>1006664.06497517</x:v>
      </x:c>
    </x:row>
    <x:row r="68" ht="15" hidden="0" customHeight="1">
      <x:c r="A68" s="13" t="str">
        <x:v>2021-08-12</x:v>
      </x:c>
      <x:c r="B68" s="13" t="n">
        <x:v>1</x:v>
      </x:c>
      <x:c r="C68" s="13" t="n">
        <x:v>6</x:v>
      </x:c>
      <x:c r="D68" s="16" t="n">
        <x:v>5445.000000000001</x:v>
      </x:c>
      <x:c r="E68" s="16" t="n">
        <x:v>352.2453358082605</x:v>
      </x:c>
      <x:c r="F68" s="16" t="n">
        <x:v>5092.754664191741</x:v>
      </x:c>
      <x:c r="G68" s="16" t="n">
        <x:v>19694.605663074635</x:v>
      </x:c>
      <x:c r="H68" s="16" t="n">
        <x:v>239104.21639416384</x:v>
      </x:c>
      <x:c r="I68" s="16" t="n">
        <x:v>1011756.8196393618</x:v>
      </x:c>
      <x:c r="J68" s="16" t="n">
        <x:v>1011756.8196393618</x:v>
      </x:c>
      <x:c r="K68" s="16" t="n">
        <x:v>0</x:v>
      </x:c>
      <x:c r="L68" s="18" t="n">
        <x:v>0</x:v>
      </x:c>
      <x:c r="M68" s="18" t="n">
        <x:v>0.0050590408870085</x:v>
      </x:c>
      <x:c r="O68" t="str">
        <x:v>2021-08-12</x:v>
      </x:c>
      <x:c r="P68" t="n">
        <x:v>1011756.8196393618</x:v>
      </x:c>
    </x:row>
    <x:row r="69" ht="15" hidden="0" customHeight="1">
      <x:c r="A69" s="13" t="str">
        <x:v>2021-08-13</x:v>
      </x:c>
      <x:c r="B69" s="13" t="n">
        <x:v>0</x:v>
      </x:c>
      <x:c r="C69" s="13" t="n">
        <x:v>0</x:v>
      </x:c>
      <x:c r="D69" s="16" t="n">
        <x:v>0</x:v>
      </x:c>
      <x:c r="E69" s="16" t="n">
        <x:v>0</x:v>
      </x:c>
      <x:c r="F69" s="16" t="n">
        <x:v>0</x:v>
      </x:c>
      <x:c r="G69" s="16" t="n">
        <x:v>0</x:v>
      </x:c>
      <x:c r="H69" s="16" t="n">
        <x:v>0</x:v>
      </x:c>
      <x:c r="I69" s="16" t="n">
        <x:v>1011756.8196393618</x:v>
      </x:c>
      <x:c r="J69" s="16" t="n">
        <x:v>1011756.8196393618</x:v>
      </x:c>
      <x:c r="K69" s="16" t="n">
        <x:v>0</x:v>
      </x:c>
      <x:c r="L69" s="18" t="n">
        <x:v>0</x:v>
      </x:c>
      <x:c r="M69" s="18" t="n">
        <x:v>0</x:v>
      </x:c>
      <x:c r="O69" t="str">
        <x:v>2021-08-13</x:v>
      </x:c>
      <x:c r="P69" t="n">
        <x:v>1011756.8196393618</x:v>
      </x:c>
    </x:row>
    <x:row r="70" ht="15" hidden="0" customHeight="1">
      <x:c r="A70" s="13" t="str">
        <x:v>2021-08-16</x:v>
      </x:c>
      <x:c r="B70" s="13" t="n">
        <x:v>0</x:v>
      </x:c>
      <x:c r="C70" s="13" t="n">
        <x:v>0</x:v>
      </x:c>
      <x:c r="D70" s="16" t="n">
        <x:v>0</x:v>
      </x:c>
      <x:c r="E70" s="16" t="n">
        <x:v>0</x:v>
      </x:c>
      <x:c r="F70" s="16" t="n">
        <x:v>0</x:v>
      </x:c>
      <x:c r="G70" s="16" t="n">
        <x:v>0</x:v>
      </x:c>
      <x:c r="H70" s="16" t="n">
        <x:v>0</x:v>
      </x:c>
      <x:c r="I70" s="16" t="n">
        <x:v>1011756.8196393618</x:v>
      </x:c>
      <x:c r="J70" s="16" t="n">
        <x:v>1011756.8196393618</x:v>
      </x:c>
      <x:c r="K70" s="16" t="n">
        <x:v>0</x:v>
      </x:c>
      <x:c r="L70" s="18" t="n">
        <x:v>0</x:v>
      </x:c>
      <x:c r="M70" s="18" t="n">
        <x:v>0</x:v>
      </x:c>
      <x:c r="O70" t="str">
        <x:v>2021-08-16</x:v>
      </x:c>
      <x:c r="P70" t="n">
        <x:v>1011756.8196393618</x:v>
      </x:c>
    </x:row>
    <x:row r="71" ht="15" hidden="0" customHeight="1">
      <x:c r="A71" s="13" t="str">
        <x:v>2021-08-17</x:v>
      </x:c>
      <x:c r="B71" s="13" t="n">
        <x:v>0</x:v>
      </x:c>
      <x:c r="C71" s="13" t="n">
        <x:v>0</x:v>
      </x:c>
      <x:c r="D71" s="16" t="n">
        <x:v>0</x:v>
      </x:c>
      <x:c r="E71" s="16" t="n">
        <x:v>0</x:v>
      </x:c>
      <x:c r="F71" s="16" t="n">
        <x:v>0</x:v>
      </x:c>
      <x:c r="G71" s="16" t="n">
        <x:v>0</x:v>
      </x:c>
      <x:c r="H71" s="16" t="n">
        <x:v>0</x:v>
      </x:c>
      <x:c r="I71" s="16" t="n">
        <x:v>1011756.8196393618</x:v>
      </x:c>
      <x:c r="J71" s="16" t="n">
        <x:v>1011756.8196393618</x:v>
      </x:c>
      <x:c r="K71" s="16" t="n">
        <x:v>0</x:v>
      </x:c>
      <x:c r="L71" s="18" t="n">
        <x:v>0</x:v>
      </x:c>
      <x:c r="M71" s="18" t="n">
        <x:v>0</x:v>
      </x:c>
      <x:c r="O71" t="str">
        <x:v>2021-08-17</x:v>
      </x:c>
      <x:c r="P71" t="n">
        <x:v>1011756.8196393618</x:v>
      </x:c>
    </x:row>
    <x:row r="72" ht="15" hidden="0" customHeight="1">
      <x:c r="A72" s="13" t="str">
        <x:v>2021-08-18</x:v>
      </x:c>
      <x:c r="B72" s="13" t="n">
        <x:v>0</x:v>
      </x:c>
      <x:c r="C72" s="13" t="n">
        <x:v>0</x:v>
      </x:c>
      <x:c r="D72" s="16" t="n">
        <x:v>0</x:v>
      </x:c>
      <x:c r="E72" s="16" t="n">
        <x:v>0</x:v>
      </x:c>
      <x:c r="F72" s="16" t="n">
        <x:v>0</x:v>
      </x:c>
      <x:c r="G72" s="16" t="n">
        <x:v>0</x:v>
      </x:c>
      <x:c r="H72" s="16" t="n">
        <x:v>0</x:v>
      </x:c>
      <x:c r="I72" s="16" t="n">
        <x:v>1011756.8196393618</x:v>
      </x:c>
      <x:c r="J72" s="16" t="n">
        <x:v>1011756.8196393618</x:v>
      </x:c>
      <x:c r="K72" s="16" t="n">
        <x:v>0</x:v>
      </x:c>
      <x:c r="L72" s="18" t="n">
        <x:v>0</x:v>
      </x:c>
      <x:c r="M72" s="18" t="n">
        <x:v>0</x:v>
      </x:c>
      <x:c r="O72" t="str">
        <x:v>2021-08-18</x:v>
      </x:c>
      <x:c r="P72" t="n">
        <x:v>1011756.8196393618</x:v>
      </x:c>
    </x:row>
    <x:row r="73" ht="15" hidden="0" customHeight="1">
      <x:c r="A73" s="13" t="str">
        <x:v>2021-08-19</x:v>
      </x:c>
      <x:c r="B73" s="13" t="n">
        <x:v>0</x:v>
      </x:c>
      <x:c r="C73" s="13" t="n">
        <x:v>0</x:v>
      </x:c>
      <x:c r="D73" s="16" t="n">
        <x:v>0</x:v>
      </x:c>
      <x:c r="E73" s="16" t="n">
        <x:v>0</x:v>
      </x:c>
      <x:c r="F73" s="16" t="n">
        <x:v>0</x:v>
      </x:c>
      <x:c r="G73" s="16" t="n">
        <x:v>0</x:v>
      </x:c>
      <x:c r="H73" s="16" t="n">
        <x:v>0</x:v>
      </x:c>
      <x:c r="I73" s="16" t="n">
        <x:v>1011756.8196393618</x:v>
      </x:c>
      <x:c r="J73" s="16" t="n">
        <x:v>1011756.8196393618</x:v>
      </x:c>
      <x:c r="K73" s="16" t="n">
        <x:v>0</x:v>
      </x:c>
      <x:c r="L73" s="18" t="n">
        <x:v>0</x:v>
      </x:c>
      <x:c r="M73" s="18" t="n">
        <x:v>0</x:v>
      </x:c>
      <x:c r="O73" t="str">
        <x:v>2021-08-19</x:v>
      </x:c>
      <x:c r="P73" t="n">
        <x:v>1011756.8196393618</x:v>
      </x:c>
    </x:row>
    <x:row r="74" ht="15" hidden="0" customHeight="1">
      <x:c r="A74" s="13" t="str">
        <x:v>2021-08-20</x:v>
      </x:c>
      <x:c r="B74" s="13" t="n">
        <x:v>0</x:v>
      </x:c>
      <x:c r="C74" s="13" t="n">
        <x:v>0</x:v>
      </x:c>
      <x:c r="D74" s="16" t="n">
        <x:v>0</x:v>
      </x:c>
      <x:c r="E74" s="16" t="n">
        <x:v>0</x:v>
      </x:c>
      <x:c r="F74" s="16" t="n">
        <x:v>0</x:v>
      </x:c>
      <x:c r="G74" s="16" t="n">
        <x:v>0</x:v>
      </x:c>
      <x:c r="H74" s="16" t="n">
        <x:v>0</x:v>
      </x:c>
      <x:c r="I74" s="16" t="n">
        <x:v>1011756.8196393618</x:v>
      </x:c>
      <x:c r="J74" s="16" t="n">
        <x:v>1011756.8196393618</x:v>
      </x:c>
      <x:c r="K74" s="16" t="n">
        <x:v>0</x:v>
      </x:c>
      <x:c r="L74" s="18" t="n">
        <x:v>0</x:v>
      </x:c>
      <x:c r="M74" s="18" t="n">
        <x:v>0</x:v>
      </x:c>
      <x:c r="O74" t="str">
        <x:v>2021-08-20</x:v>
      </x:c>
      <x:c r="P74" t="n">
        <x:v>1011756.8196393618</x:v>
      </x:c>
    </x:row>
    <x:row r="75" ht="15" hidden="0" customHeight="1">
      <x:c r="A75" s="13" t="str">
        <x:v>2021-08-23</x:v>
      </x:c>
      <x:c r="B75" s="13" t="n">
        <x:v>0</x:v>
      </x:c>
      <x:c r="C75" s="13" t="n">
        <x:v>0</x:v>
      </x:c>
      <x:c r="D75" s="16" t="n">
        <x:v>0</x:v>
      </x:c>
      <x:c r="E75" s="16" t="n">
        <x:v>0</x:v>
      </x:c>
      <x:c r="F75" s="16" t="n">
        <x:v>0</x:v>
      </x:c>
      <x:c r="G75" s="16" t="n">
        <x:v>0</x:v>
      </x:c>
      <x:c r="H75" s="16" t="n">
        <x:v>0</x:v>
      </x:c>
      <x:c r="I75" s="16" t="n">
        <x:v>1011756.8196393618</x:v>
      </x:c>
      <x:c r="J75" s="16" t="n">
        <x:v>1011756.8196393618</x:v>
      </x:c>
      <x:c r="K75" s="16" t="n">
        <x:v>0</x:v>
      </x:c>
      <x:c r="L75" s="18" t="n">
        <x:v>0</x:v>
      </x:c>
      <x:c r="M75" s="18" t="n">
        <x:v>0</x:v>
      </x:c>
      <x:c r="O75" t="str">
        <x:v>2021-08-23</x:v>
      </x:c>
      <x:c r="P75" t="n">
        <x:v>1011756.8196393618</x:v>
      </x:c>
    </x:row>
    <x:row r="76" ht="15" hidden="0" customHeight="1">
      <x:c r="A76" s="13" t="str">
        <x:v>2021-08-24</x:v>
      </x:c>
      <x:c r="B76" s="13" t="n">
        <x:v>0</x:v>
      </x:c>
      <x:c r="C76" s="13" t="n">
        <x:v>0</x:v>
      </x:c>
      <x:c r="D76" s="16" t="n">
        <x:v>0</x:v>
      </x:c>
      <x:c r="E76" s="16" t="n">
        <x:v>0</x:v>
      </x:c>
      <x:c r="F76" s="16" t="n">
        <x:v>0</x:v>
      </x:c>
      <x:c r="G76" s="16" t="n">
        <x:v>0</x:v>
      </x:c>
      <x:c r="H76" s="16" t="n">
        <x:v>0</x:v>
      </x:c>
      <x:c r="I76" s="16" t="n">
        <x:v>1011756.8196393618</x:v>
      </x:c>
      <x:c r="J76" s="16" t="n">
        <x:v>1011756.8196393618</x:v>
      </x:c>
      <x:c r="K76" s="16" t="n">
        <x:v>0</x:v>
      </x:c>
      <x:c r="L76" s="18" t="n">
        <x:v>0</x:v>
      </x:c>
      <x:c r="M76" s="18" t="n">
        <x:v>0</x:v>
      </x:c>
      <x:c r="O76" t="str">
        <x:v>2021-08-24</x:v>
      </x:c>
      <x:c r="P76" t="n">
        <x:v>1011756.8196393618</x:v>
      </x:c>
    </x:row>
    <x:row r="77" ht="15" hidden="0" customHeight="1">
      <x:c r="A77" s="13" t="str">
        <x:v>2021-08-25</x:v>
      </x:c>
      <x:c r="B77" s="13" t="n">
        <x:v>0</x:v>
      </x:c>
      <x:c r="C77" s="13" t="n">
        <x:v>0</x:v>
      </x:c>
      <x:c r="D77" s="16" t="n">
        <x:v>0</x:v>
      </x:c>
      <x:c r="E77" s="16" t="n">
        <x:v>0</x:v>
      </x:c>
      <x:c r="F77" s="16" t="n">
        <x:v>0</x:v>
      </x:c>
      <x:c r="G77" s="16" t="n">
        <x:v>0</x:v>
      </x:c>
      <x:c r="H77" s="16" t="n">
        <x:v>0</x:v>
      </x:c>
      <x:c r="I77" s="16" t="n">
        <x:v>1011756.8196393618</x:v>
      </x:c>
      <x:c r="J77" s="16" t="n">
        <x:v>1011756.8196393618</x:v>
      </x:c>
      <x:c r="K77" s="16" t="n">
        <x:v>0</x:v>
      </x:c>
      <x:c r="L77" s="18" t="n">
        <x:v>0</x:v>
      </x:c>
      <x:c r="M77" s="18" t="n">
        <x:v>0</x:v>
      </x:c>
      <x:c r="O77" t="str">
        <x:v>2021-08-25</x:v>
      </x:c>
      <x:c r="P77" t="n">
        <x:v>1011756.8196393618</x:v>
      </x:c>
    </x:row>
    <x:row r="78" ht="15" hidden="0" customHeight="1">
      <x:c r="A78" s="13" t="str">
        <x:v>2021-08-26</x:v>
      </x:c>
      <x:c r="B78" s="13" t="n">
        <x:v>0</x:v>
      </x:c>
      <x:c r="C78" s="13" t="n">
        <x:v>0</x:v>
      </x:c>
      <x:c r="D78" s="16" t="n">
        <x:v>0</x:v>
      </x:c>
      <x:c r="E78" s="16" t="n">
        <x:v>0</x:v>
      </x:c>
      <x:c r="F78" s="16" t="n">
        <x:v>0</x:v>
      </x:c>
      <x:c r="G78" s="16" t="n">
        <x:v>0</x:v>
      </x:c>
      <x:c r="H78" s="16" t="n">
        <x:v>0</x:v>
      </x:c>
      <x:c r="I78" s="16" t="n">
        <x:v>1011756.8196393618</x:v>
      </x:c>
      <x:c r="J78" s="16" t="n">
        <x:v>1011756.8196393618</x:v>
      </x:c>
      <x:c r="K78" s="16" t="n">
        <x:v>0</x:v>
      </x:c>
      <x:c r="L78" s="18" t="n">
        <x:v>0</x:v>
      </x:c>
      <x:c r="M78" s="18" t="n">
        <x:v>0</x:v>
      </x:c>
      <x:c r="O78" t="str">
        <x:v>2021-08-26</x:v>
      </x:c>
      <x:c r="P78" t="n">
        <x:v>1011756.8196393618</x:v>
      </x:c>
    </x:row>
    <x:row r="79" ht="15" hidden="0" customHeight="1">
      <x:c r="A79" s="13" t="str">
        <x:v>2021-08-27</x:v>
      </x:c>
      <x:c r="B79" s="13" t="n">
        <x:v>0</x:v>
      </x:c>
      <x:c r="C79" s="13" t="n">
        <x:v>0</x:v>
      </x:c>
      <x:c r="D79" s="16" t="n">
        <x:v>0</x:v>
      </x:c>
      <x:c r="E79" s="16" t="n">
        <x:v>0</x:v>
      </x:c>
      <x:c r="F79" s="16" t="n">
        <x:v>0</x:v>
      </x:c>
      <x:c r="G79" s="16" t="n">
        <x:v>0</x:v>
      </x:c>
      <x:c r="H79" s="16" t="n">
        <x:v>0</x:v>
      </x:c>
      <x:c r="I79" s="16" t="n">
        <x:v>1011756.8196393618</x:v>
      </x:c>
      <x:c r="J79" s="16" t="n">
        <x:v>1011756.8196393618</x:v>
      </x:c>
      <x:c r="K79" s="16" t="n">
        <x:v>0</x:v>
      </x:c>
      <x:c r="L79" s="18" t="n">
        <x:v>0</x:v>
      </x:c>
      <x:c r="M79" s="18" t="n">
        <x:v>0</x:v>
      </x:c>
      <x:c r="O79" t="str">
        <x:v>2021-08-27</x:v>
      </x:c>
      <x:c r="P79" t="n">
        <x:v>1011756.8196393618</x:v>
      </x:c>
    </x:row>
    <x:row r="80" ht="15" hidden="0" customHeight="1">
      <x:c r="A80" s="13" t="str">
        <x:v>2021-08-30</x:v>
      </x:c>
      <x:c r="B80" s="13" t="n">
        <x:v>0</x:v>
      </x:c>
      <x:c r="C80" s="13" t="n">
        <x:v>0</x:v>
      </x:c>
      <x:c r="D80" s="16" t="n">
        <x:v>0</x:v>
      </x:c>
      <x:c r="E80" s="16" t="n">
        <x:v>0</x:v>
      </x:c>
      <x:c r="F80" s="16" t="n">
        <x:v>0</x:v>
      </x:c>
      <x:c r="G80" s="16" t="n">
        <x:v>0</x:v>
      </x:c>
      <x:c r="H80" s="16" t="n">
        <x:v>0</x:v>
      </x:c>
      <x:c r="I80" s="16" t="n">
        <x:v>1011756.8196393618</x:v>
      </x:c>
      <x:c r="J80" s="16" t="n">
        <x:v>1011756.8196393618</x:v>
      </x:c>
      <x:c r="K80" s="16" t="n">
        <x:v>0</x:v>
      </x:c>
      <x:c r="L80" s="18" t="n">
        <x:v>0</x:v>
      </x:c>
      <x:c r="M80" s="18" t="n">
        <x:v>0</x:v>
      </x:c>
      <x:c r="O80" t="str">
        <x:v>2021-08-30</x:v>
      </x:c>
      <x:c r="P80" t="n">
        <x:v>1011756.8196393618</x:v>
      </x:c>
    </x:row>
    <x:row r="81" ht="15" hidden="0" customHeight="1">
      <x:c r="A81" s="13" t="str">
        <x:v>2021-08-31</x:v>
      </x:c>
      <x:c r="B81" s="13" t="n">
        <x:v>0</x:v>
      </x:c>
      <x:c r="C81" s="13" t="n">
        <x:v>0</x:v>
      </x:c>
      <x:c r="D81" s="16" t="n">
        <x:v>0</x:v>
      </x:c>
      <x:c r="E81" s="16" t="n">
        <x:v>0</x:v>
      </x:c>
      <x:c r="F81" s="16" t="n">
        <x:v>0</x:v>
      </x:c>
      <x:c r="G81" s="16" t="n">
        <x:v>0</x:v>
      </x:c>
      <x:c r="H81" s="16" t="n">
        <x:v>0</x:v>
      </x:c>
      <x:c r="I81" s="16" t="n">
        <x:v>1011756.8196393618</x:v>
      </x:c>
      <x:c r="J81" s="16" t="n">
        <x:v>1011756.8196393618</x:v>
      </x:c>
      <x:c r="K81" s="16" t="n">
        <x:v>0</x:v>
      </x:c>
      <x:c r="L81" s="18" t="n">
        <x:v>0</x:v>
      </x:c>
      <x:c r="M81" s="18" t="n">
        <x:v>0</x:v>
      </x:c>
      <x:c r="O81" t="str">
        <x:v>2021-08-31</x:v>
      </x:c>
      <x:c r="P81" t="n">
        <x:v>1011756.8196393618</x:v>
      </x:c>
    </x:row>
    <x:row r="82" ht="15" hidden="0" customHeight="1">
      <x:c r="A82" s="13" t="str">
        <x:v>2021-09-01</x:v>
      </x:c>
      <x:c r="B82" s="13" t="n">
        <x:v>0</x:v>
      </x:c>
      <x:c r="C82" s="13" t="n">
        <x:v>0</x:v>
      </x:c>
      <x:c r="D82" s="16" t="n">
        <x:v>0</x:v>
      </x:c>
      <x:c r="E82" s="16" t="n">
        <x:v>0</x:v>
      </x:c>
      <x:c r="F82" s="16" t="n">
        <x:v>0</x:v>
      </x:c>
      <x:c r="G82" s="16" t="n">
        <x:v>0</x:v>
      </x:c>
      <x:c r="H82" s="16" t="n">
        <x:v>0</x:v>
      </x:c>
      <x:c r="I82" s="16" t="n">
        <x:v>1011756.8196393618</x:v>
      </x:c>
      <x:c r="J82" s="16" t="n">
        <x:v>1011756.8196393618</x:v>
      </x:c>
      <x:c r="K82" s="16" t="n">
        <x:v>0</x:v>
      </x:c>
      <x:c r="L82" s="18" t="n">
        <x:v>0</x:v>
      </x:c>
      <x:c r="M82" s="18" t="n">
        <x:v>0</x:v>
      </x:c>
      <x:c r="O82" t="str">
        <x:v>2021-09-01</x:v>
      </x:c>
      <x:c r="P82" t="n">
        <x:v>1011756.8196393618</x:v>
      </x:c>
    </x:row>
    <x:row r="83" ht="15" hidden="0" customHeight="1">
      <x:c r="A83" s="13" t="str">
        <x:v>2021-09-02</x:v>
      </x:c>
      <x:c r="B83" s="13" t="n">
        <x:v>1</x:v>
      </x:c>
      <x:c r="C83" s="13" t="n">
        <x:v>7</x:v>
      </x:c>
      <x:c r="D83" s="16" t="n">
        <x:v>-454.9999999999992</x:v>
      </x:c>
      <x:c r="E83" s="16" t="n">
        <x:v>417.2448379911908</x:v>
      </x:c>
      <x:c r="F83" s="16" t="n">
        <x:v>-872.24483799119</x:v>
      </x:c>
      <x:c r="G83" s="16" t="n">
        <x:v>44226.34528402968</x:v>
      </x:c>
      <x:c r="H83" s="16" t="n">
        <x:v>292409.5785724525</x:v>
      </x:c>
      <x:c r="I83" s="16" t="n">
        <x:v>1010884.5748013706</x:v>
      </x:c>
      <x:c r="J83" s="16" t="n">
        <x:v>1011756.8196393618</x:v>
      </x:c>
      <x:c r="K83" s="16" t="n">
        <x:v>-872.2448379911948</x:v>
      </x:c>
      <x:c r="L83" s="18" t="n">
        <x:v>-0.0008621091759006</x:v>
      </x:c>
      <x:c r="M83" s="18" t="n">
        <x:v>-0.0008621091759006</x:v>
      </x:c>
      <x:c r="O83" t="str">
        <x:v>2021-09-02</x:v>
      </x:c>
      <x:c r="P83" t="n">
        <x:v>1010884.5748013706</x:v>
      </x:c>
    </x:row>
    <x:row r="84" ht="15" hidden="0" customHeight="1">
      <x:c r="A84" s="13" t="str">
        <x:v>2021-09-03</x:v>
      </x:c>
      <x:c r="B84" s="13" t="n">
        <x:v>0</x:v>
      </x:c>
      <x:c r="C84" s="13" t="n">
        <x:v>0</x:v>
      </x:c>
      <x:c r="D84" s="16" t="n">
        <x:v>0</x:v>
      </x:c>
      <x:c r="E84" s="16" t="n">
        <x:v>0</x:v>
      </x:c>
      <x:c r="F84" s="16" t="n">
        <x:v>0</x:v>
      </x:c>
      <x:c r="G84" s="16" t="n">
        <x:v>0</x:v>
      </x:c>
      <x:c r="H84" s="16" t="n">
        <x:v>0</x:v>
      </x:c>
      <x:c r="I84" s="16" t="n">
        <x:v>1010884.5748013706</x:v>
      </x:c>
      <x:c r="J84" s="16" t="n">
        <x:v>1011756.8196393618</x:v>
      </x:c>
      <x:c r="K84" s="16" t="n">
        <x:v>-872.2448379911948</x:v>
      </x:c>
      <x:c r="L84" s="18" t="n">
        <x:v>-0.0008621091759006</x:v>
      </x:c>
      <x:c r="M84" s="18" t="n">
        <x:v>0</x:v>
      </x:c>
      <x:c r="O84" t="str">
        <x:v>2021-09-03</x:v>
      </x:c>
      <x:c r="P84" t="n">
        <x:v>1010884.5748013706</x:v>
      </x:c>
    </x:row>
    <x:row r="85" ht="15" hidden="0" customHeight="1">
      <x:c r="A85" s="13" t="str">
        <x:v>2021-09-06</x:v>
      </x:c>
      <x:c r="B85" s="13" t="n">
        <x:v>0</x:v>
      </x:c>
      <x:c r="C85" s="13" t="n">
        <x:v>0</x:v>
      </x:c>
      <x:c r="D85" s="16" t="n">
        <x:v>0</x:v>
      </x:c>
      <x:c r="E85" s="16" t="n">
        <x:v>0</x:v>
      </x:c>
      <x:c r="F85" s="16" t="n">
        <x:v>0</x:v>
      </x:c>
      <x:c r="G85" s="16" t="n">
        <x:v>0</x:v>
      </x:c>
      <x:c r="H85" s="16" t="n">
        <x:v>0</x:v>
      </x:c>
      <x:c r="I85" s="16" t="n">
        <x:v>1010884.5748013706</x:v>
      </x:c>
      <x:c r="J85" s="16" t="n">
        <x:v>1011756.8196393618</x:v>
      </x:c>
      <x:c r="K85" s="16" t="n">
        <x:v>-872.2448379911948</x:v>
      </x:c>
      <x:c r="L85" s="18" t="n">
        <x:v>-0.0008621091759006</x:v>
      </x:c>
      <x:c r="M85" s="18" t="n">
        <x:v>0</x:v>
      </x:c>
      <x:c r="O85" t="str">
        <x:v>2021-09-06</x:v>
      </x:c>
      <x:c r="P85" t="n">
        <x:v>1010884.5748013706</x:v>
      </x:c>
    </x:row>
    <x:row r="86" ht="15" hidden="0" customHeight="1">
      <x:c r="A86" s="13" t="str">
        <x:v>2021-09-07</x:v>
      </x:c>
      <x:c r="B86" s="13" t="n">
        <x:v>0</x:v>
      </x:c>
      <x:c r="C86" s="13" t="n">
        <x:v>0</x:v>
      </x:c>
      <x:c r="D86" s="16" t="n">
        <x:v>0</x:v>
      </x:c>
      <x:c r="E86" s="16" t="n">
        <x:v>0</x:v>
      </x:c>
      <x:c r="F86" s="16" t="n">
        <x:v>0</x:v>
      </x:c>
      <x:c r="G86" s="16" t="n">
        <x:v>0</x:v>
      </x:c>
      <x:c r="H86" s="16" t="n">
        <x:v>0</x:v>
      </x:c>
      <x:c r="I86" s="16" t="n">
        <x:v>1010884.5748013706</x:v>
      </x:c>
      <x:c r="J86" s="16" t="n">
        <x:v>1011756.8196393618</x:v>
      </x:c>
      <x:c r="K86" s="16" t="n">
        <x:v>-872.2448379911948</x:v>
      </x:c>
      <x:c r="L86" s="18" t="n">
        <x:v>-0.0008621091759006</x:v>
      </x:c>
      <x:c r="M86" s="18" t="n">
        <x:v>0</x:v>
      </x:c>
      <x:c r="O86" t="str">
        <x:v>2021-09-07</x:v>
      </x:c>
      <x:c r="P86" t="n">
        <x:v>1010884.5748013706</x:v>
      </x:c>
    </x:row>
    <x:row r="87" ht="15" hidden="0" customHeight="1">
      <x:c r="A87" s="13" t="str">
        <x:v>2021-09-08</x:v>
      </x:c>
      <x:c r="B87" s="13" t="n">
        <x:v>0</x:v>
      </x:c>
      <x:c r="C87" s="13" t="n">
        <x:v>0</x:v>
      </x:c>
      <x:c r="D87" s="16" t="n">
        <x:v>0</x:v>
      </x:c>
      <x:c r="E87" s="16" t="n">
        <x:v>0</x:v>
      </x:c>
      <x:c r="F87" s="16" t="n">
        <x:v>0</x:v>
      </x:c>
      <x:c r="G87" s="16" t="n">
        <x:v>0</x:v>
      </x:c>
      <x:c r="H87" s="16" t="n">
        <x:v>0</x:v>
      </x:c>
      <x:c r="I87" s="16" t="n">
        <x:v>1010884.5748013706</x:v>
      </x:c>
      <x:c r="J87" s="16" t="n">
        <x:v>1011756.8196393618</x:v>
      </x:c>
      <x:c r="K87" s="16" t="n">
        <x:v>-872.2448379911948</x:v>
      </x:c>
      <x:c r="L87" s="18" t="n">
        <x:v>-0.0008621091759006</x:v>
      </x:c>
      <x:c r="M87" s="18" t="n">
        <x:v>0</x:v>
      </x:c>
      <x:c r="O87" t="str">
        <x:v>2021-09-08</x:v>
      </x:c>
      <x:c r="P87" t="n">
        <x:v>1010884.5748013706</x:v>
      </x:c>
    </x:row>
    <x:row r="88" ht="15" hidden="0" customHeight="1">
      <x:c r="A88" s="13" t="str">
        <x:v>2021-09-09</x:v>
      </x:c>
      <x:c r="B88" s="13" t="n">
        <x:v>0</x:v>
      </x:c>
      <x:c r="C88" s="13" t="n">
        <x:v>0</x:v>
      </x:c>
      <x:c r="D88" s="16" t="n">
        <x:v>0</x:v>
      </x:c>
      <x:c r="E88" s="16" t="n">
        <x:v>0</x:v>
      </x:c>
      <x:c r="F88" s="16" t="n">
        <x:v>0</x:v>
      </x:c>
      <x:c r="G88" s="16" t="n">
        <x:v>0</x:v>
      </x:c>
      <x:c r="H88" s="16" t="n">
        <x:v>0</x:v>
      </x:c>
      <x:c r="I88" s="16" t="n">
        <x:v>1010884.5748013706</x:v>
      </x:c>
      <x:c r="J88" s="16" t="n">
        <x:v>1011756.8196393618</x:v>
      </x:c>
      <x:c r="K88" s="16" t="n">
        <x:v>-872.2448379911948</x:v>
      </x:c>
      <x:c r="L88" s="18" t="n">
        <x:v>-0.0008621091759006</x:v>
      </x:c>
      <x:c r="M88" s="18" t="n">
        <x:v>0</x:v>
      </x:c>
      <x:c r="O88" t="str">
        <x:v>2021-09-09</x:v>
      </x:c>
      <x:c r="P88" t="n">
        <x:v>1010884.5748013706</x:v>
      </x:c>
    </x:row>
    <x:row r="89" ht="15" hidden="0" customHeight="1">
      <x:c r="A89" s="13" t="str">
        <x:v>2021-09-10</x:v>
      </x:c>
      <x:c r="B89" s="13" t="n">
        <x:v>0</x:v>
      </x:c>
      <x:c r="C89" s="13" t="n">
        <x:v>0</x:v>
      </x:c>
      <x:c r="D89" s="16" t="n">
        <x:v>0</x:v>
      </x:c>
      <x:c r="E89" s="16" t="n">
        <x:v>0</x:v>
      </x:c>
      <x:c r="F89" s="16" t="n">
        <x:v>0</x:v>
      </x:c>
      <x:c r="G89" s="16" t="n">
        <x:v>0</x:v>
      </x:c>
      <x:c r="H89" s="16" t="n">
        <x:v>0</x:v>
      </x:c>
      <x:c r="I89" s="16" t="n">
        <x:v>1010884.5748013706</x:v>
      </x:c>
      <x:c r="J89" s="16" t="n">
        <x:v>1011756.8196393618</x:v>
      </x:c>
      <x:c r="K89" s="16" t="n">
        <x:v>-872.2448379911948</x:v>
      </x:c>
      <x:c r="L89" s="18" t="n">
        <x:v>-0.0008621091759006</x:v>
      </x:c>
      <x:c r="M89" s="18" t="n">
        <x:v>0</x:v>
      </x:c>
      <x:c r="O89" t="str">
        <x:v>2021-09-10</x:v>
      </x:c>
      <x:c r="P89" t="n">
        <x:v>1010884.5748013706</x:v>
      </x:c>
    </x:row>
    <x:row r="90" ht="15" hidden="0" customHeight="1">
      <x:c r="A90" s="13" t="str">
        <x:v>2021-09-13</x:v>
      </x:c>
      <x:c r="B90" s="13" t="n">
        <x:v>0</x:v>
      </x:c>
      <x:c r="C90" s="13" t="n">
        <x:v>0</x:v>
      </x:c>
      <x:c r="D90" s="16" t="n">
        <x:v>0</x:v>
      </x:c>
      <x:c r="E90" s="16" t="n">
        <x:v>0</x:v>
      </x:c>
      <x:c r="F90" s="16" t="n">
        <x:v>0</x:v>
      </x:c>
      <x:c r="G90" s="16" t="n">
        <x:v>0</x:v>
      </x:c>
      <x:c r="H90" s="16" t="n">
        <x:v>0</x:v>
      </x:c>
      <x:c r="I90" s="16" t="n">
        <x:v>1010884.5748013706</x:v>
      </x:c>
      <x:c r="J90" s="16" t="n">
        <x:v>1011756.8196393618</x:v>
      </x:c>
      <x:c r="K90" s="16" t="n">
        <x:v>-872.2448379911948</x:v>
      </x:c>
      <x:c r="L90" s="18" t="n">
        <x:v>-0.0008621091759006</x:v>
      </x:c>
      <x:c r="M90" s="18" t="n">
        <x:v>0</x:v>
      </x:c>
      <x:c r="O90" t="str">
        <x:v>2021-09-13</x:v>
      </x:c>
      <x:c r="P90" t="n">
        <x:v>1010884.5748013706</x:v>
      </x:c>
    </x:row>
    <x:row r="91" ht="15" hidden="0" customHeight="1">
      <x:c r="A91" s="13" t="str">
        <x:v>2021-09-14</x:v>
      </x:c>
      <x:c r="B91" s="13" t="n">
        <x:v>0</x:v>
      </x:c>
      <x:c r="C91" s="13" t="n">
        <x:v>0</x:v>
      </x:c>
      <x:c r="D91" s="16" t="n">
        <x:v>0</x:v>
      </x:c>
      <x:c r="E91" s="16" t="n">
        <x:v>0</x:v>
      </x:c>
      <x:c r="F91" s="16" t="n">
        <x:v>0</x:v>
      </x:c>
      <x:c r="G91" s="16" t="n">
        <x:v>0</x:v>
      </x:c>
      <x:c r="H91" s="16" t="n">
        <x:v>0</x:v>
      </x:c>
      <x:c r="I91" s="16" t="n">
        <x:v>1010884.5748013706</x:v>
      </x:c>
      <x:c r="J91" s="16" t="n">
        <x:v>1011756.8196393618</x:v>
      </x:c>
      <x:c r="K91" s="16" t="n">
        <x:v>-872.2448379911948</x:v>
      </x:c>
      <x:c r="L91" s="18" t="n">
        <x:v>-0.0008621091759006</x:v>
      </x:c>
      <x:c r="M91" s="18" t="n">
        <x:v>0</x:v>
      </x:c>
      <x:c r="O91" t="str">
        <x:v>2021-09-14</x:v>
      </x:c>
      <x:c r="P91" t="n">
        <x:v>1010884.5748013706</x:v>
      </x:c>
    </x:row>
    <x:row r="92" ht="15" hidden="0" customHeight="1">
      <x:c r="A92" s="13" t="str">
        <x:v>2021-09-15</x:v>
      </x:c>
      <x:c r="B92" s="13" t="n">
        <x:v>0</x:v>
      </x:c>
      <x:c r="C92" s="13" t="n">
        <x:v>0</x:v>
      </x:c>
      <x:c r="D92" s="16" t="n">
        <x:v>0</x:v>
      </x:c>
      <x:c r="E92" s="16" t="n">
        <x:v>0</x:v>
      </x:c>
      <x:c r="F92" s="16" t="n">
        <x:v>0</x:v>
      </x:c>
      <x:c r="G92" s="16" t="n">
        <x:v>0</x:v>
      </x:c>
      <x:c r="H92" s="16" t="n">
        <x:v>0</x:v>
      </x:c>
      <x:c r="I92" s="16" t="n">
        <x:v>1010884.5748013706</x:v>
      </x:c>
      <x:c r="J92" s="16" t="n">
        <x:v>1011756.8196393618</x:v>
      </x:c>
      <x:c r="K92" s="16" t="n">
        <x:v>-872.2448379911948</x:v>
      </x:c>
      <x:c r="L92" s="18" t="n">
        <x:v>-0.0008621091759006</x:v>
      </x:c>
      <x:c r="M92" s="18" t="n">
        <x:v>0</x:v>
      </x:c>
      <x:c r="O92" t="str">
        <x:v>2021-09-15</x:v>
      </x:c>
      <x:c r="P92" t="n">
        <x:v>1010884.5748013706</x:v>
      </x:c>
    </x:row>
    <x:row r="93" ht="15" hidden="0" customHeight="1">
      <x:c r="A93" s="13" t="str">
        <x:v>2021-09-16</x:v>
      </x:c>
      <x:c r="B93" s="13" t="n">
        <x:v>0</x:v>
      </x:c>
      <x:c r="C93" s="13" t="n">
        <x:v>0</x:v>
      </x:c>
      <x:c r="D93" s="16" t="n">
        <x:v>0</x:v>
      </x:c>
      <x:c r="E93" s="16" t="n">
        <x:v>0</x:v>
      </x:c>
      <x:c r="F93" s="16" t="n">
        <x:v>0</x:v>
      </x:c>
      <x:c r="G93" s="16" t="n">
        <x:v>0</x:v>
      </x:c>
      <x:c r="H93" s="16" t="n">
        <x:v>0</x:v>
      </x:c>
      <x:c r="I93" s="16" t="n">
        <x:v>1010884.5748013706</x:v>
      </x:c>
      <x:c r="J93" s="16" t="n">
        <x:v>1011756.8196393618</x:v>
      </x:c>
      <x:c r="K93" s="16" t="n">
        <x:v>-872.2448379911948</x:v>
      </x:c>
      <x:c r="L93" s="18" t="n">
        <x:v>-0.0008621091759006</x:v>
      </x:c>
      <x:c r="M93" s="18" t="n">
        <x:v>0</x:v>
      </x:c>
      <x:c r="O93" t="str">
        <x:v>2021-09-16</x:v>
      </x:c>
      <x:c r="P93" t="n">
        <x:v>1010884.5748013706</x:v>
      </x:c>
    </x:row>
    <x:row r="94" ht="15" hidden="0" customHeight="1">
      <x:c r="A94" s="13" t="str">
        <x:v>2021-09-17</x:v>
      </x:c>
      <x:c r="B94" s="13" t="n">
        <x:v>0</x:v>
      </x:c>
      <x:c r="C94" s="13" t="n">
        <x:v>0</x:v>
      </x:c>
      <x:c r="D94" s="16" t="n">
        <x:v>0</x:v>
      </x:c>
      <x:c r="E94" s="16" t="n">
        <x:v>0</x:v>
      </x:c>
      <x:c r="F94" s="16" t="n">
        <x:v>0</x:v>
      </x:c>
      <x:c r="G94" s="16" t="n">
        <x:v>0</x:v>
      </x:c>
      <x:c r="H94" s="16" t="n">
        <x:v>0</x:v>
      </x:c>
      <x:c r="I94" s="16" t="n">
        <x:v>1010884.5748013706</x:v>
      </x:c>
      <x:c r="J94" s="16" t="n">
        <x:v>1011756.8196393618</x:v>
      </x:c>
      <x:c r="K94" s="16" t="n">
        <x:v>-872.2448379911948</x:v>
      </x:c>
      <x:c r="L94" s="18" t="n">
        <x:v>-0.0008621091759006</x:v>
      </x:c>
      <x:c r="M94" s="18" t="n">
        <x:v>0</x:v>
      </x:c>
      <x:c r="O94" t="str">
        <x:v>2021-09-17</x:v>
      </x:c>
      <x:c r="P94" t="n">
        <x:v>1010884.5748013706</x:v>
      </x:c>
    </x:row>
    <x:row r="95" ht="15" hidden="0" customHeight="1">
      <x:c r="A95" s="13" t="str">
        <x:v>2021-09-20</x:v>
      </x:c>
      <x:c r="B95" s="13" t="n">
        <x:v>0</x:v>
      </x:c>
      <x:c r="C95" s="13" t="n">
        <x:v>0</x:v>
      </x:c>
      <x:c r="D95" s="16" t="n">
        <x:v>0</x:v>
      </x:c>
      <x:c r="E95" s="16" t="n">
        <x:v>0</x:v>
      </x:c>
      <x:c r="F95" s="16" t="n">
        <x:v>0</x:v>
      </x:c>
      <x:c r="G95" s="16" t="n">
        <x:v>0</x:v>
      </x:c>
      <x:c r="H95" s="16" t="n">
        <x:v>0</x:v>
      </x:c>
      <x:c r="I95" s="16" t="n">
        <x:v>1010884.5748013706</x:v>
      </x:c>
      <x:c r="J95" s="16" t="n">
        <x:v>1011756.8196393618</x:v>
      </x:c>
      <x:c r="K95" s="16" t="n">
        <x:v>-872.2448379911948</x:v>
      </x:c>
      <x:c r="L95" s="18" t="n">
        <x:v>-0.0008621091759006</x:v>
      </x:c>
      <x:c r="M95" s="18" t="n">
        <x:v>0</x:v>
      </x:c>
      <x:c r="O95" t="str">
        <x:v>2021-09-20</x:v>
      </x:c>
      <x:c r="P95" t="n">
        <x:v>1010884.5748013706</x:v>
      </x:c>
    </x:row>
    <x:row r="96" ht="15" hidden="0" customHeight="1">
      <x:c r="A96" s="13" t="str">
        <x:v>2021-09-21</x:v>
      </x:c>
      <x:c r="B96" s="13" t="n">
        <x:v>0</x:v>
      </x:c>
      <x:c r="C96" s="13" t="n">
        <x:v>0</x:v>
      </x:c>
      <x:c r="D96" s="16" t="n">
        <x:v>0</x:v>
      </x:c>
      <x:c r="E96" s="16" t="n">
        <x:v>0</x:v>
      </x:c>
      <x:c r="F96" s="16" t="n">
        <x:v>0</x:v>
      </x:c>
      <x:c r="G96" s="16" t="n">
        <x:v>0</x:v>
      </x:c>
      <x:c r="H96" s="16" t="n">
        <x:v>0</x:v>
      </x:c>
      <x:c r="I96" s="16" t="n">
        <x:v>1010884.5748013706</x:v>
      </x:c>
      <x:c r="J96" s="16" t="n">
        <x:v>1011756.8196393618</x:v>
      </x:c>
      <x:c r="K96" s="16" t="n">
        <x:v>-872.2448379911948</x:v>
      </x:c>
      <x:c r="L96" s="18" t="n">
        <x:v>-0.0008621091759006</x:v>
      </x:c>
      <x:c r="M96" s="18" t="n">
        <x:v>0</x:v>
      </x:c>
      <x:c r="O96" t="str">
        <x:v>2021-09-21</x:v>
      </x:c>
      <x:c r="P96" t="n">
        <x:v>1010884.5748013706</x:v>
      </x:c>
    </x:row>
    <x:row r="97" ht="15" hidden="0" customHeight="1">
      <x:c r="A97" s="13" t="str">
        <x:v>2021-09-22</x:v>
      </x:c>
      <x:c r="B97" s="13" t="n">
        <x:v>0</x:v>
      </x:c>
      <x:c r="C97" s="13" t="n">
        <x:v>0</x:v>
      </x:c>
      <x:c r="D97" s="16" t="n">
        <x:v>0</x:v>
      </x:c>
      <x:c r="E97" s="16" t="n">
        <x:v>0</x:v>
      </x:c>
      <x:c r="F97" s="16" t="n">
        <x:v>0</x:v>
      </x:c>
      <x:c r="G97" s="16" t="n">
        <x:v>0</x:v>
      </x:c>
      <x:c r="H97" s="16" t="n">
        <x:v>0</x:v>
      </x:c>
      <x:c r="I97" s="16" t="n">
        <x:v>1010884.5748013706</x:v>
      </x:c>
      <x:c r="J97" s="16" t="n">
        <x:v>1011756.8196393618</x:v>
      </x:c>
      <x:c r="K97" s="16" t="n">
        <x:v>-872.2448379911948</x:v>
      </x:c>
      <x:c r="L97" s="18" t="n">
        <x:v>-0.0008621091759006</x:v>
      </x:c>
      <x:c r="M97" s="18" t="n">
        <x:v>0</x:v>
      </x:c>
      <x:c r="O97" t="str">
        <x:v>2021-09-22</x:v>
      </x:c>
      <x:c r="P97" t="n">
        <x:v>1010884.5748013706</x:v>
      </x:c>
    </x:row>
    <x:row r="98" ht="15" hidden="0" customHeight="1">
      <x:c r="A98" s="13" t="str">
        <x:v>2021-09-23</x:v>
      </x:c>
      <x:c r="B98" s="13" t="n">
        <x:v>0</x:v>
      </x:c>
      <x:c r="C98" s="13" t="n">
        <x:v>0</x:v>
      </x:c>
      <x:c r="D98" s="16" t="n">
        <x:v>0</x:v>
      </x:c>
      <x:c r="E98" s="16" t="n">
        <x:v>0</x:v>
      </x:c>
      <x:c r="F98" s="16" t="n">
        <x:v>0</x:v>
      </x:c>
      <x:c r="G98" s="16" t="n">
        <x:v>0</x:v>
      </x:c>
      <x:c r="H98" s="16" t="n">
        <x:v>0</x:v>
      </x:c>
      <x:c r="I98" s="16" t="n">
        <x:v>1010884.5748013706</x:v>
      </x:c>
      <x:c r="J98" s="16" t="n">
        <x:v>1011756.8196393618</x:v>
      </x:c>
      <x:c r="K98" s="16" t="n">
        <x:v>-872.2448379911948</x:v>
      </x:c>
      <x:c r="L98" s="18" t="n">
        <x:v>-0.0008621091759006</x:v>
      </x:c>
      <x:c r="M98" s="18" t="n">
        <x:v>0</x:v>
      </x:c>
      <x:c r="O98" t="str">
        <x:v>2021-09-23</x:v>
      </x:c>
      <x:c r="P98" t="n">
        <x:v>1010884.5748013706</x:v>
      </x:c>
    </x:row>
    <x:row r="99" ht="15" hidden="0" customHeight="1">
      <x:c r="A99" s="13" t="str">
        <x:v>2021-09-24</x:v>
      </x:c>
      <x:c r="B99" s="13" t="n">
        <x:v>0</x:v>
      </x:c>
      <x:c r="C99" s="13" t="n">
        <x:v>0</x:v>
      </x:c>
      <x:c r="D99" s="16" t="n">
        <x:v>0</x:v>
      </x:c>
      <x:c r="E99" s="16" t="n">
        <x:v>0</x:v>
      </x:c>
      <x:c r="F99" s="16" t="n">
        <x:v>0</x:v>
      </x:c>
      <x:c r="G99" s="16" t="n">
        <x:v>0</x:v>
      </x:c>
      <x:c r="H99" s="16" t="n">
        <x:v>0</x:v>
      </x:c>
      <x:c r="I99" s="16" t="n">
        <x:v>1010884.5748013706</x:v>
      </x:c>
      <x:c r="J99" s="16" t="n">
        <x:v>1011756.8196393618</x:v>
      </x:c>
      <x:c r="K99" s="16" t="n">
        <x:v>-872.2448379911948</x:v>
      </x:c>
      <x:c r="L99" s="18" t="n">
        <x:v>-0.0008621091759006</x:v>
      </x:c>
      <x:c r="M99" s="18" t="n">
        <x:v>0</x:v>
      </x:c>
      <x:c r="O99" t="str">
        <x:v>2021-09-24</x:v>
      </x:c>
      <x:c r="P99" t="n">
        <x:v>1010884.5748013706</x:v>
      </x:c>
    </x:row>
    <x:row r="100" ht="15" hidden="0" customHeight="1">
      <x:c r="A100" s="13" t="str">
        <x:v>2021-09-27</x:v>
      </x:c>
      <x:c r="B100" s="13" t="n">
        <x:v>0</x:v>
      </x:c>
      <x:c r="C100" s="13" t="n">
        <x:v>0</x:v>
      </x:c>
      <x:c r="D100" s="16" t="n">
        <x:v>0</x:v>
      </x:c>
      <x:c r="E100" s="16" t="n">
        <x:v>0</x:v>
      </x:c>
      <x:c r="F100" s="16" t="n">
        <x:v>0</x:v>
      </x:c>
      <x:c r="G100" s="16" t="n">
        <x:v>0</x:v>
      </x:c>
      <x:c r="H100" s="16" t="n">
        <x:v>0</x:v>
      </x:c>
      <x:c r="I100" s="16" t="n">
        <x:v>1010884.5748013706</x:v>
      </x:c>
      <x:c r="J100" s="16" t="n">
        <x:v>1011756.8196393618</x:v>
      </x:c>
      <x:c r="K100" s="16" t="n">
        <x:v>-872.2448379911948</x:v>
      </x:c>
      <x:c r="L100" s="18" t="n">
        <x:v>-0.0008621091759006</x:v>
      </x:c>
      <x:c r="M100" s="18" t="n">
        <x:v>0</x:v>
      </x:c>
      <x:c r="O100" t="str">
        <x:v>2021-09-27</x:v>
      </x:c>
      <x:c r="P100" t="n">
        <x:v>1010884.5748013706</x:v>
      </x:c>
    </x:row>
    <x:row r="101" ht="15" hidden="0" customHeight="1">
      <x:c r="A101" s="13" t="str">
        <x:v>2021-09-28</x:v>
      </x:c>
      <x:c r="B101" s="13" t="n">
        <x:v>0</x:v>
      </x:c>
      <x:c r="C101" s="13" t="n">
        <x:v>0</x:v>
      </x:c>
      <x:c r="D101" s="16" t="n">
        <x:v>0</x:v>
      </x:c>
      <x:c r="E101" s="16" t="n">
        <x:v>0</x:v>
      </x:c>
      <x:c r="F101" s="16" t="n">
        <x:v>0</x:v>
      </x:c>
      <x:c r="G101" s="16" t="n">
        <x:v>0</x:v>
      </x:c>
      <x:c r="H101" s="16" t="n">
        <x:v>0</x:v>
      </x:c>
      <x:c r="I101" s="16" t="n">
        <x:v>1010884.5748013706</x:v>
      </x:c>
      <x:c r="J101" s="16" t="n">
        <x:v>1011756.8196393618</x:v>
      </x:c>
      <x:c r="K101" s="16" t="n">
        <x:v>-872.2448379911948</x:v>
      </x:c>
      <x:c r="L101" s="18" t="n">
        <x:v>-0.0008621091759006</x:v>
      </x:c>
      <x:c r="M101" s="18" t="n">
        <x:v>0</x:v>
      </x:c>
      <x:c r="O101" t="str">
        <x:v>2021-09-28</x:v>
      </x:c>
      <x:c r="P101" t="n">
        <x:v>1010884.5748013706</x:v>
      </x:c>
    </x:row>
    <x:row r="102" ht="15" hidden="0" customHeight="1">
      <x:c r="A102" s="13" t="str">
        <x:v>2021-09-29</x:v>
      </x:c>
      <x:c r="B102" s="13" t="n">
        <x:v>0</x:v>
      </x:c>
      <x:c r="C102" s="13" t="n">
        <x:v>0</x:v>
      </x:c>
      <x:c r="D102" s="16" t="n">
        <x:v>0</x:v>
      </x:c>
      <x:c r="E102" s="16" t="n">
        <x:v>0</x:v>
      </x:c>
      <x:c r="F102" s="16" t="n">
        <x:v>0</x:v>
      </x:c>
      <x:c r="G102" s="16" t="n">
        <x:v>0</x:v>
      </x:c>
      <x:c r="H102" s="16" t="n">
        <x:v>0</x:v>
      </x:c>
      <x:c r="I102" s="16" t="n">
        <x:v>1010884.5748013706</x:v>
      </x:c>
      <x:c r="J102" s="16" t="n">
        <x:v>1011756.8196393618</x:v>
      </x:c>
      <x:c r="K102" s="16" t="n">
        <x:v>-872.2448379911948</x:v>
      </x:c>
      <x:c r="L102" s="18" t="n">
        <x:v>-0.0008621091759006</x:v>
      </x:c>
      <x:c r="M102" s="18" t="n">
        <x:v>0</x:v>
      </x:c>
      <x:c r="O102" t="str">
        <x:v>2021-09-29</x:v>
      </x:c>
      <x:c r="P102" t="n">
        <x:v>1010884.5748013706</x:v>
      </x:c>
    </x:row>
    <x:row r="103" ht="15" hidden="0" customHeight="1">
      <x:c r="A103" s="13" t="str">
        <x:v>2021-09-30</x:v>
      </x:c>
      <x:c r="B103" s="13" t="n">
        <x:v>1</x:v>
      </x:c>
      <x:c r="C103" s="13" t="n">
        <x:v>8</x:v>
      </x:c>
      <x:c r="D103" s="16" t="n">
        <x:v>5199.999999999999</x:v>
      </x:c>
      <x:c r="E103" s="16" t="n">
        <x:v>496.13936657010856</x:v>
      </x:c>
      <x:c r="F103" s="16" t="n">
        <x:v>4703.86063342989</x:v>
      </x:c>
      <x:c r="G103" s="16" t="n">
        <x:v>59824.54453162666</x:v>
      </x:c>
      <x:c r="H103" s="16" t="n">
        <x:v>347297.7337857942</x:v>
      </x:c>
      <x:c r="I103" s="16" t="n">
        <x:v>1015588.4354348005</x:v>
      </x:c>
      <x:c r="J103" s="16" t="n">
        <x:v>1015588.4354348005</x:v>
      </x:c>
      <x:c r="K103" s="16" t="n">
        <x:v>0</x:v>
      </x:c>
      <x:c r="L103" s="18" t="n">
        <x:v>0</x:v>
      </x:c>
      <x:c r="M103" s="18" t="n">
        <x:v>0.0046532123950493</x:v>
      </x:c>
      <x:c r="O103" t="str">
        <x:v>2021-09-30</x:v>
      </x:c>
      <x:c r="P103" t="n">
        <x:v>1015588.4354348005</x:v>
      </x:c>
    </x:row>
    <x:row r="104" ht="15" hidden="0" customHeight="1">
      <x:c r="A104" s="13" t="str">
        <x:v>2021-10-01</x:v>
      </x:c>
      <x:c r="B104" s="13" t="n">
        <x:v>0</x:v>
      </x:c>
      <x:c r="C104" s="13" t="n">
        <x:v>0</x:v>
      </x:c>
      <x:c r="D104" s="16" t="n">
        <x:v>0</x:v>
      </x:c>
      <x:c r="E104" s="16" t="n">
        <x:v>0</x:v>
      </x:c>
      <x:c r="F104" s="16" t="n">
        <x:v>0</x:v>
      </x:c>
      <x:c r="G104" s="16" t="n">
        <x:v>0</x:v>
      </x:c>
      <x:c r="H104" s="16" t="n">
        <x:v>0</x:v>
      </x:c>
      <x:c r="I104" s="16" t="n">
        <x:v>1015588.4354348005</x:v>
      </x:c>
      <x:c r="J104" s="16" t="n">
        <x:v>1015588.4354348005</x:v>
      </x:c>
      <x:c r="K104" s="16" t="n">
        <x:v>0</x:v>
      </x:c>
      <x:c r="L104" s="18" t="n">
        <x:v>0</x:v>
      </x:c>
      <x:c r="M104" s="18" t="n">
        <x:v>0</x:v>
      </x:c>
      <x:c r="O104" t="str">
        <x:v>2021-10-01</x:v>
      </x:c>
      <x:c r="P104" t="n">
        <x:v>1015588.4354348005</x:v>
      </x:c>
    </x:row>
    <x:row r="105" ht="15" hidden="0" customHeight="1">
      <x:c r="A105" s="13" t="str">
        <x:v>2021-10-04</x:v>
      </x:c>
      <x:c r="B105" s="13" t="n">
        <x:v>0</x:v>
      </x:c>
      <x:c r="C105" s="13" t="n">
        <x:v>0</x:v>
      </x:c>
      <x:c r="D105" s="16" t="n">
        <x:v>0</x:v>
      </x:c>
      <x:c r="E105" s="16" t="n">
        <x:v>0</x:v>
      </x:c>
      <x:c r="F105" s="16" t="n">
        <x:v>0</x:v>
      </x:c>
      <x:c r="G105" s="16" t="n">
        <x:v>0</x:v>
      </x:c>
      <x:c r="H105" s="16" t="n">
        <x:v>0</x:v>
      </x:c>
      <x:c r="I105" s="16" t="n">
        <x:v>1015588.4354348005</x:v>
      </x:c>
      <x:c r="J105" s="16" t="n">
        <x:v>1015588.4354348005</x:v>
      </x:c>
      <x:c r="K105" s="16" t="n">
        <x:v>0</x:v>
      </x:c>
      <x:c r="L105" s="18" t="n">
        <x:v>0</x:v>
      </x:c>
      <x:c r="M105" s="18" t="n">
        <x:v>0</x:v>
      </x:c>
      <x:c r="O105" t="str">
        <x:v>2021-10-04</x:v>
      </x:c>
      <x:c r="P105" t="n">
        <x:v>1015588.4354348005</x:v>
      </x:c>
    </x:row>
    <x:row r="106" ht="15" hidden="0" customHeight="1">
      <x:c r="A106" s="13" t="str">
        <x:v>2021-10-05</x:v>
      </x:c>
      <x:c r="B106" s="13" t="n">
        <x:v>0</x:v>
      </x:c>
      <x:c r="C106" s="13" t="n">
        <x:v>0</x:v>
      </x:c>
      <x:c r="D106" s="16" t="n">
        <x:v>0</x:v>
      </x:c>
      <x:c r="E106" s="16" t="n">
        <x:v>0</x:v>
      </x:c>
      <x:c r="F106" s="16" t="n">
        <x:v>0</x:v>
      </x:c>
      <x:c r="G106" s="16" t="n">
        <x:v>0</x:v>
      </x:c>
      <x:c r="H106" s="16" t="n">
        <x:v>0</x:v>
      </x:c>
      <x:c r="I106" s="16" t="n">
        <x:v>1015588.4354348005</x:v>
      </x:c>
      <x:c r="J106" s="16" t="n">
        <x:v>1015588.4354348005</x:v>
      </x:c>
      <x:c r="K106" s="16" t="n">
        <x:v>0</x:v>
      </x:c>
      <x:c r="L106" s="18" t="n">
        <x:v>0</x:v>
      </x:c>
      <x:c r="M106" s="18" t="n">
        <x:v>0</x:v>
      </x:c>
      <x:c r="O106" t="str">
        <x:v>2021-10-05</x:v>
      </x:c>
      <x:c r="P106" t="n">
        <x:v>1015588.4354348005</x:v>
      </x:c>
    </x:row>
    <x:row r="107" ht="15" hidden="0" customHeight="1">
      <x:c r="A107" s="13" t="str">
        <x:v>2021-10-06</x:v>
      </x:c>
      <x:c r="B107" s="13" t="n">
        <x:v>0</x:v>
      </x:c>
      <x:c r="C107" s="13" t="n">
        <x:v>0</x:v>
      </x:c>
      <x:c r="D107" s="16" t="n">
        <x:v>0</x:v>
      </x:c>
      <x:c r="E107" s="16" t="n">
        <x:v>0</x:v>
      </x:c>
      <x:c r="F107" s="16" t="n">
        <x:v>0</x:v>
      </x:c>
      <x:c r="G107" s="16" t="n">
        <x:v>0</x:v>
      </x:c>
      <x:c r="H107" s="16" t="n">
        <x:v>0</x:v>
      </x:c>
      <x:c r="I107" s="16" t="n">
        <x:v>1015588.4354348005</x:v>
      </x:c>
      <x:c r="J107" s="16" t="n">
        <x:v>1015588.4354348005</x:v>
      </x:c>
      <x:c r="K107" s="16" t="n">
        <x:v>0</x:v>
      </x:c>
      <x:c r="L107" s="18" t="n">
        <x:v>0</x:v>
      </x:c>
      <x:c r="M107" s="18" t="n">
        <x:v>0</x:v>
      </x:c>
      <x:c r="O107" t="str">
        <x:v>2021-10-06</x:v>
      </x:c>
      <x:c r="P107" t="n">
        <x:v>1015588.4354348005</x:v>
      </x:c>
    </x:row>
    <x:row r="108" ht="15" hidden="0" customHeight="1">
      <x:c r="A108" s="13" t="str">
        <x:v>2021-10-07</x:v>
      </x:c>
      <x:c r="B108" s="13" t="n">
        <x:v>0</x:v>
      </x:c>
      <x:c r="C108" s="13" t="n">
        <x:v>0</x:v>
      </x:c>
      <x:c r="D108" s="16" t="n">
        <x:v>0</x:v>
      </x:c>
      <x:c r="E108" s="16" t="n">
        <x:v>0</x:v>
      </x:c>
      <x:c r="F108" s="16" t="n">
        <x:v>0</x:v>
      </x:c>
      <x:c r="G108" s="16" t="n">
        <x:v>0</x:v>
      </x:c>
      <x:c r="H108" s="16" t="n">
        <x:v>0</x:v>
      </x:c>
      <x:c r="I108" s="16" t="n">
        <x:v>1015588.4354348005</x:v>
      </x:c>
      <x:c r="J108" s="16" t="n">
        <x:v>1015588.4354348005</x:v>
      </x:c>
      <x:c r="K108" s="16" t="n">
        <x:v>0</x:v>
      </x:c>
      <x:c r="L108" s="18" t="n">
        <x:v>0</x:v>
      </x:c>
      <x:c r="M108" s="18" t="n">
        <x:v>0</x:v>
      </x:c>
      <x:c r="O108" t="str">
        <x:v>2021-10-07</x:v>
      </x:c>
      <x:c r="P108" t="n">
        <x:v>1015588.4354348005</x:v>
      </x:c>
    </x:row>
    <x:row r="109" ht="15" hidden="0" customHeight="1">
      <x:c r="A109" s="13" t="str">
        <x:v>2021-10-08</x:v>
      </x:c>
      <x:c r="B109" s="13" t="n">
        <x:v>0</x:v>
      </x:c>
      <x:c r="C109" s="13" t="n">
        <x:v>0</x:v>
      </x:c>
      <x:c r="D109" s="16" t="n">
        <x:v>0</x:v>
      </x:c>
      <x:c r="E109" s="16" t="n">
        <x:v>0</x:v>
      </x:c>
      <x:c r="F109" s="16" t="n">
        <x:v>0</x:v>
      </x:c>
      <x:c r="G109" s="16" t="n">
        <x:v>0</x:v>
      </x:c>
      <x:c r="H109" s="16" t="n">
        <x:v>0</x:v>
      </x:c>
      <x:c r="I109" s="16" t="n">
        <x:v>1015588.4354348005</x:v>
      </x:c>
      <x:c r="J109" s="16" t="n">
        <x:v>1015588.4354348005</x:v>
      </x:c>
      <x:c r="K109" s="16" t="n">
        <x:v>0</x:v>
      </x:c>
      <x:c r="L109" s="18" t="n">
        <x:v>0</x:v>
      </x:c>
      <x:c r="M109" s="18" t="n">
        <x:v>0</x:v>
      </x:c>
      <x:c r="O109" t="str">
        <x:v>2021-10-08</x:v>
      </x:c>
      <x:c r="P109" t="n">
        <x:v>1015588.4354348005</x:v>
      </x:c>
    </x:row>
    <x:row r="110" ht="15" hidden="0" customHeight="1">
      <x:c r="A110" s="13" t="str">
        <x:v>2021-10-11</x:v>
      </x:c>
      <x:c r="B110" s="13" t="n">
        <x:v>0</x:v>
      </x:c>
      <x:c r="C110" s="13" t="n">
        <x:v>0</x:v>
      </x:c>
      <x:c r="D110" s="16" t="n">
        <x:v>0</x:v>
      </x:c>
      <x:c r="E110" s="16" t="n">
        <x:v>0</x:v>
      </x:c>
      <x:c r="F110" s="16" t="n">
        <x:v>0</x:v>
      </x:c>
      <x:c r="G110" s="16" t="n">
        <x:v>0</x:v>
      </x:c>
      <x:c r="H110" s="16" t="n">
        <x:v>0</x:v>
      </x:c>
      <x:c r="I110" s="16" t="n">
        <x:v>1015588.4354348005</x:v>
      </x:c>
      <x:c r="J110" s="16" t="n">
        <x:v>1015588.4354348005</x:v>
      </x:c>
      <x:c r="K110" s="16" t="n">
        <x:v>0</x:v>
      </x:c>
      <x:c r="L110" s="18" t="n">
        <x:v>0</x:v>
      </x:c>
      <x:c r="M110" s="18" t="n">
        <x:v>0</x:v>
      </x:c>
      <x:c r="O110" t="str">
        <x:v>2021-10-11</x:v>
      </x:c>
      <x:c r="P110" t="n">
        <x:v>1015588.4354348005</x:v>
      </x:c>
    </x:row>
    <x:row r="111" ht="15" hidden="0" customHeight="1">
      <x:c r="A111" s="13" t="str">
        <x:v>2021-10-12</x:v>
      </x:c>
      <x:c r="B111" s="13" t="n">
        <x:v>0</x:v>
      </x:c>
      <x:c r="C111" s="13" t="n">
        <x:v>0</x:v>
      </x:c>
      <x:c r="D111" s="16" t="n">
        <x:v>0</x:v>
      </x:c>
      <x:c r="E111" s="16" t="n">
        <x:v>0</x:v>
      </x:c>
      <x:c r="F111" s="16" t="n">
        <x:v>0</x:v>
      </x:c>
      <x:c r="G111" s="16" t="n">
        <x:v>0</x:v>
      </x:c>
      <x:c r="H111" s="16" t="n">
        <x:v>0</x:v>
      </x:c>
      <x:c r="I111" s="16" t="n">
        <x:v>1015588.4354348005</x:v>
      </x:c>
      <x:c r="J111" s="16" t="n">
        <x:v>1015588.4354348005</x:v>
      </x:c>
      <x:c r="K111" s="16" t="n">
        <x:v>0</x:v>
      </x:c>
      <x:c r="L111" s="18" t="n">
        <x:v>0</x:v>
      </x:c>
      <x:c r="M111" s="18" t="n">
        <x:v>0</x:v>
      </x:c>
      <x:c r="O111" t="str">
        <x:v>2021-10-12</x:v>
      </x:c>
      <x:c r="P111" t="n">
        <x:v>1015588.4354348005</x:v>
      </x:c>
    </x:row>
    <x:row r="112" ht="15" hidden="0" customHeight="1">
      <x:c r="A112" s="13" t="str">
        <x:v>2021-10-13</x:v>
      </x:c>
      <x:c r="B112" s="13" t="n">
        <x:v>0</x:v>
      </x:c>
      <x:c r="C112" s="13" t="n">
        <x:v>0</x:v>
      </x:c>
      <x:c r="D112" s="16" t="n">
        <x:v>0</x:v>
      </x:c>
      <x:c r="E112" s="16" t="n">
        <x:v>0</x:v>
      </x:c>
      <x:c r="F112" s="16" t="n">
        <x:v>0</x:v>
      </x:c>
      <x:c r="G112" s="16" t="n">
        <x:v>0</x:v>
      </x:c>
      <x:c r="H112" s="16" t="n">
        <x:v>0</x:v>
      </x:c>
      <x:c r="I112" s="16" t="n">
        <x:v>1015588.4354348005</x:v>
      </x:c>
      <x:c r="J112" s="16" t="n">
        <x:v>1015588.4354348005</x:v>
      </x:c>
      <x:c r="K112" s="16" t="n">
        <x:v>0</x:v>
      </x:c>
      <x:c r="L112" s="18" t="n">
        <x:v>0</x:v>
      </x:c>
      <x:c r="M112" s="18" t="n">
        <x:v>0</x:v>
      </x:c>
      <x:c r="O112" t="str">
        <x:v>2021-10-13</x:v>
      </x:c>
      <x:c r="P112" t="n">
        <x:v>1015588.4354348005</x:v>
      </x:c>
    </x:row>
    <x:row r="113" ht="15" hidden="0" customHeight="1">
      <x:c r="A113" s="13" t="str">
        <x:v>2021-10-14</x:v>
      </x:c>
      <x:c r="B113" s="13" t="n">
        <x:v>1</x:v>
      </x:c>
      <x:c r="C113" s="13" t="n">
        <x:v>7</x:v>
      </x:c>
      <x:c r="D113" s="16" t="n">
        <x:v>-2782.5000000000014</x:v>
      </x:c>
      <x:c r="E113" s="16" t="n">
        <x:v>427.6838666419766</x:v>
      </x:c>
      <x:c r="F113" s="16" t="n">
        <x:v>-3210.183866641978</x:v>
      </x:c>
      <x:c r="G113" s="16" t="n">
        <x:v>44098.89698901151</x:v>
      </x:c>
      <x:c r="H113" s="16" t="n">
        <x:v>310289.7551036363</x:v>
      </x:c>
      <x:c r="I113" s="16" t="n">
        <x:v>1012378.2515681584</x:v>
      </x:c>
      <x:c r="J113" s="16" t="n">
        <x:v>1015588.4354348005</x:v>
      </x:c>
      <x:c r="K113" s="16" t="n">
        <x:v>-3210.18386664195</x:v>
      </x:c>
      <x:c r="L113" s="18" t="n">
        <x:v>-0.0031609102217352</x:v>
      </x:c>
      <x:c r="M113" s="18" t="n">
        <x:v>-0.0031609102217352</x:v>
      </x:c>
      <x:c r="O113" t="str">
        <x:v>2021-10-14</x:v>
      </x:c>
      <x:c r="P113" t="n">
        <x:v>1012378.2515681584</x:v>
      </x:c>
    </x:row>
    <x:row r="114" ht="15" hidden="0" customHeight="1">
      <x:c r="A114" s="13" t="str">
        <x:v>2021-10-15</x:v>
      </x:c>
      <x:c r="B114" s="13" t="n">
        <x:v>0</x:v>
      </x:c>
      <x:c r="C114" s="13" t="n">
        <x:v>0</x:v>
      </x:c>
      <x:c r="D114" s="16" t="n">
        <x:v>0</x:v>
      </x:c>
      <x:c r="E114" s="16" t="n">
        <x:v>0</x:v>
      </x:c>
      <x:c r="F114" s="16" t="n">
        <x:v>0</x:v>
      </x:c>
      <x:c r="G114" s="16" t="n">
        <x:v>0</x:v>
      </x:c>
      <x:c r="H114" s="16" t="n">
        <x:v>0</x:v>
      </x:c>
      <x:c r="I114" s="16" t="n">
        <x:v>1012378.2515681584</x:v>
      </x:c>
      <x:c r="J114" s="16" t="n">
        <x:v>1015588.4354348005</x:v>
      </x:c>
      <x:c r="K114" s="16" t="n">
        <x:v>-3210.18386664195</x:v>
      </x:c>
      <x:c r="L114" s="18" t="n">
        <x:v>-0.0031609102217352</x:v>
      </x:c>
      <x:c r="M114" s="18" t="n">
        <x:v>0</x:v>
      </x:c>
      <x:c r="O114" t="str">
        <x:v>2021-10-15</x:v>
      </x:c>
      <x:c r="P114" t="n">
        <x:v>1012378.2515681584</x:v>
      </x:c>
    </x:row>
    <x:row r="115" ht="15" hidden="0" customHeight="1">
      <x:c r="A115" s="13" t="str">
        <x:v>2021-10-18</x:v>
      </x:c>
      <x:c r="B115" s="13" t="n">
        <x:v>0</x:v>
      </x:c>
      <x:c r="C115" s="13" t="n">
        <x:v>0</x:v>
      </x:c>
      <x:c r="D115" s="16" t="n">
        <x:v>0</x:v>
      </x:c>
      <x:c r="E115" s="16" t="n">
        <x:v>0</x:v>
      </x:c>
      <x:c r="F115" s="16" t="n">
        <x:v>0</x:v>
      </x:c>
      <x:c r="G115" s="16" t="n">
        <x:v>0</x:v>
      </x:c>
      <x:c r="H115" s="16" t="n">
        <x:v>0</x:v>
      </x:c>
      <x:c r="I115" s="16" t="n">
        <x:v>1012378.2515681584</x:v>
      </x:c>
      <x:c r="J115" s="16" t="n">
        <x:v>1015588.4354348005</x:v>
      </x:c>
      <x:c r="K115" s="16" t="n">
        <x:v>-3210.18386664195</x:v>
      </x:c>
      <x:c r="L115" s="18" t="n">
        <x:v>-0.0031609102217352</x:v>
      </x:c>
      <x:c r="M115" s="18" t="n">
        <x:v>0</x:v>
      </x:c>
      <x:c r="O115" t="str">
        <x:v>2021-10-18</x:v>
      </x:c>
      <x:c r="P115" t="n">
        <x:v>1012378.2515681584</x:v>
      </x:c>
    </x:row>
    <x:row r="116" ht="15" hidden="0" customHeight="1">
      <x:c r="A116" s="13" t="str">
        <x:v>2021-10-19</x:v>
      </x:c>
      <x:c r="B116" s="13" t="n">
        <x:v>0</x:v>
      </x:c>
      <x:c r="C116" s="13" t="n">
        <x:v>0</x:v>
      </x:c>
      <x:c r="D116" s="16" t="n">
        <x:v>0</x:v>
      </x:c>
      <x:c r="E116" s="16" t="n">
        <x:v>0</x:v>
      </x:c>
      <x:c r="F116" s="16" t="n">
        <x:v>0</x:v>
      </x:c>
      <x:c r="G116" s="16" t="n">
        <x:v>0</x:v>
      </x:c>
      <x:c r="H116" s="16" t="n">
        <x:v>0</x:v>
      </x:c>
      <x:c r="I116" s="16" t="n">
        <x:v>1012378.2515681584</x:v>
      </x:c>
      <x:c r="J116" s="16" t="n">
        <x:v>1015588.4354348005</x:v>
      </x:c>
      <x:c r="K116" s="16" t="n">
        <x:v>-3210.18386664195</x:v>
      </x:c>
      <x:c r="L116" s="18" t="n">
        <x:v>-0.0031609102217352</x:v>
      </x:c>
      <x:c r="M116" s="18" t="n">
        <x:v>0</x:v>
      </x:c>
      <x:c r="O116" t="str">
        <x:v>2021-10-19</x:v>
      </x:c>
      <x:c r="P116" t="n">
        <x:v>1012378.2515681584</x:v>
      </x:c>
    </x:row>
    <x:row r="117" ht="15" hidden="0" customHeight="1">
      <x:c r="A117" s="13" t="str">
        <x:v>2021-10-20</x:v>
      </x:c>
      <x:c r="B117" s="13" t="n">
        <x:v>0</x:v>
      </x:c>
      <x:c r="C117" s="13" t="n">
        <x:v>0</x:v>
      </x:c>
      <x:c r="D117" s="16" t="n">
        <x:v>0</x:v>
      </x:c>
      <x:c r="E117" s="16" t="n">
        <x:v>0</x:v>
      </x:c>
      <x:c r="F117" s="16" t="n">
        <x:v>0</x:v>
      </x:c>
      <x:c r="G117" s="16" t="n">
        <x:v>0</x:v>
      </x:c>
      <x:c r="H117" s="16" t="n">
        <x:v>0</x:v>
      </x:c>
      <x:c r="I117" s="16" t="n">
        <x:v>1012378.2515681584</x:v>
      </x:c>
      <x:c r="J117" s="16" t="n">
        <x:v>1015588.4354348005</x:v>
      </x:c>
      <x:c r="K117" s="16" t="n">
        <x:v>-3210.18386664195</x:v>
      </x:c>
      <x:c r="L117" s="18" t="n">
        <x:v>-0.0031609102217352</x:v>
      </x:c>
      <x:c r="M117" s="18" t="n">
        <x:v>0</x:v>
      </x:c>
      <x:c r="O117" t="str">
        <x:v>2021-10-20</x:v>
      </x:c>
      <x:c r="P117" t="n">
        <x:v>1012378.2515681584</x:v>
      </x:c>
    </x:row>
    <x:row r="118" ht="15" hidden="0" customHeight="1">
      <x:c r="A118" s="13" t="str">
        <x:v>2021-10-21</x:v>
      </x:c>
      <x:c r="B118" s="13" t="n">
        <x:v>1</x:v>
      </x:c>
      <x:c r="C118" s="13" t="n">
        <x:v>7</x:v>
      </x:c>
      <x:c r="D118" s="16" t="n">
        <x:v>3814.999999999999</x:v>
      </x:c>
      <x:c r="E118" s="16" t="n">
        <x:v>539.6256736259577</x:v>
      </x:c>
      <x:c r="F118" s="16" t="n">
        <x:v>3275.3743263740416</x:v>
      </x:c>
      <x:c r="G118" s="16" t="n">
        <x:v>86710.33752011642</x:v>
      </x:c>
      <x:c r="H118" s="16" t="n">
        <x:v>318180.7458439601</x:v>
      </x:c>
      <x:c r="I118" s="16" t="n">
        <x:v>1015653.6258945324</x:v>
      </x:c>
      <x:c r="J118" s="16" t="n">
        <x:v>1015653.6258945324</x:v>
      </x:c>
      <x:c r="K118" s="16" t="n">
        <x:v>0</x:v>
      </x:c>
      <x:c r="L118" s="18" t="n">
        <x:v>0</x:v>
      </x:c>
      <x:c r="M118" s="18" t="n">
        <x:v>0.0032353266393272</x:v>
      </x:c>
      <x:c r="O118" t="str">
        <x:v>2021-10-21</x:v>
      </x:c>
      <x:c r="P118" t="n">
        <x:v>1015653.6258945324</x:v>
      </x:c>
    </x:row>
    <x:row r="119" ht="15" hidden="0" customHeight="1">
      <x:c r="A119" s="13" t="str">
        <x:v>2021-10-22</x:v>
      </x:c>
      <x:c r="B119" s="13" t="n">
        <x:v>0</x:v>
      </x:c>
      <x:c r="C119" s="13" t="n">
        <x:v>0</x:v>
      </x:c>
      <x:c r="D119" s="16" t="n">
        <x:v>0</x:v>
      </x:c>
      <x:c r="E119" s="16" t="n">
        <x:v>0</x:v>
      </x:c>
      <x:c r="F119" s="16" t="n">
        <x:v>0</x:v>
      </x:c>
      <x:c r="G119" s="16" t="n">
        <x:v>0</x:v>
      </x:c>
      <x:c r="H119" s="16" t="n">
        <x:v>0</x:v>
      </x:c>
      <x:c r="I119" s="16" t="n">
        <x:v>1015653.6258945324</x:v>
      </x:c>
      <x:c r="J119" s="16" t="n">
        <x:v>1015653.6258945324</x:v>
      </x:c>
      <x:c r="K119" s="16" t="n">
        <x:v>0</x:v>
      </x:c>
      <x:c r="L119" s="18" t="n">
        <x:v>0</x:v>
      </x:c>
      <x:c r="M119" s="18" t="n">
        <x:v>0</x:v>
      </x:c>
      <x:c r="O119" t="str">
        <x:v>2021-10-22</x:v>
      </x:c>
      <x:c r="P119" t="n">
        <x:v>1015653.6258945324</x:v>
      </x:c>
    </x:row>
    <x:row r="120" ht="15" hidden="0" customHeight="1">
      <x:c r="A120" s="13" t="str">
        <x:v>2021-10-25</x:v>
      </x:c>
      <x:c r="B120" s="13" t="n">
        <x:v>0</x:v>
      </x:c>
      <x:c r="C120" s="13" t="n">
        <x:v>0</x:v>
      </x:c>
      <x:c r="D120" s="16" t="n">
        <x:v>0</x:v>
      </x:c>
      <x:c r="E120" s="16" t="n">
        <x:v>0</x:v>
      </x:c>
      <x:c r="F120" s="16" t="n">
        <x:v>0</x:v>
      </x:c>
      <x:c r="G120" s="16" t="n">
        <x:v>0</x:v>
      </x:c>
      <x:c r="H120" s="16" t="n">
        <x:v>0</x:v>
      </x:c>
      <x:c r="I120" s="16" t="n">
        <x:v>1015653.6258945324</x:v>
      </x:c>
      <x:c r="J120" s="16" t="n">
        <x:v>1015653.6258945324</x:v>
      </x:c>
      <x:c r="K120" s="16" t="n">
        <x:v>0</x:v>
      </x:c>
      <x:c r="L120" s="18" t="n">
        <x:v>0</x:v>
      </x:c>
      <x:c r="M120" s="18" t="n">
        <x:v>0</x:v>
      </x:c>
      <x:c r="O120" t="str">
        <x:v>2021-10-25</x:v>
      </x:c>
      <x:c r="P120" t="n">
        <x:v>1015653.6258945324</x:v>
      </x:c>
    </x:row>
    <x:row r="121" ht="15" hidden="0" customHeight="1">
      <x:c r="A121" s="13" t="str">
        <x:v>2021-10-26</x:v>
      </x:c>
      <x:c r="B121" s="13" t="n">
        <x:v>0</x:v>
      </x:c>
      <x:c r="C121" s="13" t="n">
        <x:v>0</x:v>
      </x:c>
      <x:c r="D121" s="16" t="n">
        <x:v>0</x:v>
      </x:c>
      <x:c r="E121" s="16" t="n">
        <x:v>0</x:v>
      </x:c>
      <x:c r="F121" s="16" t="n">
        <x:v>0</x:v>
      </x:c>
      <x:c r="G121" s="16" t="n">
        <x:v>0</x:v>
      </x:c>
      <x:c r="H121" s="16" t="n">
        <x:v>0</x:v>
      </x:c>
      <x:c r="I121" s="16" t="n">
        <x:v>1015653.6258945324</x:v>
      </x:c>
      <x:c r="J121" s="16" t="n">
        <x:v>1015653.6258945324</x:v>
      </x:c>
      <x:c r="K121" s="16" t="n">
        <x:v>0</x:v>
      </x:c>
      <x:c r="L121" s="18" t="n">
        <x:v>0</x:v>
      </x:c>
      <x:c r="M121" s="18" t="n">
        <x:v>0</x:v>
      </x:c>
      <x:c r="O121" t="str">
        <x:v>2021-10-26</x:v>
      </x:c>
      <x:c r="P121" t="n">
        <x:v>1015653.6258945324</x:v>
      </x:c>
    </x:row>
    <x:row r="122" ht="15" hidden="0" customHeight="1">
      <x:c r="A122" s="13" t="str">
        <x:v>2021-10-27</x:v>
      </x:c>
      <x:c r="B122" s="13" t="n">
        <x:v>0</x:v>
      </x:c>
      <x:c r="C122" s="13" t="n">
        <x:v>0</x:v>
      </x:c>
      <x:c r="D122" s="16" t="n">
        <x:v>0</x:v>
      </x:c>
      <x:c r="E122" s="16" t="n">
        <x:v>0</x:v>
      </x:c>
      <x:c r="F122" s="16" t="n">
        <x:v>0</x:v>
      </x:c>
      <x:c r="G122" s="16" t="n">
        <x:v>0</x:v>
      </x:c>
      <x:c r="H122" s="16" t="n">
        <x:v>0</x:v>
      </x:c>
      <x:c r="I122" s="16" t="n">
        <x:v>1015653.6258945324</x:v>
      </x:c>
      <x:c r="J122" s="16" t="n">
        <x:v>1015653.6258945324</x:v>
      </x:c>
      <x:c r="K122" s="16" t="n">
        <x:v>0</x:v>
      </x:c>
      <x:c r="L122" s="18" t="n">
        <x:v>0</x:v>
      </x:c>
      <x:c r="M122" s="18" t="n">
        <x:v>0</x:v>
      </x:c>
      <x:c r="O122" t="str">
        <x:v>2021-10-27</x:v>
      </x:c>
      <x:c r="P122" t="n">
        <x:v>1015653.6258945324</x:v>
      </x:c>
    </x:row>
    <x:row r="123" ht="15" hidden="0" customHeight="1">
      <x:c r="A123" s="13" t="str">
        <x:v>2021-10-28</x:v>
      </x:c>
      <x:c r="B123" s="13" t="n">
        <x:v>0</x:v>
      </x:c>
      <x:c r="C123" s="13" t="n">
        <x:v>0</x:v>
      </x:c>
      <x:c r="D123" s="16" t="n">
        <x:v>0</x:v>
      </x:c>
      <x:c r="E123" s="16" t="n">
        <x:v>0</x:v>
      </x:c>
      <x:c r="F123" s="16" t="n">
        <x:v>0</x:v>
      </x:c>
      <x:c r="G123" s="16" t="n">
        <x:v>0</x:v>
      </x:c>
      <x:c r="H123" s="16" t="n">
        <x:v>0</x:v>
      </x:c>
      <x:c r="I123" s="16" t="n">
        <x:v>1015653.6258945324</x:v>
      </x:c>
      <x:c r="J123" s="16" t="n">
        <x:v>1015653.6258945324</x:v>
      </x:c>
      <x:c r="K123" s="16" t="n">
        <x:v>0</x:v>
      </x:c>
      <x:c r="L123" s="18" t="n">
        <x:v>0</x:v>
      </x:c>
      <x:c r="M123" s="18" t="n">
        <x:v>0</x:v>
      </x:c>
      <x:c r="O123" t="str">
        <x:v>2021-10-28</x:v>
      </x:c>
      <x:c r="P123" t="n">
        <x:v>1015653.6258945324</x:v>
      </x:c>
    </x:row>
    <x:row r="124" ht="15" hidden="0" customHeight="1">
      <x:c r="A124" s="13" t="str">
        <x:v>2021-10-29</x:v>
      </x:c>
      <x:c r="B124" s="13" t="n">
        <x:v>0</x:v>
      </x:c>
      <x:c r="C124" s="13" t="n">
        <x:v>0</x:v>
      </x:c>
      <x:c r="D124" s="16" t="n">
        <x:v>0</x:v>
      </x:c>
      <x:c r="E124" s="16" t="n">
        <x:v>0</x:v>
      </x:c>
      <x:c r="F124" s="16" t="n">
        <x:v>0</x:v>
      </x:c>
      <x:c r="G124" s="16" t="n">
        <x:v>0</x:v>
      </x:c>
      <x:c r="H124" s="16" t="n">
        <x:v>0</x:v>
      </x:c>
      <x:c r="I124" s="16" t="n">
        <x:v>1015653.6258945324</x:v>
      </x:c>
      <x:c r="J124" s="16" t="n">
        <x:v>1015653.6258945324</x:v>
      </x:c>
      <x:c r="K124" s="16" t="n">
        <x:v>0</x:v>
      </x:c>
      <x:c r="L124" s="18" t="n">
        <x:v>0</x:v>
      </x:c>
      <x:c r="M124" s="18" t="n">
        <x:v>0</x:v>
      </x:c>
      <x:c r="O124" t="str">
        <x:v>2021-10-29</x:v>
      </x:c>
      <x:c r="P124" t="n">
        <x:v>1015653.6258945324</x:v>
      </x:c>
    </x:row>
    <x:row r="125" ht="15" hidden="0" customHeight="1">
      <x:c r="A125" s="13" t="str">
        <x:v>2021-11-01</x:v>
      </x:c>
      <x:c r="B125" s="13" t="n">
        <x:v>0</x:v>
      </x:c>
      <x:c r="C125" s="13" t="n">
        <x:v>0</x:v>
      </x:c>
      <x:c r="D125" s="16" t="n">
        <x:v>0</x:v>
      </x:c>
      <x:c r="E125" s="16" t="n">
        <x:v>0</x:v>
      </x:c>
      <x:c r="F125" s="16" t="n">
        <x:v>0</x:v>
      </x:c>
      <x:c r="G125" s="16" t="n">
        <x:v>0</x:v>
      </x:c>
      <x:c r="H125" s="16" t="n">
        <x:v>0</x:v>
      </x:c>
      <x:c r="I125" s="16" t="n">
        <x:v>1015653.6258945324</x:v>
      </x:c>
      <x:c r="J125" s="16" t="n">
        <x:v>1015653.6258945324</x:v>
      </x:c>
      <x:c r="K125" s="16" t="n">
        <x:v>0</x:v>
      </x:c>
      <x:c r="L125" s="18" t="n">
        <x:v>0</x:v>
      </x:c>
      <x:c r="M125" s="18" t="n">
        <x:v>0</x:v>
      </x:c>
      <x:c r="O125" t="str">
        <x:v>2021-11-01</x:v>
      </x:c>
      <x:c r="P125" t="n">
        <x:v>1015653.6258945324</x:v>
      </x:c>
    </x:row>
    <x:row r="126" ht="15" hidden="0" customHeight="1">
      <x:c r="A126" s="13" t="str">
        <x:v>2021-11-02</x:v>
      </x:c>
      <x:c r="B126" s="13" t="n">
        <x:v>0</x:v>
      </x:c>
      <x:c r="C126" s="13" t="n">
        <x:v>0</x:v>
      </x:c>
      <x:c r="D126" s="16" t="n">
        <x:v>0</x:v>
      </x:c>
      <x:c r="E126" s="16" t="n">
        <x:v>0</x:v>
      </x:c>
      <x:c r="F126" s="16" t="n">
        <x:v>0</x:v>
      </x:c>
      <x:c r="G126" s="16" t="n">
        <x:v>0</x:v>
      </x:c>
      <x:c r="H126" s="16" t="n">
        <x:v>0</x:v>
      </x:c>
      <x:c r="I126" s="16" t="n">
        <x:v>1015653.6258945324</x:v>
      </x:c>
      <x:c r="J126" s="16" t="n">
        <x:v>1015653.6258945324</x:v>
      </x:c>
      <x:c r="K126" s="16" t="n">
        <x:v>0</x:v>
      </x:c>
      <x:c r="L126" s="18" t="n">
        <x:v>0</x:v>
      </x:c>
      <x:c r="M126" s="18" t="n">
        <x:v>0</x:v>
      </x:c>
      <x:c r="O126" t="str">
        <x:v>2021-11-02</x:v>
      </x:c>
      <x:c r="P126" t="n">
        <x:v>1015653.6258945324</x:v>
      </x:c>
    </x:row>
    <x:row r="127" ht="15" hidden="0" customHeight="1">
      <x:c r="A127" s="13" t="str">
        <x:v>2021-11-03</x:v>
      </x:c>
      <x:c r="B127" s="13" t="n">
        <x:v>1</x:v>
      </x:c>
      <x:c r="C127" s="13" t="n">
        <x:v>8</x:v>
      </x:c>
      <x:c r="D127" s="16" t="n">
        <x:v>6600.000000000002</x:v>
      </x:c>
      <x:c r="E127" s="16" t="n">
        <x:v>447.76770338687857</x:v>
      </x:c>
      <x:c r="F127" s="16" t="n">
        <x:v>6152.232296613123</x:v>
      </x:c>
      <x:c r="G127" s="16" t="n">
        <x:v>51743.89078912501</x:v>
      </x:c>
      <x:c r="H127" s="16" t="n">
        <x:v>350582.6027948463</x:v>
      </x:c>
      <x:c r="I127" s="16" t="n">
        <x:v>1021805.8581911456</x:v>
      </x:c>
      <x:c r="J127" s="16" t="n">
        <x:v>1021805.8581911456</x:v>
      </x:c>
      <x:c r="K127" s="16" t="n">
        <x:v>0</x:v>
      </x:c>
      <x:c r="L127" s="18" t="n">
        <x:v>0</x:v>
      </x:c>
      <x:c r="M127" s="18" t="n">
        <x:v>0.0060574118378149</x:v>
      </x:c>
      <x:c r="O127" t="str">
        <x:v>2021-11-03</x:v>
      </x:c>
      <x:c r="P127" t="n">
        <x:v>1021805.8581911456</x:v>
      </x:c>
    </x:row>
    <x:row r="128" ht="15" hidden="0" customHeight="1">
      <x:c r="A128" s="13" t="str">
        <x:v>2021-11-04</x:v>
      </x:c>
      <x:c r="B128" s="13" t="n">
        <x:v>0</x:v>
      </x:c>
      <x:c r="C128" s="13" t="n">
        <x:v>0</x:v>
      </x:c>
      <x:c r="D128" s="16" t="n">
        <x:v>0</x:v>
      </x:c>
      <x:c r="E128" s="16" t="n">
        <x:v>0</x:v>
      </x:c>
      <x:c r="F128" s="16" t="n">
        <x:v>0</x:v>
      </x:c>
      <x:c r="G128" s="16" t="n">
        <x:v>0</x:v>
      </x:c>
      <x:c r="H128" s="16" t="n">
        <x:v>0</x:v>
      </x:c>
      <x:c r="I128" s="16" t="n">
        <x:v>1021805.8581911456</x:v>
      </x:c>
      <x:c r="J128" s="16" t="n">
        <x:v>1021805.8581911456</x:v>
      </x:c>
      <x:c r="K128" s="16" t="n">
        <x:v>0</x:v>
      </x:c>
      <x:c r="L128" s="18" t="n">
        <x:v>0</x:v>
      </x:c>
      <x:c r="M128" s="18" t="n">
        <x:v>0</x:v>
      </x:c>
      <x:c r="O128" t="str">
        <x:v>2021-11-04</x:v>
      </x:c>
      <x:c r="P128" t="n">
        <x:v>1021805.8581911456</x:v>
      </x:c>
    </x:row>
    <x:row r="129" ht="15" hidden="0" customHeight="1">
      <x:c r="A129" s="13" t="str">
        <x:v>2021-11-05</x:v>
      </x:c>
      <x:c r="B129" s="13" t="n">
        <x:v>0</x:v>
      </x:c>
      <x:c r="C129" s="13" t="n">
        <x:v>0</x:v>
      </x:c>
      <x:c r="D129" s="16" t="n">
        <x:v>0</x:v>
      </x:c>
      <x:c r="E129" s="16" t="n">
        <x:v>0</x:v>
      </x:c>
      <x:c r="F129" s="16" t="n">
        <x:v>0</x:v>
      </x:c>
      <x:c r="G129" s="16" t="n">
        <x:v>0</x:v>
      </x:c>
      <x:c r="H129" s="16" t="n">
        <x:v>0</x:v>
      </x:c>
      <x:c r="I129" s="16" t="n">
        <x:v>1021805.8581911456</x:v>
      </x:c>
      <x:c r="J129" s="16" t="n">
        <x:v>1021805.8581911456</x:v>
      </x:c>
      <x:c r="K129" s="16" t="n">
        <x:v>0</x:v>
      </x:c>
      <x:c r="L129" s="18" t="n">
        <x:v>0</x:v>
      </x:c>
      <x:c r="M129" s="18" t="n">
        <x:v>0</x:v>
      </x:c>
      <x:c r="O129" t="str">
        <x:v>2021-11-05</x:v>
      </x:c>
      <x:c r="P129" t="n">
        <x:v>1021805.8581911456</x:v>
      </x:c>
    </x:row>
    <x:row r="130" ht="15" hidden="0" customHeight="1">
      <x:c r="A130" s="13" t="str">
        <x:v>2021-11-08</x:v>
      </x:c>
      <x:c r="B130" s="13" t="n">
        <x:v>0</x:v>
      </x:c>
      <x:c r="C130" s="13" t="n">
        <x:v>0</x:v>
      </x:c>
      <x:c r="D130" s="16" t="n">
        <x:v>0</x:v>
      </x:c>
      <x:c r="E130" s="16" t="n">
        <x:v>0</x:v>
      </x:c>
      <x:c r="F130" s="16" t="n">
        <x:v>0</x:v>
      </x:c>
      <x:c r="G130" s="16" t="n">
        <x:v>0</x:v>
      </x:c>
      <x:c r="H130" s="16" t="n">
        <x:v>0</x:v>
      </x:c>
      <x:c r="I130" s="16" t="n">
        <x:v>1021805.8581911456</x:v>
      </x:c>
      <x:c r="J130" s="16" t="n">
        <x:v>1021805.8581911456</x:v>
      </x:c>
      <x:c r="K130" s="16" t="n">
        <x:v>0</x:v>
      </x:c>
      <x:c r="L130" s="18" t="n">
        <x:v>0</x:v>
      </x:c>
      <x:c r="M130" s="18" t="n">
        <x:v>0</x:v>
      </x:c>
      <x:c r="O130" t="str">
        <x:v>2021-11-08</x:v>
      </x:c>
      <x:c r="P130" t="n">
        <x:v>1021805.8581911456</x:v>
      </x:c>
    </x:row>
    <x:row r="131" ht="15" hidden="0" customHeight="1">
      <x:c r="A131" s="13" t="str">
        <x:v>2021-11-09</x:v>
      </x:c>
      <x:c r="B131" s="13" t="n">
        <x:v>0</x:v>
      </x:c>
      <x:c r="C131" s="13" t="n">
        <x:v>0</x:v>
      </x:c>
      <x:c r="D131" s="16" t="n">
        <x:v>0</x:v>
      </x:c>
      <x:c r="E131" s="16" t="n">
        <x:v>0</x:v>
      </x:c>
      <x:c r="F131" s="16" t="n">
        <x:v>0</x:v>
      </x:c>
      <x:c r="G131" s="16" t="n">
        <x:v>0</x:v>
      </x:c>
      <x:c r="H131" s="16" t="n">
        <x:v>0</x:v>
      </x:c>
      <x:c r="I131" s="16" t="n">
        <x:v>1021805.8581911456</x:v>
      </x:c>
      <x:c r="J131" s="16" t="n">
        <x:v>1021805.8581911456</x:v>
      </x:c>
      <x:c r="K131" s="16" t="n">
        <x:v>0</x:v>
      </x:c>
      <x:c r="L131" s="18" t="n">
        <x:v>0</x:v>
      </x:c>
      <x:c r="M131" s="18" t="n">
        <x:v>0</x:v>
      </x:c>
      <x:c r="O131" t="str">
        <x:v>2021-11-09</x:v>
      </x:c>
      <x:c r="P131" t="n">
        <x:v>1021805.8581911456</x:v>
      </x:c>
    </x:row>
    <x:row r="132" ht="15" hidden="0" customHeight="1">
      <x:c r="A132" s="13" t="str">
        <x:v>2021-11-10</x:v>
      </x:c>
      <x:c r="B132" s="13" t="n">
        <x:v>0</x:v>
      </x:c>
      <x:c r="C132" s="13" t="n">
        <x:v>0</x:v>
      </x:c>
      <x:c r="D132" s="16" t="n">
        <x:v>0</x:v>
      </x:c>
      <x:c r="E132" s="16" t="n">
        <x:v>0</x:v>
      </x:c>
      <x:c r="F132" s="16" t="n">
        <x:v>0</x:v>
      </x:c>
      <x:c r="G132" s="16" t="n">
        <x:v>0</x:v>
      </x:c>
      <x:c r="H132" s="16" t="n">
        <x:v>0</x:v>
      </x:c>
      <x:c r="I132" s="16" t="n">
        <x:v>1021805.8581911456</x:v>
      </x:c>
      <x:c r="J132" s="16" t="n">
        <x:v>1021805.8581911456</x:v>
      </x:c>
      <x:c r="K132" s="16" t="n">
        <x:v>0</x:v>
      </x:c>
      <x:c r="L132" s="18" t="n">
        <x:v>0</x:v>
      </x:c>
      <x:c r="M132" s="18" t="n">
        <x:v>0</x:v>
      </x:c>
      <x:c r="O132" t="str">
        <x:v>2021-11-10</x:v>
      </x:c>
      <x:c r="P132" t="n">
        <x:v>1021805.8581911456</x:v>
      </x:c>
    </x:row>
    <x:row r="133" ht="15" hidden="0" customHeight="1">
      <x:c r="A133" s="13" t="str">
        <x:v>2021-11-11</x:v>
      </x:c>
      <x:c r="B133" s="13" t="n">
        <x:v>0</x:v>
      </x:c>
      <x:c r="C133" s="13" t="n">
        <x:v>0</x:v>
      </x:c>
      <x:c r="D133" s="16" t="n">
        <x:v>0</x:v>
      </x:c>
      <x:c r="E133" s="16" t="n">
        <x:v>0</x:v>
      </x:c>
      <x:c r="F133" s="16" t="n">
        <x:v>0</x:v>
      </x:c>
      <x:c r="G133" s="16" t="n">
        <x:v>0</x:v>
      </x:c>
      <x:c r="H133" s="16" t="n">
        <x:v>0</x:v>
      </x:c>
      <x:c r="I133" s="16" t="n">
        <x:v>1021805.8581911456</x:v>
      </x:c>
      <x:c r="J133" s="16" t="n">
        <x:v>1021805.8581911456</x:v>
      </x:c>
      <x:c r="K133" s="16" t="n">
        <x:v>0</x:v>
      </x:c>
      <x:c r="L133" s="18" t="n">
        <x:v>0</x:v>
      </x:c>
      <x:c r="M133" s="18" t="n">
        <x:v>0</x:v>
      </x:c>
      <x:c r="O133" t="str">
        <x:v>2021-11-11</x:v>
      </x:c>
      <x:c r="P133" t="n">
        <x:v>1021805.8581911456</x:v>
      </x:c>
    </x:row>
    <x:row r="134" ht="15" hidden="0" customHeight="1">
      <x:c r="A134" s="13" t="str">
        <x:v>2021-11-12</x:v>
      </x:c>
      <x:c r="B134" s="13" t="n">
        <x:v>0</x:v>
      </x:c>
      <x:c r="C134" s="13" t="n">
        <x:v>0</x:v>
      </x:c>
      <x:c r="D134" s="16" t="n">
        <x:v>0</x:v>
      </x:c>
      <x:c r="E134" s="16" t="n">
        <x:v>0</x:v>
      </x:c>
      <x:c r="F134" s="16" t="n">
        <x:v>0</x:v>
      </x:c>
      <x:c r="G134" s="16" t="n">
        <x:v>0</x:v>
      </x:c>
      <x:c r="H134" s="16" t="n">
        <x:v>0</x:v>
      </x:c>
      <x:c r="I134" s="16" t="n">
        <x:v>1021805.8581911456</x:v>
      </x:c>
      <x:c r="J134" s="16" t="n">
        <x:v>1021805.8581911456</x:v>
      </x:c>
      <x:c r="K134" s="16" t="n">
        <x:v>0</x:v>
      </x:c>
      <x:c r="L134" s="18" t="n">
        <x:v>0</x:v>
      </x:c>
      <x:c r="M134" s="18" t="n">
        <x:v>0</x:v>
      </x:c>
      <x:c r="O134" t="str">
        <x:v>2021-11-12</x:v>
      </x:c>
      <x:c r="P134" t="n">
        <x:v>1021805.8581911456</x:v>
      </x:c>
    </x:row>
    <x:row r="135" ht="15" hidden="0" customHeight="1">
      <x:c r="A135" s="13" t="str">
        <x:v>2021-11-15</x:v>
      </x:c>
      <x:c r="B135" s="13" t="n">
        <x:v>0</x:v>
      </x:c>
      <x:c r="C135" s="13" t="n">
        <x:v>0</x:v>
      </x:c>
      <x:c r="D135" s="16" t="n">
        <x:v>0</x:v>
      </x:c>
      <x:c r="E135" s="16" t="n">
        <x:v>0</x:v>
      </x:c>
      <x:c r="F135" s="16" t="n">
        <x:v>0</x:v>
      </x:c>
      <x:c r="G135" s="16" t="n">
        <x:v>0</x:v>
      </x:c>
      <x:c r="H135" s="16" t="n">
        <x:v>0</x:v>
      </x:c>
      <x:c r="I135" s="16" t="n">
        <x:v>1021805.8581911456</x:v>
      </x:c>
      <x:c r="J135" s="16" t="n">
        <x:v>1021805.8581911456</x:v>
      </x:c>
      <x:c r="K135" s="16" t="n">
        <x:v>0</x:v>
      </x:c>
      <x:c r="L135" s="18" t="n">
        <x:v>0</x:v>
      </x:c>
      <x:c r="M135" s="18" t="n">
        <x:v>0</x:v>
      </x:c>
      <x:c r="O135" t="str">
        <x:v>2021-11-15</x:v>
      </x:c>
      <x:c r="P135" t="n">
        <x:v>1021805.8581911456</x:v>
      </x:c>
    </x:row>
    <x:row r="136" ht="15" hidden="0" customHeight="1">
      <x:c r="A136" s="13" t="str">
        <x:v>2021-11-16</x:v>
      </x:c>
      <x:c r="B136" s="13" t="n">
        <x:v>0</x:v>
      </x:c>
      <x:c r="C136" s="13" t="n">
        <x:v>0</x:v>
      </x:c>
      <x:c r="D136" s="16" t="n">
        <x:v>0</x:v>
      </x:c>
      <x:c r="E136" s="16" t="n">
        <x:v>0</x:v>
      </x:c>
      <x:c r="F136" s="16" t="n">
        <x:v>0</x:v>
      </x:c>
      <x:c r="G136" s="16" t="n">
        <x:v>0</x:v>
      </x:c>
      <x:c r="H136" s="16" t="n">
        <x:v>0</x:v>
      </x:c>
      <x:c r="I136" s="16" t="n">
        <x:v>1021805.8581911456</x:v>
      </x:c>
      <x:c r="J136" s="16" t="n">
        <x:v>1021805.8581911456</x:v>
      </x:c>
      <x:c r="K136" s="16" t="n">
        <x:v>0</x:v>
      </x:c>
      <x:c r="L136" s="18" t="n">
        <x:v>0</x:v>
      </x:c>
      <x:c r="M136" s="18" t="n">
        <x:v>0</x:v>
      </x:c>
      <x:c r="O136" t="str">
        <x:v>2021-11-16</x:v>
      </x:c>
      <x:c r="P136" t="n">
        <x:v>1021805.8581911456</x:v>
      </x:c>
    </x:row>
    <x:row r="137" ht="15" hidden="0" customHeight="1">
      <x:c r="A137" s="13" t="str">
        <x:v>2021-11-17</x:v>
      </x:c>
      <x:c r="B137" s="13" t="n">
        <x:v>0</x:v>
      </x:c>
      <x:c r="C137" s="13" t="n">
        <x:v>0</x:v>
      </x:c>
      <x:c r="D137" s="16" t="n">
        <x:v>0</x:v>
      </x:c>
      <x:c r="E137" s="16" t="n">
        <x:v>0</x:v>
      </x:c>
      <x:c r="F137" s="16" t="n">
        <x:v>0</x:v>
      </x:c>
      <x:c r="G137" s="16" t="n">
        <x:v>0</x:v>
      </x:c>
      <x:c r="H137" s="16" t="n">
        <x:v>0</x:v>
      </x:c>
      <x:c r="I137" s="16" t="n">
        <x:v>1021805.8581911456</x:v>
      </x:c>
      <x:c r="J137" s="16" t="n">
        <x:v>1021805.8581911456</x:v>
      </x:c>
      <x:c r="K137" s="16" t="n">
        <x:v>0</x:v>
      </x:c>
      <x:c r="L137" s="18" t="n">
        <x:v>0</x:v>
      </x:c>
      <x:c r="M137" s="18" t="n">
        <x:v>0</x:v>
      </x:c>
      <x:c r="O137" t="str">
        <x:v>2021-11-17</x:v>
      </x:c>
      <x:c r="P137" t="n">
        <x:v>1021805.8581911456</x:v>
      </x:c>
    </x:row>
    <x:row r="138" ht="15" hidden="0" customHeight="1">
      <x:c r="A138" s="13" t="str">
        <x:v>2021-11-18</x:v>
      </x:c>
      <x:c r="B138" s="13" t="n">
        <x:v>1</x:v>
      </x:c>
      <x:c r="C138" s="13" t="n">
        <x:v>8</x:v>
      </x:c>
      <x:c r="D138" s="16" t="n">
        <x:v>1919.9999999999995</x:v>
      </x:c>
      <x:c r="E138" s="16" t="n">
        <x:v>496.3087596948338</x:v>
      </x:c>
      <x:c r="F138" s="16" t="n">
        <x:v>1423.6912403051656</x:v>
      </x:c>
      <x:c r="G138" s="16" t="n">
        <x:v>74197.60236897704</x:v>
      </x:c>
      <x:c r="H138" s="16" t="n">
        <x:v>348957.7349976597</x:v>
      </x:c>
      <x:c r="I138" s="16" t="n">
        <x:v>1023229.5494314508</x:v>
      </x:c>
      <x:c r="J138" s="16" t="n">
        <x:v>1023229.5494314508</x:v>
      </x:c>
      <x:c r="K138" s="16" t="n">
        <x:v>0</x:v>
      </x:c>
      <x:c r="L138" s="18" t="n">
        <x:v>0</x:v>
      </x:c>
      <x:c r="M138" s="18" t="n">
        <x:v>0.0013933089430759</x:v>
      </x:c>
      <x:c r="O138" t="str">
        <x:v>2021-11-18</x:v>
      </x:c>
      <x:c r="P138" t="n">
        <x:v>1023229.5494314508</x:v>
      </x:c>
    </x:row>
    <x:row r="139" ht="15" hidden="0" customHeight="1">
      <x:c r="A139" s="13" t="str">
        <x:v>2021-11-19</x:v>
      </x:c>
      <x:c r="B139" s="13" t="n">
        <x:v>0</x:v>
      </x:c>
      <x:c r="C139" s="13" t="n">
        <x:v>0</x:v>
      </x:c>
      <x:c r="D139" s="16" t="n">
        <x:v>0</x:v>
      </x:c>
      <x:c r="E139" s="16" t="n">
        <x:v>0</x:v>
      </x:c>
      <x:c r="F139" s="16" t="n">
        <x:v>0</x:v>
      </x:c>
      <x:c r="G139" s="16" t="n">
        <x:v>0</x:v>
      </x:c>
      <x:c r="H139" s="16" t="n">
        <x:v>0</x:v>
      </x:c>
      <x:c r="I139" s="16" t="n">
        <x:v>1023229.5494314508</x:v>
      </x:c>
      <x:c r="J139" s="16" t="n">
        <x:v>1023229.5494314508</x:v>
      </x:c>
      <x:c r="K139" s="16" t="n">
        <x:v>0</x:v>
      </x:c>
      <x:c r="L139" s="18" t="n">
        <x:v>0</x:v>
      </x:c>
      <x:c r="M139" s="18" t="n">
        <x:v>0</x:v>
      </x:c>
      <x:c r="O139" t="str">
        <x:v>2021-11-19</x:v>
      </x:c>
      <x:c r="P139" t="n">
        <x:v>1023229.5494314508</x:v>
      </x:c>
    </x:row>
    <x:row r="140" ht="15" hidden="0" customHeight="1">
      <x:c r="A140" s="13" t="str">
        <x:v>2021-11-22</x:v>
      </x:c>
      <x:c r="B140" s="13" t="n">
        <x:v>0</x:v>
      </x:c>
      <x:c r="C140" s="13" t="n">
        <x:v>0</x:v>
      </x:c>
      <x:c r="D140" s="16" t="n">
        <x:v>0</x:v>
      </x:c>
      <x:c r="E140" s="16" t="n">
        <x:v>0</x:v>
      </x:c>
      <x:c r="F140" s="16" t="n">
        <x:v>0</x:v>
      </x:c>
      <x:c r="G140" s="16" t="n">
        <x:v>0</x:v>
      </x:c>
      <x:c r="H140" s="16" t="n">
        <x:v>0</x:v>
      </x:c>
      <x:c r="I140" s="16" t="n">
        <x:v>1023229.5494314508</x:v>
      </x:c>
      <x:c r="J140" s="16" t="n">
        <x:v>1023229.5494314508</x:v>
      </x:c>
      <x:c r="K140" s="16" t="n">
        <x:v>0</x:v>
      </x:c>
      <x:c r="L140" s="18" t="n">
        <x:v>0</x:v>
      </x:c>
      <x:c r="M140" s="18" t="n">
        <x:v>0</x:v>
      </x:c>
      <x:c r="O140" t="str">
        <x:v>2021-11-22</x:v>
      </x:c>
      <x:c r="P140" t="n">
        <x:v>1023229.5494314508</x:v>
      </x:c>
    </x:row>
    <x:row r="141" ht="15" hidden="0" customHeight="1">
      <x:c r="A141" s="13" t="str">
        <x:v>2021-11-23</x:v>
      </x:c>
      <x:c r="B141" s="13" t="n">
        <x:v>0</x:v>
      </x:c>
      <x:c r="C141" s="13" t="n">
        <x:v>0</x:v>
      </x:c>
      <x:c r="D141" s="16" t="n">
        <x:v>0</x:v>
      </x:c>
      <x:c r="E141" s="16" t="n">
        <x:v>0</x:v>
      </x:c>
      <x:c r="F141" s="16" t="n">
        <x:v>0</x:v>
      </x:c>
      <x:c r="G141" s="16" t="n">
        <x:v>0</x:v>
      </x:c>
      <x:c r="H141" s="16" t="n">
        <x:v>0</x:v>
      </x:c>
      <x:c r="I141" s="16" t="n">
        <x:v>1023229.5494314508</x:v>
      </x:c>
      <x:c r="J141" s="16" t="n">
        <x:v>1023229.5494314508</x:v>
      </x:c>
      <x:c r="K141" s="16" t="n">
        <x:v>0</x:v>
      </x:c>
      <x:c r="L141" s="18" t="n">
        <x:v>0</x:v>
      </x:c>
      <x:c r="M141" s="18" t="n">
        <x:v>0</x:v>
      </x:c>
      <x:c r="O141" t="str">
        <x:v>2021-11-23</x:v>
      </x:c>
      <x:c r="P141" t="n">
        <x:v>1023229.5494314508</x:v>
      </x:c>
    </x:row>
    <x:row r="142" ht="15" hidden="0" customHeight="1">
      <x:c r="A142" s="13" t="str">
        <x:v>2021-11-24</x:v>
      </x:c>
      <x:c r="B142" s="13" t="n">
        <x:v>0</x:v>
      </x:c>
      <x:c r="C142" s="13" t="n">
        <x:v>0</x:v>
      </x:c>
      <x:c r="D142" s="16" t="n">
        <x:v>0</x:v>
      </x:c>
      <x:c r="E142" s="16" t="n">
        <x:v>0</x:v>
      </x:c>
      <x:c r="F142" s="16" t="n">
        <x:v>0</x:v>
      </x:c>
      <x:c r="G142" s="16" t="n">
        <x:v>0</x:v>
      </x:c>
      <x:c r="H142" s="16" t="n">
        <x:v>0</x:v>
      </x:c>
      <x:c r="I142" s="16" t="n">
        <x:v>1023229.5494314508</x:v>
      </x:c>
      <x:c r="J142" s="16" t="n">
        <x:v>1023229.5494314508</x:v>
      </x:c>
      <x:c r="K142" s="16" t="n">
        <x:v>0</x:v>
      </x:c>
      <x:c r="L142" s="18" t="n">
        <x:v>0</x:v>
      </x:c>
      <x:c r="M142" s="18" t="n">
        <x:v>0</x:v>
      </x:c>
      <x:c r="O142" t="str">
        <x:v>2021-11-24</x:v>
      </x:c>
      <x:c r="P142" t="n">
        <x:v>1023229.5494314508</x:v>
      </x:c>
    </x:row>
    <x:row r="143" ht="15" hidden="0" customHeight="1">
      <x:c r="A143" s="13" t="str">
        <x:v>2021-11-25</x:v>
      </x:c>
      <x:c r="B143" s="13" t="n">
        <x:v>0</x:v>
      </x:c>
      <x:c r="C143" s="13" t="n">
        <x:v>0</x:v>
      </x:c>
      <x:c r="D143" s="16" t="n">
        <x:v>0</x:v>
      </x:c>
      <x:c r="E143" s="16" t="n">
        <x:v>0</x:v>
      </x:c>
      <x:c r="F143" s="16" t="n">
        <x:v>0</x:v>
      </x:c>
      <x:c r="G143" s="16" t="n">
        <x:v>0</x:v>
      </x:c>
      <x:c r="H143" s="16" t="n">
        <x:v>0</x:v>
      </x:c>
      <x:c r="I143" s="16" t="n">
        <x:v>1023229.5494314508</x:v>
      </x:c>
      <x:c r="J143" s="16" t="n">
        <x:v>1023229.5494314508</x:v>
      </x:c>
      <x:c r="K143" s="16" t="n">
        <x:v>0</x:v>
      </x:c>
      <x:c r="L143" s="18" t="n">
        <x:v>0</x:v>
      </x:c>
      <x:c r="M143" s="18" t="n">
        <x:v>0</x:v>
      </x:c>
      <x:c r="O143" t="str">
        <x:v>2021-11-25</x:v>
      </x:c>
      <x:c r="P143" t="n">
        <x:v>1023229.5494314508</x:v>
      </x:c>
    </x:row>
    <x:row r="144" ht="15" hidden="0" customHeight="1">
      <x:c r="A144" s="13" t="str">
        <x:v>2021-11-26</x:v>
      </x:c>
      <x:c r="B144" s="13" t="n">
        <x:v>0</x:v>
      </x:c>
      <x:c r="C144" s="13" t="n">
        <x:v>0</x:v>
      </x:c>
      <x:c r="D144" s="16" t="n">
        <x:v>0</x:v>
      </x:c>
      <x:c r="E144" s="16" t="n">
        <x:v>0</x:v>
      </x:c>
      <x:c r="F144" s="16" t="n">
        <x:v>0</x:v>
      </x:c>
      <x:c r="G144" s="16" t="n">
        <x:v>0</x:v>
      </x:c>
      <x:c r="H144" s="16" t="n">
        <x:v>0</x:v>
      </x:c>
      <x:c r="I144" s="16" t="n">
        <x:v>1023229.5494314508</x:v>
      </x:c>
      <x:c r="J144" s="16" t="n">
        <x:v>1023229.5494314508</x:v>
      </x:c>
      <x:c r="K144" s="16" t="n">
        <x:v>0</x:v>
      </x:c>
      <x:c r="L144" s="18" t="n">
        <x:v>0</x:v>
      </x:c>
      <x:c r="M144" s="18" t="n">
        <x:v>0</x:v>
      </x:c>
      <x:c r="O144" t="str">
        <x:v>2021-11-26</x:v>
      </x:c>
      <x:c r="P144" t="n">
        <x:v>1023229.5494314508</x:v>
      </x:c>
    </x:row>
    <x:row r="145" ht="15" hidden="0" customHeight="1">
      <x:c r="A145" s="13" t="str">
        <x:v>2021-11-29</x:v>
      </x:c>
      <x:c r="B145" s="13" t="n">
        <x:v>0</x:v>
      </x:c>
      <x:c r="C145" s="13" t="n">
        <x:v>0</x:v>
      </x:c>
      <x:c r="D145" s="16" t="n">
        <x:v>0</x:v>
      </x:c>
      <x:c r="E145" s="16" t="n">
        <x:v>0</x:v>
      </x:c>
      <x:c r="F145" s="16" t="n">
        <x:v>0</x:v>
      </x:c>
      <x:c r="G145" s="16" t="n">
        <x:v>0</x:v>
      </x:c>
      <x:c r="H145" s="16" t="n">
        <x:v>0</x:v>
      </x:c>
      <x:c r="I145" s="16" t="n">
        <x:v>1023229.5494314508</x:v>
      </x:c>
      <x:c r="J145" s="16" t="n">
        <x:v>1023229.5494314508</x:v>
      </x:c>
      <x:c r="K145" s="16" t="n">
        <x:v>0</x:v>
      </x:c>
      <x:c r="L145" s="18" t="n">
        <x:v>0</x:v>
      </x:c>
      <x:c r="M145" s="18" t="n">
        <x:v>0</x:v>
      </x:c>
      <x:c r="O145" t="str">
        <x:v>2021-11-29</x:v>
      </x:c>
      <x:c r="P145" t="n">
        <x:v>1023229.5494314508</x:v>
      </x:c>
    </x:row>
    <x:row r="146" ht="15" hidden="0" customHeight="1">
      <x:c r="A146" s="13" t="str">
        <x:v>2021-11-30</x:v>
      </x:c>
      <x:c r="B146" s="13" t="n">
        <x:v>0</x:v>
      </x:c>
      <x:c r="C146" s="13" t="n">
        <x:v>0</x:v>
      </x:c>
      <x:c r="D146" s="16" t="n">
        <x:v>0</x:v>
      </x:c>
      <x:c r="E146" s="16" t="n">
        <x:v>0</x:v>
      </x:c>
      <x:c r="F146" s="16" t="n">
        <x:v>0</x:v>
      </x:c>
      <x:c r="G146" s="16" t="n">
        <x:v>0</x:v>
      </x:c>
      <x:c r="H146" s="16" t="n">
        <x:v>0</x:v>
      </x:c>
      <x:c r="I146" s="16" t="n">
        <x:v>1023229.5494314508</x:v>
      </x:c>
      <x:c r="J146" s="16" t="n">
        <x:v>1023229.5494314508</x:v>
      </x:c>
      <x:c r="K146" s="16" t="n">
        <x:v>0</x:v>
      </x:c>
      <x:c r="L146" s="18" t="n">
        <x:v>0</x:v>
      </x:c>
      <x:c r="M146" s="18" t="n">
        <x:v>0</x:v>
      </x:c>
      <x:c r="O146" t="str">
        <x:v>2021-11-30</x:v>
      </x:c>
      <x:c r="P146" t="n">
        <x:v>1023229.5494314508</x:v>
      </x:c>
    </x:row>
    <x:row r="147" ht="15" hidden="0" customHeight="1">
      <x:c r="A147" s="13" t="str">
        <x:v>2021-12-01</x:v>
      </x:c>
      <x:c r="B147" s="13" t="n">
        <x:v>0</x:v>
      </x:c>
      <x:c r="C147" s="13" t="n">
        <x:v>0</x:v>
      </x:c>
      <x:c r="D147" s="16" t="n">
        <x:v>0</x:v>
      </x:c>
      <x:c r="E147" s="16" t="n">
        <x:v>0</x:v>
      </x:c>
      <x:c r="F147" s="16" t="n">
        <x:v>0</x:v>
      </x:c>
      <x:c r="G147" s="16" t="n">
        <x:v>0</x:v>
      </x:c>
      <x:c r="H147" s="16" t="n">
        <x:v>0</x:v>
      </x:c>
      <x:c r="I147" s="16" t="n">
        <x:v>1023229.5494314508</x:v>
      </x:c>
      <x:c r="J147" s="16" t="n">
        <x:v>1023229.5494314508</x:v>
      </x:c>
      <x:c r="K147" s="16" t="n">
        <x:v>0</x:v>
      </x:c>
      <x:c r="L147" s="18" t="n">
        <x:v>0</x:v>
      </x:c>
      <x:c r="M147" s="18" t="n">
        <x:v>0</x:v>
      </x:c>
      <x:c r="O147" t="str">
        <x:v>2021-12-01</x:v>
      </x:c>
      <x:c r="P147" t="n">
        <x:v>1023229.5494314508</x:v>
      </x:c>
    </x:row>
    <x:row r="148" ht="15" hidden="0" customHeight="1">
      <x:c r="A148" s="13" t="str">
        <x:v>2021-12-02</x:v>
      </x:c>
      <x:c r="B148" s="13" t="n">
        <x:v>0</x:v>
      </x:c>
      <x:c r="C148" s="13" t="n">
        <x:v>0</x:v>
      </x:c>
      <x:c r="D148" s="16" t="n">
        <x:v>0</x:v>
      </x:c>
      <x:c r="E148" s="16" t="n">
        <x:v>0</x:v>
      </x:c>
      <x:c r="F148" s="16" t="n">
        <x:v>0</x:v>
      </x:c>
      <x:c r="G148" s="16" t="n">
        <x:v>0</x:v>
      </x:c>
      <x:c r="H148" s="16" t="n">
        <x:v>0</x:v>
      </x:c>
      <x:c r="I148" s="16" t="n">
        <x:v>1023229.5494314508</x:v>
      </x:c>
      <x:c r="J148" s="16" t="n">
        <x:v>1023229.5494314508</x:v>
      </x:c>
      <x:c r="K148" s="16" t="n">
        <x:v>0</x:v>
      </x:c>
      <x:c r="L148" s="18" t="n">
        <x:v>0</x:v>
      </x:c>
      <x:c r="M148" s="18" t="n">
        <x:v>0</x:v>
      </x:c>
      <x:c r="O148" t="str">
        <x:v>2021-12-02</x:v>
      </x:c>
      <x:c r="P148" t="n">
        <x:v>1023229.5494314508</x:v>
      </x:c>
    </x:row>
    <x:row r="149" ht="15" hidden="0" customHeight="1">
      <x:c r="A149" s="13" t="str">
        <x:v>2021-12-03</x:v>
      </x:c>
      <x:c r="B149" s="13" t="n">
        <x:v>0</x:v>
      </x:c>
      <x:c r="C149" s="13" t="n">
        <x:v>0</x:v>
      </x:c>
      <x:c r="D149" s="16" t="n">
        <x:v>0</x:v>
      </x:c>
      <x:c r="E149" s="16" t="n">
        <x:v>0</x:v>
      </x:c>
      <x:c r="F149" s="16" t="n">
        <x:v>0</x:v>
      </x:c>
      <x:c r="G149" s="16" t="n">
        <x:v>0</x:v>
      </x:c>
      <x:c r="H149" s="16" t="n">
        <x:v>0</x:v>
      </x:c>
      <x:c r="I149" s="16" t="n">
        <x:v>1023229.5494314508</x:v>
      </x:c>
      <x:c r="J149" s="16" t="n">
        <x:v>1023229.5494314508</x:v>
      </x:c>
      <x:c r="K149" s="16" t="n">
        <x:v>0</x:v>
      </x:c>
      <x:c r="L149" s="18" t="n">
        <x:v>0</x:v>
      </x:c>
      <x:c r="M149" s="18" t="n">
        <x:v>0</x:v>
      </x:c>
      <x:c r="O149" t="str">
        <x:v>2021-12-03</x:v>
      </x:c>
      <x:c r="P149" t="n">
        <x:v>1023229.5494314508</x:v>
      </x:c>
    </x:row>
    <x:row r="150" ht="15" hidden="0" customHeight="1">
      <x:c r="A150" s="13" t="str">
        <x:v>2021-12-06</x:v>
      </x:c>
      <x:c r="B150" s="13" t="n">
        <x:v>0</x:v>
      </x:c>
      <x:c r="C150" s="13" t="n">
        <x:v>0</x:v>
      </x:c>
      <x:c r="D150" s="16" t="n">
        <x:v>0</x:v>
      </x:c>
      <x:c r="E150" s="16" t="n">
        <x:v>0</x:v>
      </x:c>
      <x:c r="F150" s="16" t="n">
        <x:v>0</x:v>
      </x:c>
      <x:c r="G150" s="16" t="n">
        <x:v>0</x:v>
      </x:c>
      <x:c r="H150" s="16" t="n">
        <x:v>0</x:v>
      </x:c>
      <x:c r="I150" s="16" t="n">
        <x:v>1023229.5494314508</x:v>
      </x:c>
      <x:c r="J150" s="16" t="n">
        <x:v>1023229.5494314508</x:v>
      </x:c>
      <x:c r="K150" s="16" t="n">
        <x:v>0</x:v>
      </x:c>
      <x:c r="L150" s="18" t="n">
        <x:v>0</x:v>
      </x:c>
      <x:c r="M150" s="18" t="n">
        <x:v>0</x:v>
      </x:c>
      <x:c r="O150" t="str">
        <x:v>2021-12-06</x:v>
      </x:c>
      <x:c r="P150" t="n">
        <x:v>1023229.5494314508</x:v>
      </x:c>
    </x:row>
    <x:row r="151" ht="15" hidden="0" customHeight="1">
      <x:c r="A151" s="13" t="str">
        <x:v>2021-12-07</x:v>
      </x:c>
      <x:c r="B151" s="13" t="n">
        <x:v>0</x:v>
      </x:c>
      <x:c r="C151" s="13" t="n">
        <x:v>0</x:v>
      </x:c>
      <x:c r="D151" s="16" t="n">
        <x:v>0</x:v>
      </x:c>
      <x:c r="E151" s="16" t="n">
        <x:v>0</x:v>
      </x:c>
      <x:c r="F151" s="16" t="n">
        <x:v>0</x:v>
      </x:c>
      <x:c r="G151" s="16" t="n">
        <x:v>0</x:v>
      </x:c>
      <x:c r="H151" s="16" t="n">
        <x:v>0</x:v>
      </x:c>
      <x:c r="I151" s="16" t="n">
        <x:v>1023229.5494314508</x:v>
      </x:c>
      <x:c r="J151" s="16" t="n">
        <x:v>1023229.5494314508</x:v>
      </x:c>
      <x:c r="K151" s="16" t="n">
        <x:v>0</x:v>
      </x:c>
      <x:c r="L151" s="18" t="n">
        <x:v>0</x:v>
      </x:c>
      <x:c r="M151" s="18" t="n">
        <x:v>0</x:v>
      </x:c>
      <x:c r="O151" t="str">
        <x:v>2021-12-07</x:v>
      </x:c>
      <x:c r="P151" t="n">
        <x:v>1023229.5494314508</x:v>
      </x:c>
    </x:row>
    <x:row r="152" ht="15" hidden="0" customHeight="1">
      <x:c r="A152" s="13" t="str">
        <x:v>2021-12-08</x:v>
      </x:c>
      <x:c r="B152" s="13" t="n">
        <x:v>0</x:v>
      </x:c>
      <x:c r="C152" s="13" t="n">
        <x:v>0</x:v>
      </x:c>
      <x:c r="D152" s="16" t="n">
        <x:v>0</x:v>
      </x:c>
      <x:c r="E152" s="16" t="n">
        <x:v>0</x:v>
      </x:c>
      <x:c r="F152" s="16" t="n">
        <x:v>0</x:v>
      </x:c>
      <x:c r="G152" s="16" t="n">
        <x:v>0</x:v>
      </x:c>
      <x:c r="H152" s="16" t="n">
        <x:v>0</x:v>
      </x:c>
      <x:c r="I152" s="16" t="n">
        <x:v>1023229.5494314508</x:v>
      </x:c>
      <x:c r="J152" s="16" t="n">
        <x:v>1023229.5494314508</x:v>
      </x:c>
      <x:c r="K152" s="16" t="n">
        <x:v>0</x:v>
      </x:c>
      <x:c r="L152" s="18" t="n">
        <x:v>0</x:v>
      </x:c>
      <x:c r="M152" s="18" t="n">
        <x:v>0</x:v>
      </x:c>
      <x:c r="O152" t="str">
        <x:v>2021-12-08</x:v>
      </x:c>
      <x:c r="P152" t="n">
        <x:v>1023229.5494314508</x:v>
      </x:c>
    </x:row>
    <x:row r="153" ht="15" hidden="0" customHeight="1">
      <x:c r="A153" s="13" t="str">
        <x:v>2021-12-09</x:v>
      </x:c>
      <x:c r="B153" s="13" t="n">
        <x:v>0</x:v>
      </x:c>
      <x:c r="C153" s="13" t="n">
        <x:v>0</x:v>
      </x:c>
      <x:c r="D153" s="16" t="n">
        <x:v>0</x:v>
      </x:c>
      <x:c r="E153" s="16" t="n">
        <x:v>0</x:v>
      </x:c>
      <x:c r="F153" s="16" t="n">
        <x:v>0</x:v>
      </x:c>
      <x:c r="G153" s="16" t="n">
        <x:v>0</x:v>
      </x:c>
      <x:c r="H153" s="16" t="n">
        <x:v>0</x:v>
      </x:c>
      <x:c r="I153" s="16" t="n">
        <x:v>1023229.5494314508</x:v>
      </x:c>
      <x:c r="J153" s="16" t="n">
        <x:v>1023229.5494314508</x:v>
      </x:c>
      <x:c r="K153" s="16" t="n">
        <x:v>0</x:v>
      </x:c>
      <x:c r="L153" s="18" t="n">
        <x:v>0</x:v>
      </x:c>
      <x:c r="M153" s="18" t="n">
        <x:v>0</x:v>
      </x:c>
      <x:c r="O153" t="str">
        <x:v>2021-12-09</x:v>
      </x:c>
      <x:c r="P153" t="n">
        <x:v>1023229.5494314508</x:v>
      </x:c>
    </x:row>
    <x:row r="154" ht="15" hidden="0" customHeight="1">
      <x:c r="A154" s="13" t="str">
        <x:v>2021-12-10</x:v>
      </x:c>
      <x:c r="B154" s="13" t="n">
        <x:v>0</x:v>
      </x:c>
      <x:c r="C154" s="13" t="n">
        <x:v>0</x:v>
      </x:c>
      <x:c r="D154" s="16" t="n">
        <x:v>0</x:v>
      </x:c>
      <x:c r="E154" s="16" t="n">
        <x:v>0</x:v>
      </x:c>
      <x:c r="F154" s="16" t="n">
        <x:v>0</x:v>
      </x:c>
      <x:c r="G154" s="16" t="n">
        <x:v>0</x:v>
      </x:c>
      <x:c r="H154" s="16" t="n">
        <x:v>0</x:v>
      </x:c>
      <x:c r="I154" s="16" t="n">
        <x:v>1023229.5494314508</x:v>
      </x:c>
      <x:c r="J154" s="16" t="n">
        <x:v>1023229.5494314508</x:v>
      </x:c>
      <x:c r="K154" s="16" t="n">
        <x:v>0</x:v>
      </x:c>
      <x:c r="L154" s="18" t="n">
        <x:v>0</x:v>
      </x:c>
      <x:c r="M154" s="18" t="n">
        <x:v>0</x:v>
      </x:c>
      <x:c r="O154" t="str">
        <x:v>2021-12-10</x:v>
      </x:c>
      <x:c r="P154" t="n">
        <x:v>1023229.5494314508</x:v>
      </x:c>
    </x:row>
    <x:row r="155" ht="15" hidden="0" customHeight="1">
      <x:c r="A155" s="13" t="str">
        <x:v>2021-12-13</x:v>
      </x:c>
      <x:c r="B155" s="13" t="n">
        <x:v>0</x:v>
      </x:c>
      <x:c r="C155" s="13" t="n">
        <x:v>0</x:v>
      </x:c>
      <x:c r="D155" s="16" t="n">
        <x:v>0</x:v>
      </x:c>
      <x:c r="E155" s="16" t="n">
        <x:v>0</x:v>
      </x:c>
      <x:c r="F155" s="16" t="n">
        <x:v>0</x:v>
      </x:c>
      <x:c r="G155" s="16" t="n">
        <x:v>0</x:v>
      </x:c>
      <x:c r="H155" s="16" t="n">
        <x:v>0</x:v>
      </x:c>
      <x:c r="I155" s="16" t="n">
        <x:v>1023229.5494314508</x:v>
      </x:c>
      <x:c r="J155" s="16" t="n">
        <x:v>1023229.5494314508</x:v>
      </x:c>
      <x:c r="K155" s="16" t="n">
        <x:v>0</x:v>
      </x:c>
      <x:c r="L155" s="18" t="n">
        <x:v>0</x:v>
      </x:c>
      <x:c r="M155" s="18" t="n">
        <x:v>0</x:v>
      </x:c>
      <x:c r="O155" t="str">
        <x:v>2021-12-13</x:v>
      </x:c>
      <x:c r="P155" t="n">
        <x:v>1023229.5494314508</x:v>
      </x:c>
    </x:row>
    <x:row r="156" ht="15" hidden="0" customHeight="1">
      <x:c r="A156" s="13" t="str">
        <x:v>2021-12-14</x:v>
      </x:c>
      <x:c r="B156" s="13" t="n">
        <x:v>0</x:v>
      </x:c>
      <x:c r="C156" s="13" t="n">
        <x:v>0</x:v>
      </x:c>
      <x:c r="D156" s="16" t="n">
        <x:v>0</x:v>
      </x:c>
      <x:c r="E156" s="16" t="n">
        <x:v>0</x:v>
      </x:c>
      <x:c r="F156" s="16" t="n">
        <x:v>0</x:v>
      </x:c>
      <x:c r="G156" s="16" t="n">
        <x:v>0</x:v>
      </x:c>
      <x:c r="H156" s="16" t="n">
        <x:v>0</x:v>
      </x:c>
      <x:c r="I156" s="16" t="n">
        <x:v>1023229.5494314508</x:v>
      </x:c>
      <x:c r="J156" s="16" t="n">
        <x:v>1023229.5494314508</x:v>
      </x:c>
      <x:c r="K156" s="16" t="n">
        <x:v>0</x:v>
      </x:c>
      <x:c r="L156" s="18" t="n">
        <x:v>0</x:v>
      </x:c>
      <x:c r="M156" s="18" t="n">
        <x:v>0</x:v>
      </x:c>
      <x:c r="O156" t="str">
        <x:v>2021-12-14</x:v>
      </x:c>
      <x:c r="P156" t="n">
        <x:v>1023229.5494314508</x:v>
      </x:c>
    </x:row>
    <x:row r="157" ht="15" hidden="0" customHeight="1">
      <x:c r="A157" s="13" t="str">
        <x:v>2021-12-15</x:v>
      </x:c>
      <x:c r="B157" s="13" t="n">
        <x:v>0</x:v>
      </x:c>
      <x:c r="C157" s="13" t="n">
        <x:v>0</x:v>
      </x:c>
      <x:c r="D157" s="16" t="n">
        <x:v>0</x:v>
      </x:c>
      <x:c r="E157" s="16" t="n">
        <x:v>0</x:v>
      </x:c>
      <x:c r="F157" s="16" t="n">
        <x:v>0</x:v>
      </x:c>
      <x:c r="G157" s="16" t="n">
        <x:v>0</x:v>
      </x:c>
      <x:c r="H157" s="16" t="n">
        <x:v>0</x:v>
      </x:c>
      <x:c r="I157" s="16" t="n">
        <x:v>1023229.5494314508</x:v>
      </x:c>
      <x:c r="J157" s="16" t="n">
        <x:v>1023229.5494314508</x:v>
      </x:c>
      <x:c r="K157" s="16" t="n">
        <x:v>0</x:v>
      </x:c>
      <x:c r="L157" s="18" t="n">
        <x:v>0</x:v>
      </x:c>
      <x:c r="M157" s="18" t="n">
        <x:v>0</x:v>
      </x:c>
      <x:c r="O157" t="str">
        <x:v>2021-12-15</x:v>
      </x:c>
      <x:c r="P157" t="n">
        <x:v>1023229.5494314508</x:v>
      </x:c>
    </x:row>
    <x:row r="158" ht="15" hidden="0" customHeight="1">
      <x:c r="A158" s="13" t="str">
        <x:v>2021-12-16</x:v>
      </x:c>
      <x:c r="B158" s="13" t="n">
        <x:v>0</x:v>
      </x:c>
      <x:c r="C158" s="13" t="n">
        <x:v>0</x:v>
      </x:c>
      <x:c r="D158" s="16" t="n">
        <x:v>0</x:v>
      </x:c>
      <x:c r="E158" s="16" t="n">
        <x:v>0</x:v>
      </x:c>
      <x:c r="F158" s="16" t="n">
        <x:v>0</x:v>
      </x:c>
      <x:c r="G158" s="16" t="n">
        <x:v>0</x:v>
      </x:c>
      <x:c r="H158" s="16" t="n">
        <x:v>0</x:v>
      </x:c>
      <x:c r="I158" s="16" t="n">
        <x:v>1023229.5494314508</x:v>
      </x:c>
      <x:c r="J158" s="16" t="n">
        <x:v>1023229.5494314508</x:v>
      </x:c>
      <x:c r="K158" s="16" t="n">
        <x:v>0</x:v>
      </x:c>
      <x:c r="L158" s="18" t="n">
        <x:v>0</x:v>
      </x:c>
      <x:c r="M158" s="18" t="n">
        <x:v>0</x:v>
      </x:c>
      <x:c r="O158" t="str">
        <x:v>2021-12-16</x:v>
      </x:c>
      <x:c r="P158" t="n">
        <x:v>1023229.5494314508</x:v>
      </x:c>
    </x:row>
    <x:row r="159" ht="15" hidden="0" customHeight="1">
      <x:c r="A159" s="13" t="str">
        <x:v>2021-12-17</x:v>
      </x:c>
      <x:c r="B159" s="13" t="n">
        <x:v>0</x:v>
      </x:c>
      <x:c r="C159" s="13" t="n">
        <x:v>0</x:v>
      </x:c>
      <x:c r="D159" s="16" t="n">
        <x:v>0</x:v>
      </x:c>
      <x:c r="E159" s="16" t="n">
        <x:v>0</x:v>
      </x:c>
      <x:c r="F159" s="16" t="n">
        <x:v>0</x:v>
      </x:c>
      <x:c r="G159" s="16" t="n">
        <x:v>0</x:v>
      </x:c>
      <x:c r="H159" s="16" t="n">
        <x:v>0</x:v>
      </x:c>
      <x:c r="I159" s="16" t="n">
        <x:v>1023229.5494314508</x:v>
      </x:c>
      <x:c r="J159" s="16" t="n">
        <x:v>1023229.5494314508</x:v>
      </x:c>
      <x:c r="K159" s="16" t="n">
        <x:v>0</x:v>
      </x:c>
      <x:c r="L159" s="18" t="n">
        <x:v>0</x:v>
      </x:c>
      <x:c r="M159" s="18" t="n">
        <x:v>0</x:v>
      </x:c>
      <x:c r="O159" t="str">
        <x:v>2021-12-17</x:v>
      </x:c>
      <x:c r="P159" t="n">
        <x:v>1023229.5494314508</x:v>
      </x:c>
    </x:row>
    <x:row r="160" ht="15" hidden="0" customHeight="1">
      <x:c r="A160" s="13" t="str">
        <x:v>2021-12-20</x:v>
      </x:c>
      <x:c r="B160" s="13" t="n">
        <x:v>0</x:v>
      </x:c>
      <x:c r="C160" s="13" t="n">
        <x:v>0</x:v>
      </x:c>
      <x:c r="D160" s="16" t="n">
        <x:v>0</x:v>
      </x:c>
      <x:c r="E160" s="16" t="n">
        <x:v>0</x:v>
      </x:c>
      <x:c r="F160" s="16" t="n">
        <x:v>0</x:v>
      </x:c>
      <x:c r="G160" s="16" t="n">
        <x:v>0</x:v>
      </x:c>
      <x:c r="H160" s="16" t="n">
        <x:v>0</x:v>
      </x:c>
      <x:c r="I160" s="16" t="n">
        <x:v>1023229.5494314508</x:v>
      </x:c>
      <x:c r="J160" s="16" t="n">
        <x:v>1023229.5494314508</x:v>
      </x:c>
      <x:c r="K160" s="16" t="n">
        <x:v>0</x:v>
      </x:c>
      <x:c r="L160" s="18" t="n">
        <x:v>0</x:v>
      </x:c>
      <x:c r="M160" s="18" t="n">
        <x:v>0</x:v>
      </x:c>
      <x:c r="O160" t="str">
        <x:v>2021-12-20</x:v>
      </x:c>
      <x:c r="P160" t="n">
        <x:v>1023229.5494314508</x:v>
      </x:c>
    </x:row>
    <x:row r="161" ht="15" hidden="0" customHeight="1">
      <x:c r="A161" s="13" t="str">
        <x:v>2021-12-21</x:v>
      </x:c>
      <x:c r="B161" s="13" t="n">
        <x:v>0</x:v>
      </x:c>
      <x:c r="C161" s="13" t="n">
        <x:v>0</x:v>
      </x:c>
      <x:c r="D161" s="16" t="n">
        <x:v>0</x:v>
      </x:c>
      <x:c r="E161" s="16" t="n">
        <x:v>0</x:v>
      </x:c>
      <x:c r="F161" s="16" t="n">
        <x:v>0</x:v>
      </x:c>
      <x:c r="G161" s="16" t="n">
        <x:v>0</x:v>
      </x:c>
      <x:c r="H161" s="16" t="n">
        <x:v>0</x:v>
      </x:c>
      <x:c r="I161" s="16" t="n">
        <x:v>1023229.5494314508</x:v>
      </x:c>
      <x:c r="J161" s="16" t="n">
        <x:v>1023229.5494314508</x:v>
      </x:c>
      <x:c r="K161" s="16" t="n">
        <x:v>0</x:v>
      </x:c>
      <x:c r="L161" s="18" t="n">
        <x:v>0</x:v>
      </x:c>
      <x:c r="M161" s="18" t="n">
        <x:v>0</x:v>
      </x:c>
      <x:c r="O161" t="str">
        <x:v>2021-12-21</x:v>
      </x:c>
      <x:c r="P161" t="n">
        <x:v>1023229.5494314508</x:v>
      </x:c>
    </x:row>
    <x:row r="162" ht="15" hidden="0" customHeight="1">
      <x:c r="A162" s="13" t="str">
        <x:v>2021-12-22</x:v>
      </x:c>
      <x:c r="B162" s="13" t="n">
        <x:v>0</x:v>
      </x:c>
      <x:c r="C162" s="13" t="n">
        <x:v>0</x:v>
      </x:c>
      <x:c r="D162" s="16" t="n">
        <x:v>0</x:v>
      </x:c>
      <x:c r="E162" s="16" t="n">
        <x:v>0</x:v>
      </x:c>
      <x:c r="F162" s="16" t="n">
        <x:v>0</x:v>
      </x:c>
      <x:c r="G162" s="16" t="n">
        <x:v>0</x:v>
      </x:c>
      <x:c r="H162" s="16" t="n">
        <x:v>0</x:v>
      </x:c>
      <x:c r="I162" s="16" t="n">
        <x:v>1023229.5494314508</x:v>
      </x:c>
      <x:c r="J162" s="16" t="n">
        <x:v>1023229.5494314508</x:v>
      </x:c>
      <x:c r="K162" s="16" t="n">
        <x:v>0</x:v>
      </x:c>
      <x:c r="L162" s="18" t="n">
        <x:v>0</x:v>
      </x:c>
      <x:c r="M162" s="18" t="n">
        <x:v>0</x:v>
      </x:c>
      <x:c r="O162" t="str">
        <x:v>2021-12-22</x:v>
      </x:c>
      <x:c r="P162" t="n">
        <x:v>1023229.5494314508</x:v>
      </x:c>
    </x:row>
    <x:row r="163" ht="15" hidden="0" customHeight="1">
      <x:c r="A163" s="13" t="str">
        <x:v>2021-12-23</x:v>
      </x:c>
      <x:c r="B163" s="13" t="n">
        <x:v>1</x:v>
      </x:c>
      <x:c r="C163" s="13" t="n">
        <x:v>8</x:v>
      </x:c>
      <x:c r="D163" s="16" t="n">
        <x:v>-4940.000000000001</x:v>
      </x:c>
      <x:c r="E163" s="16" t="n">
        <x:v>523.9755089815234</x:v>
      </x:c>
      <x:c r="F163" s="16" t="n">
        <x:v>-5463.975508981524</x:v>
      </x:c>
      <x:c r="G163" s="16" t="n">
        <x:v>78846.80838340057</x:v>
      </x:c>
      <x:c r="H163" s="16" t="n">
        <x:v>339653.6411597409</x:v>
      </x:c>
      <x:c r="I163" s="16" t="n">
        <x:v>1017765.5739224692</x:v>
      </x:c>
      <x:c r="J163" s="16" t="n">
        <x:v>1023229.5494314508</x:v>
      </x:c>
      <x:c r="K163" s="16" t="n">
        <x:v>-5463.975508981617</x:v>
      </x:c>
      <x:c r="L163" s="18" t="n">
        <x:v>-0.0053399313106405</x:v>
      </x:c>
      <x:c r="M163" s="18" t="n">
        <x:v>-0.0053399313106405</x:v>
      </x:c>
      <x:c r="O163" t="str">
        <x:v>2021-12-23</x:v>
      </x:c>
      <x:c r="P163" t="n">
        <x:v>1017765.5739224692</x:v>
      </x:c>
    </x:row>
    <x:row r="164" ht="15" hidden="0" customHeight="1">
      <x:c r="A164" s="13" t="str">
        <x:v>2021-12-24</x:v>
      </x:c>
      <x:c r="B164" s="13" t="n">
        <x:v>0</x:v>
      </x:c>
      <x:c r="C164" s="13" t="n">
        <x:v>0</x:v>
      </x:c>
      <x:c r="D164" s="16" t="n">
        <x:v>0</x:v>
      </x:c>
      <x:c r="E164" s="16" t="n">
        <x:v>0</x:v>
      </x:c>
      <x:c r="F164" s="16" t="n">
        <x:v>0</x:v>
      </x:c>
      <x:c r="G164" s="16" t="n">
        <x:v>0</x:v>
      </x:c>
      <x:c r="H164" s="16" t="n">
        <x:v>0</x:v>
      </x:c>
      <x:c r="I164" s="16" t="n">
        <x:v>1017765.5739224692</x:v>
      </x:c>
      <x:c r="J164" s="16" t="n">
        <x:v>1023229.5494314508</x:v>
      </x:c>
      <x:c r="K164" s="16" t="n">
        <x:v>-5463.975508981617</x:v>
      </x:c>
      <x:c r="L164" s="18" t="n">
        <x:v>-0.0053399313106405</x:v>
      </x:c>
      <x:c r="M164" s="18" t="n">
        <x:v>0</x:v>
      </x:c>
      <x:c r="O164" t="str">
        <x:v>2021-12-24</x:v>
      </x:c>
      <x:c r="P164" t="n">
        <x:v>1017765.5739224692</x:v>
      </x:c>
    </x:row>
    <x:row r="165" ht="15" hidden="0" customHeight="1">
      <x:c r="A165" s="13" t="str">
        <x:v>2021-12-27</x:v>
      </x:c>
      <x:c r="B165" s="13" t="n">
        <x:v>0</x:v>
      </x:c>
      <x:c r="C165" s="13" t="n">
        <x:v>0</x:v>
      </x:c>
      <x:c r="D165" s="16" t="n">
        <x:v>0</x:v>
      </x:c>
      <x:c r="E165" s="16" t="n">
        <x:v>0</x:v>
      </x:c>
      <x:c r="F165" s="16" t="n">
        <x:v>0</x:v>
      </x:c>
      <x:c r="G165" s="16" t="n">
        <x:v>0</x:v>
      </x:c>
      <x:c r="H165" s="16" t="n">
        <x:v>0</x:v>
      </x:c>
      <x:c r="I165" s="16" t="n">
        <x:v>1017765.5739224692</x:v>
      </x:c>
      <x:c r="J165" s="16" t="n">
        <x:v>1023229.5494314508</x:v>
      </x:c>
      <x:c r="K165" s="16" t="n">
        <x:v>-5463.975508981617</x:v>
      </x:c>
      <x:c r="L165" s="18" t="n">
        <x:v>-0.0053399313106405</x:v>
      </x:c>
      <x:c r="M165" s="18" t="n">
        <x:v>0</x:v>
      </x:c>
      <x:c r="O165" t="str">
        <x:v>2021-12-27</x:v>
      </x:c>
      <x:c r="P165" t="n">
        <x:v>1017765.5739224692</x:v>
      </x:c>
    </x:row>
    <x:row r="166" ht="15" hidden="0" customHeight="1">
      <x:c r="A166" s="13" t="str">
        <x:v>2021-12-28</x:v>
      </x:c>
      <x:c r="B166" s="13" t="n">
        <x:v>0</x:v>
      </x:c>
      <x:c r="C166" s="13" t="n">
        <x:v>0</x:v>
      </x:c>
      <x:c r="D166" s="16" t="n">
        <x:v>0</x:v>
      </x:c>
      <x:c r="E166" s="16" t="n">
        <x:v>0</x:v>
      </x:c>
      <x:c r="F166" s="16" t="n">
        <x:v>0</x:v>
      </x:c>
      <x:c r="G166" s="16" t="n">
        <x:v>0</x:v>
      </x:c>
      <x:c r="H166" s="16" t="n">
        <x:v>0</x:v>
      </x:c>
      <x:c r="I166" s="16" t="n">
        <x:v>1017765.5739224692</x:v>
      </x:c>
      <x:c r="J166" s="16" t="n">
        <x:v>1023229.5494314508</x:v>
      </x:c>
      <x:c r="K166" s="16" t="n">
        <x:v>-5463.975508981617</x:v>
      </x:c>
      <x:c r="L166" s="18" t="n">
        <x:v>-0.0053399313106405</x:v>
      </x:c>
      <x:c r="M166" s="18" t="n">
        <x:v>0</x:v>
      </x:c>
      <x:c r="O166" t="str">
        <x:v>2021-12-28</x:v>
      </x:c>
      <x:c r="P166" t="n">
        <x:v>1017765.5739224692</x:v>
      </x:c>
    </x:row>
    <x:row r="167" ht="15" hidden="0" customHeight="1">
      <x:c r="A167" s="13" t="str">
        <x:v>2021-12-29</x:v>
      </x:c>
      <x:c r="B167" s="13" t="n">
        <x:v>0</x:v>
      </x:c>
      <x:c r="C167" s="13" t="n">
        <x:v>0</x:v>
      </x:c>
      <x:c r="D167" s="16" t="n">
        <x:v>0</x:v>
      </x:c>
      <x:c r="E167" s="16" t="n">
        <x:v>0</x:v>
      </x:c>
      <x:c r="F167" s="16" t="n">
        <x:v>0</x:v>
      </x:c>
      <x:c r="G167" s="16" t="n">
        <x:v>0</x:v>
      </x:c>
      <x:c r="H167" s="16" t="n">
        <x:v>0</x:v>
      </x:c>
      <x:c r="I167" s="16" t="n">
        <x:v>1017765.5739224692</x:v>
      </x:c>
      <x:c r="J167" s="16" t="n">
        <x:v>1023229.5494314508</x:v>
      </x:c>
      <x:c r="K167" s="16" t="n">
        <x:v>-5463.975508981617</x:v>
      </x:c>
      <x:c r="L167" s="18" t="n">
        <x:v>-0.0053399313106405</x:v>
      </x:c>
      <x:c r="M167" s="18" t="n">
        <x:v>0</x:v>
      </x:c>
      <x:c r="O167" t="str">
        <x:v>2021-12-29</x:v>
      </x:c>
      <x:c r="P167" t="n">
        <x:v>1017765.5739224692</x:v>
      </x:c>
    </x:row>
    <x:row r="168" ht="15" hidden="0" customHeight="1">
      <x:c r="A168" s="13" t="str">
        <x:v>2021-12-30</x:v>
      </x:c>
      <x:c r="B168" s="13" t="n">
        <x:v>1</x:v>
      </x:c>
      <x:c r="C168" s="13" t="n">
        <x:v>7</x:v>
      </x:c>
      <x:c r="D168" s="16" t="n">
        <x:v>2835.000000000002</x:v>
      </x:c>
      <x:c r="E168" s="16" t="n">
        <x:v>396.7974597754094</x:v>
      </x:c>
      <x:c r="F168" s="16" t="n">
        <x:v>2438.2025402245927</x:v>
      </x:c>
      <x:c r="G168" s="16" t="n">
        <x:v>36602.728476808814</x:v>
      </x:c>
      <x:c r="H168" s="16" t="n">
        <x:v>298122.20380186505</x:v>
      </x:c>
      <x:c r="I168" s="16" t="n">
        <x:v>1020203.776462694</x:v>
      </x:c>
      <x:c r="J168" s="16" t="n">
        <x:v>1023229.5494314508</x:v>
      </x:c>
      <x:c r="K168" s="16" t="n">
        <x:v>-3025.7729687569663</x:v>
      </x:c>
      <x:c r="L168" s="18" t="n">
        <x:v>-0.0029570813024684</x:v>
      </x:c>
      <x:c r="M168" s="18" t="n">
        <x:v>0.0023956425749671</x:v>
      </x:c>
      <x:c r="O168" t="str">
        <x:v>2021-12-30</x:v>
      </x:c>
      <x:c r="P168" t="n">
        <x:v>1020203.776462694</x:v>
      </x:c>
    </x:row>
    <x:row r="169" ht="15" hidden="0" customHeight="1">
      <x:c r="A169" s="13" t="str">
        <x:v>2021-12-31</x:v>
      </x:c>
      <x:c r="B169" s="13" t="n">
        <x:v>0</x:v>
      </x:c>
      <x:c r="C169" s="13" t="n">
        <x:v>0</x:v>
      </x:c>
      <x:c r="D169" s="16" t="n">
        <x:v>0</x:v>
      </x:c>
      <x:c r="E169" s="16" t="n">
        <x:v>0</x:v>
      </x:c>
      <x:c r="F169" s="16" t="n">
        <x:v>0</x:v>
      </x:c>
      <x:c r="G169" s="16" t="n">
        <x:v>0</x:v>
      </x:c>
      <x:c r="H169" s="16" t="n">
        <x:v>0</x:v>
      </x:c>
      <x:c r="I169" s="16" t="n">
        <x:v>1020203.776462694</x:v>
      </x:c>
      <x:c r="J169" s="16" t="n">
        <x:v>1023229.5494314508</x:v>
      </x:c>
      <x:c r="K169" s="16" t="n">
        <x:v>-3025.7729687569663</x:v>
      </x:c>
      <x:c r="L169" s="18" t="n">
        <x:v>-0.0029570813024684</x:v>
      </x:c>
      <x:c r="M169" s="18" t="n">
        <x:v>0</x:v>
      </x:c>
      <x:c r="O169" t="str">
        <x:v>2021-12-31</x:v>
      </x:c>
      <x:c r="P169" t="n">
        <x:v>1020203.776462694</x:v>
      </x:c>
    </x:row>
    <x:row r="170" ht="15" hidden="0" customHeight="1">
      <x:c r="A170" s="13" t="str">
        <x:v>2022-01-03</x:v>
      </x:c>
      <x:c r="B170" s="13" t="n">
        <x:v>0</x:v>
      </x:c>
      <x:c r="C170" s="13" t="n">
        <x:v>0</x:v>
      </x:c>
      <x:c r="D170" s="16" t="n">
        <x:v>0</x:v>
      </x:c>
      <x:c r="E170" s="16" t="n">
        <x:v>0</x:v>
      </x:c>
      <x:c r="F170" s="16" t="n">
        <x:v>0</x:v>
      </x:c>
      <x:c r="G170" s="16" t="n">
        <x:v>0</x:v>
      </x:c>
      <x:c r="H170" s="16" t="n">
        <x:v>0</x:v>
      </x:c>
      <x:c r="I170" s="16" t="n">
        <x:v>1020203.776462694</x:v>
      </x:c>
      <x:c r="J170" s="16" t="n">
        <x:v>1023229.5494314508</x:v>
      </x:c>
      <x:c r="K170" s="16" t="n">
        <x:v>-3025.7729687569663</x:v>
      </x:c>
      <x:c r="L170" s="18" t="n">
        <x:v>-0.0029570813024684</x:v>
      </x:c>
      <x:c r="M170" s="18" t="n">
        <x:v>0</x:v>
      </x:c>
      <x:c r="O170" t="str">
        <x:v>2022-01-03</x:v>
      </x:c>
      <x:c r="P170" t="n">
        <x:v>1020203.776462694</x:v>
      </x:c>
    </x:row>
    <x:row r="171" ht="15" hidden="0" customHeight="1">
      <x:c r="A171" s="13" t="str">
        <x:v>2022-01-04</x:v>
      </x:c>
      <x:c r="B171" s="13" t="n">
        <x:v>0</x:v>
      </x:c>
      <x:c r="C171" s="13" t="n">
        <x:v>0</x:v>
      </x:c>
      <x:c r="D171" s="16" t="n">
        <x:v>0</x:v>
      </x:c>
      <x:c r="E171" s="16" t="n">
        <x:v>0</x:v>
      </x:c>
      <x:c r="F171" s="16" t="n">
        <x:v>0</x:v>
      </x:c>
      <x:c r="G171" s="16" t="n">
        <x:v>0</x:v>
      </x:c>
      <x:c r="H171" s="16" t="n">
        <x:v>0</x:v>
      </x:c>
      <x:c r="I171" s="16" t="n">
        <x:v>1020203.776462694</x:v>
      </x:c>
      <x:c r="J171" s="16" t="n">
        <x:v>1023229.5494314508</x:v>
      </x:c>
      <x:c r="K171" s="16" t="n">
        <x:v>-3025.7729687569663</x:v>
      </x:c>
      <x:c r="L171" s="18" t="n">
        <x:v>-0.0029570813024684</x:v>
      </x:c>
      <x:c r="M171" s="18" t="n">
        <x:v>0</x:v>
      </x:c>
      <x:c r="O171" t="str">
        <x:v>2022-01-04</x:v>
      </x:c>
      <x:c r="P171" t="n">
        <x:v>1020203.776462694</x:v>
      </x:c>
    </x:row>
    <x:row r="172" ht="15" hidden="0" customHeight="1">
      <x:c r="A172" s="13" t="str">
        <x:v>2022-01-05</x:v>
      </x:c>
      <x:c r="B172" s="13" t="n">
        <x:v>0</x:v>
      </x:c>
      <x:c r="C172" s="13" t="n">
        <x:v>0</x:v>
      </x:c>
      <x:c r="D172" s="16" t="n">
        <x:v>0</x:v>
      </x:c>
      <x:c r="E172" s="16" t="n">
        <x:v>0</x:v>
      </x:c>
      <x:c r="F172" s="16" t="n">
        <x:v>0</x:v>
      </x:c>
      <x:c r="G172" s="16" t="n">
        <x:v>0</x:v>
      </x:c>
      <x:c r="H172" s="16" t="n">
        <x:v>0</x:v>
      </x:c>
      <x:c r="I172" s="16" t="n">
        <x:v>1020203.776462694</x:v>
      </x:c>
      <x:c r="J172" s="16" t="n">
        <x:v>1023229.5494314508</x:v>
      </x:c>
      <x:c r="K172" s="16" t="n">
        <x:v>-3025.7729687569663</x:v>
      </x:c>
      <x:c r="L172" s="18" t="n">
        <x:v>-0.0029570813024684</x:v>
      </x:c>
      <x:c r="M172" s="18" t="n">
        <x:v>0</x:v>
      </x:c>
      <x:c r="O172" t="str">
        <x:v>2022-01-05</x:v>
      </x:c>
      <x:c r="P172" t="n">
        <x:v>1020203.776462694</x:v>
      </x:c>
    </x:row>
    <x:row r="173" ht="15" hidden="0" customHeight="1">
      <x:c r="A173" s="13" t="str">
        <x:v>2022-01-06</x:v>
      </x:c>
      <x:c r="B173" s="13" t="n">
        <x:v>0</x:v>
      </x:c>
      <x:c r="C173" s="13" t="n">
        <x:v>0</x:v>
      </x:c>
      <x:c r="D173" s="16" t="n">
        <x:v>0</x:v>
      </x:c>
      <x:c r="E173" s="16" t="n">
        <x:v>0</x:v>
      </x:c>
      <x:c r="F173" s="16" t="n">
        <x:v>0</x:v>
      </x:c>
      <x:c r="G173" s="16" t="n">
        <x:v>0</x:v>
      </x:c>
      <x:c r="H173" s="16" t="n">
        <x:v>0</x:v>
      </x:c>
      <x:c r="I173" s="16" t="n">
        <x:v>1020203.776462694</x:v>
      </x:c>
      <x:c r="J173" s="16" t="n">
        <x:v>1023229.5494314508</x:v>
      </x:c>
      <x:c r="K173" s="16" t="n">
        <x:v>-3025.7729687569663</x:v>
      </x:c>
      <x:c r="L173" s="18" t="n">
        <x:v>-0.0029570813024684</x:v>
      </x:c>
      <x:c r="M173" s="18" t="n">
        <x:v>0</x:v>
      </x:c>
      <x:c r="O173" t="str">
        <x:v>2022-01-06</x:v>
      </x:c>
      <x:c r="P173" t="n">
        <x:v>1020203.776462694</x:v>
      </x:c>
    </x:row>
    <x:row r="174" ht="15" hidden="0" customHeight="1">
      <x:c r="A174" s="13" t="str">
        <x:v>2022-01-07</x:v>
      </x:c>
      <x:c r="B174" s="13" t="n">
        <x:v>0</x:v>
      </x:c>
      <x:c r="C174" s="13" t="n">
        <x:v>0</x:v>
      </x:c>
      <x:c r="D174" s="16" t="n">
        <x:v>0</x:v>
      </x:c>
      <x:c r="E174" s="16" t="n">
        <x:v>0</x:v>
      </x:c>
      <x:c r="F174" s="16" t="n">
        <x:v>0</x:v>
      </x:c>
      <x:c r="G174" s="16" t="n">
        <x:v>0</x:v>
      </x:c>
      <x:c r="H174" s="16" t="n">
        <x:v>0</x:v>
      </x:c>
      <x:c r="I174" s="16" t="n">
        <x:v>1020203.776462694</x:v>
      </x:c>
      <x:c r="J174" s="16" t="n">
        <x:v>1023229.5494314508</x:v>
      </x:c>
      <x:c r="K174" s="16" t="n">
        <x:v>-3025.7729687569663</x:v>
      </x:c>
      <x:c r="L174" s="18" t="n">
        <x:v>-0.0029570813024684</x:v>
      </x:c>
      <x:c r="M174" s="18" t="n">
        <x:v>0</x:v>
      </x:c>
      <x:c r="O174" t="str">
        <x:v>2022-01-07</x:v>
      </x:c>
      <x:c r="P174" t="n">
        <x:v>1020203.776462694</x:v>
      </x:c>
    </x:row>
    <x:row r="175" ht="15" hidden="0" customHeight="1">
      <x:c r="A175" s="13" t="str">
        <x:v>2022-01-10</x:v>
      </x:c>
      <x:c r="B175" s="13" t="n">
        <x:v>0</x:v>
      </x:c>
      <x:c r="C175" s="13" t="n">
        <x:v>0</x:v>
      </x:c>
      <x:c r="D175" s="16" t="n">
        <x:v>0</x:v>
      </x:c>
      <x:c r="E175" s="16" t="n">
        <x:v>0</x:v>
      </x:c>
      <x:c r="F175" s="16" t="n">
        <x:v>0</x:v>
      </x:c>
      <x:c r="G175" s="16" t="n">
        <x:v>0</x:v>
      </x:c>
      <x:c r="H175" s="16" t="n">
        <x:v>0</x:v>
      </x:c>
      <x:c r="I175" s="16" t="n">
        <x:v>1020203.776462694</x:v>
      </x:c>
      <x:c r="J175" s="16" t="n">
        <x:v>1023229.5494314508</x:v>
      </x:c>
      <x:c r="K175" s="16" t="n">
        <x:v>-3025.7729687569663</x:v>
      </x:c>
      <x:c r="L175" s="18" t="n">
        <x:v>-0.0029570813024684</x:v>
      </x:c>
      <x:c r="M175" s="18" t="n">
        <x:v>0</x:v>
      </x:c>
      <x:c r="O175" t="str">
        <x:v>2022-01-10</x:v>
      </x:c>
      <x:c r="P175" t="n">
        <x:v>1020203.776462694</x:v>
      </x:c>
    </x:row>
    <x:row r="176" ht="15" hidden="0" customHeight="1">
      <x:c r="A176" s="13" t="str">
        <x:v>2022-01-11</x:v>
      </x:c>
      <x:c r="B176" s="13" t="n">
        <x:v>0</x:v>
      </x:c>
      <x:c r="C176" s="13" t="n">
        <x:v>0</x:v>
      </x:c>
      <x:c r="D176" s="16" t="n">
        <x:v>0</x:v>
      </x:c>
      <x:c r="E176" s="16" t="n">
        <x:v>0</x:v>
      </x:c>
      <x:c r="F176" s="16" t="n">
        <x:v>0</x:v>
      </x:c>
      <x:c r="G176" s="16" t="n">
        <x:v>0</x:v>
      </x:c>
      <x:c r="H176" s="16" t="n">
        <x:v>0</x:v>
      </x:c>
      <x:c r="I176" s="16" t="n">
        <x:v>1020203.776462694</x:v>
      </x:c>
      <x:c r="J176" s="16" t="n">
        <x:v>1023229.5494314508</x:v>
      </x:c>
      <x:c r="K176" s="16" t="n">
        <x:v>-3025.7729687569663</x:v>
      </x:c>
      <x:c r="L176" s="18" t="n">
        <x:v>-0.0029570813024684</x:v>
      </x:c>
      <x:c r="M176" s="18" t="n">
        <x:v>0</x:v>
      </x:c>
      <x:c r="O176" t="str">
        <x:v>2022-01-11</x:v>
      </x:c>
      <x:c r="P176" t="n">
        <x:v>1020203.776462694</x:v>
      </x:c>
    </x:row>
    <x:row r="177" ht="15" hidden="0" customHeight="1">
      <x:c r="A177" s="13" t="str">
        <x:v>2022-01-12</x:v>
      </x:c>
      <x:c r="B177" s="13" t="n">
        <x:v>0</x:v>
      </x:c>
      <x:c r="C177" s="13" t="n">
        <x:v>0</x:v>
      </x:c>
      <x:c r="D177" s="16" t="n">
        <x:v>0</x:v>
      </x:c>
      <x:c r="E177" s="16" t="n">
        <x:v>0</x:v>
      </x:c>
      <x:c r="F177" s="16" t="n">
        <x:v>0</x:v>
      </x:c>
      <x:c r="G177" s="16" t="n">
        <x:v>0</x:v>
      </x:c>
      <x:c r="H177" s="16" t="n">
        <x:v>0</x:v>
      </x:c>
      <x:c r="I177" s="16" t="n">
        <x:v>1020203.776462694</x:v>
      </x:c>
      <x:c r="J177" s="16" t="n">
        <x:v>1023229.5494314508</x:v>
      </x:c>
      <x:c r="K177" s="16" t="n">
        <x:v>-3025.7729687569663</x:v>
      </x:c>
      <x:c r="L177" s="18" t="n">
        <x:v>-0.0029570813024684</x:v>
      </x:c>
      <x:c r="M177" s="18" t="n">
        <x:v>0</x:v>
      </x:c>
      <x:c r="O177" t="str">
        <x:v>2022-01-12</x:v>
      </x:c>
      <x:c r="P177" t="n">
        <x:v>1020203.776462694</x:v>
      </x:c>
    </x:row>
    <x:row r="178" ht="15" hidden="0" customHeight="1">
      <x:c r="A178" s="13" t="str">
        <x:v>2022-01-13</x:v>
      </x:c>
      <x:c r="B178" s="13" t="n">
        <x:v>1</x:v>
      </x:c>
      <x:c r="C178" s="13" t="n">
        <x:v>8</x:v>
      </x:c>
      <x:c r="D178" s="16" t="n">
        <x:v>4380</x:v>
      </x:c>
      <x:c r="E178" s="16" t="n">
        <x:v>448.778408965595</x:v>
      </x:c>
      <x:c r="F178" s="16" t="n">
        <x:v>3931.221591034405</x:v>
      </x:c>
      <x:c r="G178" s="16" t="n">
        <x:v>45414.52419319479</x:v>
      </x:c>
      <x:c r="H178" s="16" t="n">
        <x:v>354212.1134356234</x:v>
      </x:c>
      <x:c r="I178" s="16" t="n">
        <x:v>1024134.9980537284</x:v>
      </x:c>
      <x:c r="J178" s="16" t="n">
        <x:v>1024134.9980537284</x:v>
      </x:c>
      <x:c r="K178" s="16" t="n">
        <x:v>0</x:v>
      </x:c>
      <x:c r="L178" s="18" t="n">
        <x:v>0</x:v>
      </x:c>
      <x:c r="M178" s="18" t="n">
        <x:v>0.0038533689854245</x:v>
      </x:c>
      <x:c r="O178" t="str">
        <x:v>2022-01-13</x:v>
      </x:c>
      <x:c r="P178" t="n">
        <x:v>1024134.9980537284</x:v>
      </x:c>
    </x:row>
    <x:row r="179" ht="15" hidden="0" customHeight="1">
      <x:c r="A179" s="13" t="str">
        <x:v>2022-01-14</x:v>
      </x:c>
      <x:c r="B179" s="13" t="n">
        <x:v>0</x:v>
      </x:c>
      <x:c r="C179" s="13" t="n">
        <x:v>0</x:v>
      </x:c>
      <x:c r="D179" s="16" t="n">
        <x:v>0</x:v>
      </x:c>
      <x:c r="E179" s="16" t="n">
        <x:v>0</x:v>
      </x:c>
      <x:c r="F179" s="16" t="n">
        <x:v>0</x:v>
      </x:c>
      <x:c r="G179" s="16" t="n">
        <x:v>0</x:v>
      </x:c>
      <x:c r="H179" s="16" t="n">
        <x:v>0</x:v>
      </x:c>
      <x:c r="I179" s="16" t="n">
        <x:v>1024134.9980537284</x:v>
      </x:c>
      <x:c r="J179" s="16" t="n">
        <x:v>1024134.9980537284</x:v>
      </x:c>
      <x:c r="K179" s="16" t="n">
        <x:v>0</x:v>
      </x:c>
      <x:c r="L179" s="18" t="n">
        <x:v>0</x:v>
      </x:c>
      <x:c r="M179" s="18" t="n">
        <x:v>0</x:v>
      </x:c>
      <x:c r="O179" t="str">
        <x:v>2022-01-14</x:v>
      </x:c>
      <x:c r="P179" t="n">
        <x:v>1024134.9980537284</x:v>
      </x:c>
    </x:row>
    <x:row r="180" ht="15" hidden="0" customHeight="1">
      <x:c r="A180" s="13" t="str">
        <x:v>2022-01-17</x:v>
      </x:c>
      <x:c r="B180" s="13" t="n">
        <x:v>0</x:v>
      </x:c>
      <x:c r="C180" s="13" t="n">
        <x:v>0</x:v>
      </x:c>
      <x:c r="D180" s="16" t="n">
        <x:v>0</x:v>
      </x:c>
      <x:c r="E180" s="16" t="n">
        <x:v>0</x:v>
      </x:c>
      <x:c r="F180" s="16" t="n">
        <x:v>0</x:v>
      </x:c>
      <x:c r="G180" s="16" t="n">
        <x:v>0</x:v>
      </x:c>
      <x:c r="H180" s="16" t="n">
        <x:v>0</x:v>
      </x:c>
      <x:c r="I180" s="16" t="n">
        <x:v>1024134.9980537284</x:v>
      </x:c>
      <x:c r="J180" s="16" t="n">
        <x:v>1024134.9980537284</x:v>
      </x:c>
      <x:c r="K180" s="16" t="n">
        <x:v>0</x:v>
      </x:c>
      <x:c r="L180" s="18" t="n">
        <x:v>0</x:v>
      </x:c>
      <x:c r="M180" s="18" t="n">
        <x:v>0</x:v>
      </x:c>
      <x:c r="O180" t="str">
        <x:v>2022-01-17</x:v>
      </x:c>
      <x:c r="P180" t="n">
        <x:v>1024134.9980537284</x:v>
      </x:c>
    </x:row>
    <x:row r="181" ht="15" hidden="0" customHeight="1">
      <x:c r="A181" s="13" t="str">
        <x:v>2022-01-18</x:v>
      </x:c>
      <x:c r="B181" s="13" t="n">
        <x:v>0</x:v>
      </x:c>
      <x:c r="C181" s="13" t="n">
        <x:v>0</x:v>
      </x:c>
      <x:c r="D181" s="16" t="n">
        <x:v>0</x:v>
      </x:c>
      <x:c r="E181" s="16" t="n">
        <x:v>0</x:v>
      </x:c>
      <x:c r="F181" s="16" t="n">
        <x:v>0</x:v>
      </x:c>
      <x:c r="G181" s="16" t="n">
        <x:v>0</x:v>
      </x:c>
      <x:c r="H181" s="16" t="n">
        <x:v>0</x:v>
      </x:c>
      <x:c r="I181" s="16" t="n">
        <x:v>1024134.9980537284</x:v>
      </x:c>
      <x:c r="J181" s="16" t="n">
        <x:v>1024134.9980537284</x:v>
      </x:c>
      <x:c r="K181" s="16" t="n">
        <x:v>0</x:v>
      </x:c>
      <x:c r="L181" s="18" t="n">
        <x:v>0</x:v>
      </x:c>
      <x:c r="M181" s="18" t="n">
        <x:v>0</x:v>
      </x:c>
      <x:c r="O181" t="str">
        <x:v>2022-01-18</x:v>
      </x:c>
      <x:c r="P181" t="n">
        <x:v>1024134.9980537284</x:v>
      </x:c>
    </x:row>
    <x:row r="182" ht="15" hidden="0" customHeight="1">
      <x:c r="A182" s="13" t="str">
        <x:v>2022-01-19</x:v>
      </x:c>
      <x:c r="B182" s="13" t="n">
        <x:v>0</x:v>
      </x:c>
      <x:c r="C182" s="13" t="n">
        <x:v>0</x:v>
      </x:c>
      <x:c r="D182" s="16" t="n">
        <x:v>0</x:v>
      </x:c>
      <x:c r="E182" s="16" t="n">
        <x:v>0</x:v>
      </x:c>
      <x:c r="F182" s="16" t="n">
        <x:v>0</x:v>
      </x:c>
      <x:c r="G182" s="16" t="n">
        <x:v>0</x:v>
      </x:c>
      <x:c r="H182" s="16" t="n">
        <x:v>0</x:v>
      </x:c>
      <x:c r="I182" s="16" t="n">
        <x:v>1024134.9980537284</x:v>
      </x:c>
      <x:c r="J182" s="16" t="n">
        <x:v>1024134.9980537284</x:v>
      </x:c>
      <x:c r="K182" s="16" t="n">
        <x:v>0</x:v>
      </x:c>
      <x:c r="L182" s="18" t="n">
        <x:v>0</x:v>
      </x:c>
      <x:c r="M182" s="18" t="n">
        <x:v>0</x:v>
      </x:c>
      <x:c r="O182" t="str">
        <x:v>2022-01-19</x:v>
      </x:c>
      <x:c r="P182" t="n">
        <x:v>1024134.9980537284</x:v>
      </x:c>
    </x:row>
    <x:row r="183" ht="15" hidden="0" customHeight="1">
      <x:c r="A183" s="13" t="str">
        <x:v>2022-01-20</x:v>
      </x:c>
      <x:c r="B183" s="13" t="n">
        <x:v>0</x:v>
      </x:c>
      <x:c r="C183" s="13" t="n">
        <x:v>0</x:v>
      </x:c>
      <x:c r="D183" s="16" t="n">
        <x:v>0</x:v>
      </x:c>
      <x:c r="E183" s="16" t="n">
        <x:v>0</x:v>
      </x:c>
      <x:c r="F183" s="16" t="n">
        <x:v>0</x:v>
      </x:c>
      <x:c r="G183" s="16" t="n">
        <x:v>0</x:v>
      </x:c>
      <x:c r="H183" s="16" t="n">
        <x:v>0</x:v>
      </x:c>
      <x:c r="I183" s="16" t="n">
        <x:v>1024134.9980537284</x:v>
      </x:c>
      <x:c r="J183" s="16" t="n">
        <x:v>1024134.9980537284</x:v>
      </x:c>
      <x:c r="K183" s="16" t="n">
        <x:v>0</x:v>
      </x:c>
      <x:c r="L183" s="18" t="n">
        <x:v>0</x:v>
      </x:c>
      <x:c r="M183" s="18" t="n">
        <x:v>0</x:v>
      </x:c>
      <x:c r="O183" t="str">
        <x:v>2022-01-20</x:v>
      </x:c>
      <x:c r="P183" t="n">
        <x:v>1024134.9980537284</x:v>
      </x:c>
    </x:row>
    <x:row r="184" ht="15" hidden="0" customHeight="1">
      <x:c r="A184" s="13" t="str">
        <x:v>2022-01-21</x:v>
      </x:c>
      <x:c r="B184" s="13" t="n">
        <x:v>0</x:v>
      </x:c>
      <x:c r="C184" s="13" t="n">
        <x:v>0</x:v>
      </x:c>
      <x:c r="D184" s="16" t="n">
        <x:v>0</x:v>
      </x:c>
      <x:c r="E184" s="16" t="n">
        <x:v>0</x:v>
      </x:c>
      <x:c r="F184" s="16" t="n">
        <x:v>0</x:v>
      </x:c>
      <x:c r="G184" s="16" t="n">
        <x:v>0</x:v>
      </x:c>
      <x:c r="H184" s="16" t="n">
        <x:v>0</x:v>
      </x:c>
      <x:c r="I184" s="16" t="n">
        <x:v>1024134.9980537284</x:v>
      </x:c>
      <x:c r="J184" s="16" t="n">
        <x:v>1024134.9980537284</x:v>
      </x:c>
      <x:c r="K184" s="16" t="n">
        <x:v>0</x:v>
      </x:c>
      <x:c r="L184" s="18" t="n">
        <x:v>0</x:v>
      </x:c>
      <x:c r="M184" s="18" t="n">
        <x:v>0</x:v>
      </x:c>
      <x:c r="O184" t="str">
        <x:v>2022-01-21</x:v>
      </x:c>
      <x:c r="P184" t="n">
        <x:v>1024134.9980537284</x:v>
      </x:c>
    </x:row>
    <x:row r="185" ht="15" hidden="0" customHeight="1">
      <x:c r="A185" s="13" t="str">
        <x:v>2022-01-24</x:v>
      </x:c>
      <x:c r="B185" s="13" t="n">
        <x:v>0</x:v>
      </x:c>
      <x:c r="C185" s="13" t="n">
        <x:v>0</x:v>
      </x:c>
      <x:c r="D185" s="16" t="n">
        <x:v>0</x:v>
      </x:c>
      <x:c r="E185" s="16" t="n">
        <x:v>0</x:v>
      </x:c>
      <x:c r="F185" s="16" t="n">
        <x:v>0</x:v>
      </x:c>
      <x:c r="G185" s="16" t="n">
        <x:v>0</x:v>
      </x:c>
      <x:c r="H185" s="16" t="n">
        <x:v>0</x:v>
      </x:c>
      <x:c r="I185" s="16" t="n">
        <x:v>1024134.9980537284</x:v>
      </x:c>
      <x:c r="J185" s="16" t="n">
        <x:v>1024134.9980537284</x:v>
      </x:c>
      <x:c r="K185" s="16" t="n">
        <x:v>0</x:v>
      </x:c>
      <x:c r="L185" s="18" t="n">
        <x:v>0</x:v>
      </x:c>
      <x:c r="M185" s="18" t="n">
        <x:v>0</x:v>
      </x:c>
      <x:c r="O185" t="str">
        <x:v>2022-01-24</x:v>
      </x:c>
      <x:c r="P185" t="n">
        <x:v>1024134.9980537284</x:v>
      </x:c>
    </x:row>
    <x:row r="186" ht="15" hidden="0" customHeight="1">
      <x:c r="A186" s="13" t="str">
        <x:v>2022-01-25</x:v>
      </x:c>
      <x:c r="B186" s="13" t="n">
        <x:v>0</x:v>
      </x:c>
      <x:c r="C186" s="13" t="n">
        <x:v>0</x:v>
      </x:c>
      <x:c r="D186" s="16" t="n">
        <x:v>0</x:v>
      </x:c>
      <x:c r="E186" s="16" t="n">
        <x:v>0</x:v>
      </x:c>
      <x:c r="F186" s="16" t="n">
        <x:v>0</x:v>
      </x:c>
      <x:c r="G186" s="16" t="n">
        <x:v>0</x:v>
      </x:c>
      <x:c r="H186" s="16" t="n">
        <x:v>0</x:v>
      </x:c>
      <x:c r="I186" s="16" t="n">
        <x:v>1024134.9980537284</x:v>
      </x:c>
      <x:c r="J186" s="16" t="n">
        <x:v>1024134.9980537284</x:v>
      </x:c>
      <x:c r="K186" s="16" t="n">
        <x:v>0</x:v>
      </x:c>
      <x:c r="L186" s="18" t="n">
        <x:v>0</x:v>
      </x:c>
      <x:c r="M186" s="18" t="n">
        <x:v>0</x:v>
      </x:c>
      <x:c r="O186" t="str">
        <x:v>2022-01-25</x:v>
      </x:c>
      <x:c r="P186" t="n">
        <x:v>1024134.9980537284</x:v>
      </x:c>
    </x:row>
    <x:row r="187" ht="15" hidden="0" customHeight="1">
      <x:c r="A187" s="13" t="str">
        <x:v>2022-01-26</x:v>
      </x:c>
      <x:c r="B187" s="13" t="n">
        <x:v>0</x:v>
      </x:c>
      <x:c r="C187" s="13" t="n">
        <x:v>0</x:v>
      </x:c>
      <x:c r="D187" s="16" t="n">
        <x:v>0</x:v>
      </x:c>
      <x:c r="E187" s="16" t="n">
        <x:v>0</x:v>
      </x:c>
      <x:c r="F187" s="16" t="n">
        <x:v>0</x:v>
      </x:c>
      <x:c r="G187" s="16" t="n">
        <x:v>0</x:v>
      </x:c>
      <x:c r="H187" s="16" t="n">
        <x:v>0</x:v>
      </x:c>
      <x:c r="I187" s="16" t="n">
        <x:v>1024134.9980537284</x:v>
      </x:c>
      <x:c r="J187" s="16" t="n">
        <x:v>1024134.9980537284</x:v>
      </x:c>
      <x:c r="K187" s="16" t="n">
        <x:v>0</x:v>
      </x:c>
      <x:c r="L187" s="18" t="n">
        <x:v>0</x:v>
      </x:c>
      <x:c r="M187" s="18" t="n">
        <x:v>0</x:v>
      </x:c>
      <x:c r="O187" t="str">
        <x:v>2022-01-26</x:v>
      </x:c>
      <x:c r="P187" t="n">
        <x:v>1024134.9980537284</x:v>
      </x:c>
    </x:row>
    <x:row r="188" ht="15" hidden="0" customHeight="1">
      <x:c r="A188" s="13" t="str">
        <x:v>2022-01-27</x:v>
      </x:c>
      <x:c r="B188" s="13" t="n">
        <x:v>0</x:v>
      </x:c>
      <x:c r="C188" s="13" t="n">
        <x:v>0</x:v>
      </x:c>
      <x:c r="D188" s="16" t="n">
        <x:v>0</x:v>
      </x:c>
      <x:c r="E188" s="16" t="n">
        <x:v>0</x:v>
      </x:c>
      <x:c r="F188" s="16" t="n">
        <x:v>0</x:v>
      </x:c>
      <x:c r="G188" s="16" t="n">
        <x:v>0</x:v>
      </x:c>
      <x:c r="H188" s="16" t="n">
        <x:v>0</x:v>
      </x:c>
      <x:c r="I188" s="16" t="n">
        <x:v>1024134.9980537284</x:v>
      </x:c>
      <x:c r="J188" s="16" t="n">
        <x:v>1024134.9980537284</x:v>
      </x:c>
      <x:c r="K188" s="16" t="n">
        <x:v>0</x:v>
      </x:c>
      <x:c r="L188" s="18" t="n">
        <x:v>0</x:v>
      </x:c>
      <x:c r="M188" s="18" t="n">
        <x:v>0</x:v>
      </x:c>
      <x:c r="O188" t="str">
        <x:v>2022-01-27</x:v>
      </x:c>
      <x:c r="P188" t="n">
        <x:v>1024134.9980537284</x:v>
      </x:c>
    </x:row>
    <x:row r="189" ht="15" hidden="0" customHeight="1">
      <x:c r="A189" s="13" t="str">
        <x:v>2022-01-28</x:v>
      </x:c>
      <x:c r="B189" s="13" t="n">
        <x:v>0</x:v>
      </x:c>
      <x:c r="C189" s="13" t="n">
        <x:v>0</x:v>
      </x:c>
      <x:c r="D189" s="16" t="n">
        <x:v>0</x:v>
      </x:c>
      <x:c r="E189" s="16" t="n">
        <x:v>0</x:v>
      </x:c>
      <x:c r="F189" s="16" t="n">
        <x:v>0</x:v>
      </x:c>
      <x:c r="G189" s="16" t="n">
        <x:v>0</x:v>
      </x:c>
      <x:c r="H189" s="16" t="n">
        <x:v>0</x:v>
      </x:c>
      <x:c r="I189" s="16" t="n">
        <x:v>1024134.9980537284</x:v>
      </x:c>
      <x:c r="J189" s="16" t="n">
        <x:v>1024134.9980537284</x:v>
      </x:c>
      <x:c r="K189" s="16" t="n">
        <x:v>0</x:v>
      </x:c>
      <x:c r="L189" s="18" t="n">
        <x:v>0</x:v>
      </x:c>
      <x:c r="M189" s="18" t="n">
        <x:v>0</x:v>
      </x:c>
      <x:c r="O189" t="str">
        <x:v>2022-01-28</x:v>
      </x:c>
      <x:c r="P189" t="n">
        <x:v>1024134.9980537284</x:v>
      </x:c>
    </x:row>
    <x:row r="190" ht="15" hidden="0" customHeight="1">
      <x:c r="A190" s="13" t="str">
        <x:v>2022-01-31</x:v>
      </x:c>
      <x:c r="B190" s="13" t="n">
        <x:v>0</x:v>
      </x:c>
      <x:c r="C190" s="13" t="n">
        <x:v>0</x:v>
      </x:c>
      <x:c r="D190" s="16" t="n">
        <x:v>0</x:v>
      </x:c>
      <x:c r="E190" s="16" t="n">
        <x:v>0</x:v>
      </x:c>
      <x:c r="F190" s="16" t="n">
        <x:v>0</x:v>
      </x:c>
      <x:c r="G190" s="16" t="n">
        <x:v>0</x:v>
      </x:c>
      <x:c r="H190" s="16" t="n">
        <x:v>0</x:v>
      </x:c>
      <x:c r="I190" s="16" t="n">
        <x:v>1024134.9980537284</x:v>
      </x:c>
      <x:c r="J190" s="16" t="n">
        <x:v>1024134.9980537284</x:v>
      </x:c>
      <x:c r="K190" s="16" t="n">
        <x:v>0</x:v>
      </x:c>
      <x:c r="L190" s="18" t="n">
        <x:v>0</x:v>
      </x:c>
      <x:c r="M190" s="18" t="n">
        <x:v>0</x:v>
      </x:c>
      <x:c r="O190" t="str">
        <x:v>2022-01-31</x:v>
      </x:c>
      <x:c r="P190" t="n">
        <x:v>1024134.9980537284</x:v>
      </x:c>
    </x:row>
    <x:row r="191" ht="15" hidden="0" customHeight="1">
      <x:c r="A191" s="13" t="str">
        <x:v>2022-02-01</x:v>
      </x:c>
      <x:c r="B191" s="13" t="n">
        <x:v>0</x:v>
      </x:c>
      <x:c r="C191" s="13" t="n">
        <x:v>0</x:v>
      </x:c>
      <x:c r="D191" s="16" t="n">
        <x:v>0</x:v>
      </x:c>
      <x:c r="E191" s="16" t="n">
        <x:v>0</x:v>
      </x:c>
      <x:c r="F191" s="16" t="n">
        <x:v>0</x:v>
      </x:c>
      <x:c r="G191" s="16" t="n">
        <x:v>0</x:v>
      </x:c>
      <x:c r="H191" s="16" t="n">
        <x:v>0</x:v>
      </x:c>
      <x:c r="I191" s="16" t="n">
        <x:v>1024134.9980537284</x:v>
      </x:c>
      <x:c r="J191" s="16" t="n">
        <x:v>1024134.9980537284</x:v>
      </x:c>
      <x:c r="K191" s="16" t="n">
        <x:v>0</x:v>
      </x:c>
      <x:c r="L191" s="18" t="n">
        <x:v>0</x:v>
      </x:c>
      <x:c r="M191" s="18" t="n">
        <x:v>0</x:v>
      </x:c>
      <x:c r="O191" t="str">
        <x:v>2022-02-01</x:v>
      </x:c>
      <x:c r="P191" t="n">
        <x:v>1024134.9980537284</x:v>
      </x:c>
    </x:row>
    <x:row r="192" ht="15" hidden="0" customHeight="1">
      <x:c r="A192" s="13" t="str">
        <x:v>2022-02-02</x:v>
      </x:c>
      <x:c r="B192" s="13" t="n">
        <x:v>0</x:v>
      </x:c>
      <x:c r="C192" s="13" t="n">
        <x:v>0</x:v>
      </x:c>
      <x:c r="D192" s="16" t="n">
        <x:v>0</x:v>
      </x:c>
      <x:c r="E192" s="16" t="n">
        <x:v>0</x:v>
      </x:c>
      <x:c r="F192" s="16" t="n">
        <x:v>0</x:v>
      </x:c>
      <x:c r="G192" s="16" t="n">
        <x:v>0</x:v>
      </x:c>
      <x:c r="H192" s="16" t="n">
        <x:v>0</x:v>
      </x:c>
      <x:c r="I192" s="16" t="n">
        <x:v>1024134.9980537284</x:v>
      </x:c>
      <x:c r="J192" s="16" t="n">
        <x:v>1024134.9980537284</x:v>
      </x:c>
      <x:c r="K192" s="16" t="n">
        <x:v>0</x:v>
      </x:c>
      <x:c r="L192" s="18" t="n">
        <x:v>0</x:v>
      </x:c>
      <x:c r="M192" s="18" t="n">
        <x:v>0</x:v>
      </x:c>
      <x:c r="O192" t="str">
        <x:v>2022-02-02</x:v>
      </x:c>
      <x:c r="P192" t="n">
        <x:v>1024134.9980537284</x:v>
      </x:c>
    </x:row>
    <x:row r="193" ht="15" hidden="0" customHeight="1">
      <x:c r="A193" s="13" t="str">
        <x:v>2022-02-03</x:v>
      </x:c>
      <x:c r="B193" s="13" t="n">
        <x:v>0</x:v>
      </x:c>
      <x:c r="C193" s="13" t="n">
        <x:v>0</x:v>
      </x:c>
      <x:c r="D193" s="16" t="n">
        <x:v>0</x:v>
      </x:c>
      <x:c r="E193" s="16" t="n">
        <x:v>0</x:v>
      </x:c>
      <x:c r="F193" s="16" t="n">
        <x:v>0</x:v>
      </x:c>
      <x:c r="G193" s="16" t="n">
        <x:v>0</x:v>
      </x:c>
      <x:c r="H193" s="16" t="n">
        <x:v>0</x:v>
      </x:c>
      <x:c r="I193" s="16" t="n">
        <x:v>1024134.9980537284</x:v>
      </x:c>
      <x:c r="J193" s="16" t="n">
        <x:v>1024134.9980537284</x:v>
      </x:c>
      <x:c r="K193" s="16" t="n">
        <x:v>0</x:v>
      </x:c>
      <x:c r="L193" s="18" t="n">
        <x:v>0</x:v>
      </x:c>
      <x:c r="M193" s="18" t="n">
        <x:v>0</x:v>
      </x:c>
      <x:c r="O193" t="str">
        <x:v>2022-02-03</x:v>
      </x:c>
      <x:c r="P193" t="n">
        <x:v>1024134.9980537284</x:v>
      </x:c>
    </x:row>
    <x:row r="194" ht="15" hidden="0" customHeight="1">
      <x:c r="A194" s="13" t="str">
        <x:v>2022-02-04</x:v>
      </x:c>
      <x:c r="B194" s="13" t="n">
        <x:v>0</x:v>
      </x:c>
      <x:c r="C194" s="13" t="n">
        <x:v>0</x:v>
      </x:c>
      <x:c r="D194" s="16" t="n">
        <x:v>0</x:v>
      </x:c>
      <x:c r="E194" s="16" t="n">
        <x:v>0</x:v>
      </x:c>
      <x:c r="F194" s="16" t="n">
        <x:v>0</x:v>
      </x:c>
      <x:c r="G194" s="16" t="n">
        <x:v>0</x:v>
      </x:c>
      <x:c r="H194" s="16" t="n">
        <x:v>0</x:v>
      </x:c>
      <x:c r="I194" s="16" t="n">
        <x:v>1024134.9980537284</x:v>
      </x:c>
      <x:c r="J194" s="16" t="n">
        <x:v>1024134.9980537284</x:v>
      </x:c>
      <x:c r="K194" s="16" t="n">
        <x:v>0</x:v>
      </x:c>
      <x:c r="L194" s="18" t="n">
        <x:v>0</x:v>
      </x:c>
      <x:c r="M194" s="18" t="n">
        <x:v>0</x:v>
      </x:c>
      <x:c r="O194" t="str">
        <x:v>2022-02-04</x:v>
      </x:c>
      <x:c r="P194" t="n">
        <x:v>1024134.9980537284</x:v>
      </x:c>
    </x:row>
    <x:row r="195" ht="15" hidden="0" customHeight="1">
      <x:c r="A195" s="13" t="str">
        <x:v>2022-02-07</x:v>
      </x:c>
      <x:c r="B195" s="13" t="n">
        <x:v>0</x:v>
      </x:c>
      <x:c r="C195" s="13" t="n">
        <x:v>0</x:v>
      </x:c>
      <x:c r="D195" s="16" t="n">
        <x:v>0</x:v>
      </x:c>
      <x:c r="E195" s="16" t="n">
        <x:v>0</x:v>
      </x:c>
      <x:c r="F195" s="16" t="n">
        <x:v>0</x:v>
      </x:c>
      <x:c r="G195" s="16" t="n">
        <x:v>0</x:v>
      </x:c>
      <x:c r="H195" s="16" t="n">
        <x:v>0</x:v>
      </x:c>
      <x:c r="I195" s="16" t="n">
        <x:v>1024134.9980537284</x:v>
      </x:c>
      <x:c r="J195" s="16" t="n">
        <x:v>1024134.9980537284</x:v>
      </x:c>
      <x:c r="K195" s="16" t="n">
        <x:v>0</x:v>
      </x:c>
      <x:c r="L195" s="18" t="n">
        <x:v>0</x:v>
      </x:c>
      <x:c r="M195" s="18" t="n">
        <x:v>0</x:v>
      </x:c>
      <x:c r="O195" t="str">
        <x:v>2022-02-07</x:v>
      </x:c>
      <x:c r="P195" t="n">
        <x:v>1024134.9980537284</x:v>
      </x:c>
    </x:row>
    <x:row r="196" ht="15" hidden="0" customHeight="1">
      <x:c r="A196" s="13" t="str">
        <x:v>2022-02-08</x:v>
      </x:c>
      <x:c r="B196" s="13" t="n">
        <x:v>0</x:v>
      </x:c>
      <x:c r="C196" s="13" t="n">
        <x:v>0</x:v>
      </x:c>
      <x:c r="D196" s="16" t="n">
        <x:v>0</x:v>
      </x:c>
      <x:c r="E196" s="16" t="n">
        <x:v>0</x:v>
      </x:c>
      <x:c r="F196" s="16" t="n">
        <x:v>0</x:v>
      </x:c>
      <x:c r="G196" s="16" t="n">
        <x:v>0</x:v>
      </x:c>
      <x:c r="H196" s="16" t="n">
        <x:v>0</x:v>
      </x:c>
      <x:c r="I196" s="16" t="n">
        <x:v>1024134.9980537284</x:v>
      </x:c>
      <x:c r="J196" s="16" t="n">
        <x:v>1024134.9980537284</x:v>
      </x:c>
      <x:c r="K196" s="16" t="n">
        <x:v>0</x:v>
      </x:c>
      <x:c r="L196" s="18" t="n">
        <x:v>0</x:v>
      </x:c>
      <x:c r="M196" s="18" t="n">
        <x:v>0</x:v>
      </x:c>
      <x:c r="O196" t="str">
        <x:v>2022-02-08</x:v>
      </x:c>
      <x:c r="P196" t="n">
        <x:v>1024134.9980537284</x:v>
      </x:c>
    </x:row>
    <x:row r="197" ht="15" hidden="0" customHeight="1">
      <x:c r="A197" s="13" t="str">
        <x:v>2022-02-09</x:v>
      </x:c>
      <x:c r="B197" s="13" t="n">
        <x:v>0</x:v>
      </x:c>
      <x:c r="C197" s="13" t="n">
        <x:v>0</x:v>
      </x:c>
      <x:c r="D197" s="16" t="n">
        <x:v>0</x:v>
      </x:c>
      <x:c r="E197" s="16" t="n">
        <x:v>0</x:v>
      </x:c>
      <x:c r="F197" s="16" t="n">
        <x:v>0</x:v>
      </x:c>
      <x:c r="G197" s="16" t="n">
        <x:v>0</x:v>
      </x:c>
      <x:c r="H197" s="16" t="n">
        <x:v>0</x:v>
      </x:c>
      <x:c r="I197" s="16" t="n">
        <x:v>1024134.9980537284</x:v>
      </x:c>
      <x:c r="J197" s="16" t="n">
        <x:v>1024134.9980537284</x:v>
      </x:c>
      <x:c r="K197" s="16" t="n">
        <x:v>0</x:v>
      </x:c>
      <x:c r="L197" s="18" t="n">
        <x:v>0</x:v>
      </x:c>
      <x:c r="M197" s="18" t="n">
        <x:v>0</x:v>
      </x:c>
      <x:c r="O197" t="str">
        <x:v>2022-02-09</x:v>
      </x:c>
      <x:c r="P197" t="n">
        <x:v>1024134.9980537284</x:v>
      </x:c>
    </x:row>
    <x:row r="198" ht="15" hidden="0" customHeight="1">
      <x:c r="A198" s="13" t="str">
        <x:v>2022-02-10</x:v>
      </x:c>
      <x:c r="B198" s="13" t="n">
        <x:v>1</x:v>
      </x:c>
      <x:c r="C198" s="13" t="n">
        <x:v>8</x:v>
      </x:c>
      <x:c r="D198" s="16" t="n">
        <x:v>3700</x:v>
      </x:c>
      <x:c r="E198" s="16" t="n">
        <x:v>444.6216292555331</x:v>
      </x:c>
      <x:c r="F198" s="16" t="n">
        <x:v>3255.378370744467</x:v>
      </x:c>
      <x:c r="G198" s="16" t="n">
        <x:v>44051.32337170547</x:v>
      </x:c>
      <x:c r="H198" s="16" t="n">
        <x:v>342972.8726307876</x:v>
      </x:c>
      <x:c r="I198" s="16" t="n">
        <x:v>1027390.3764244728</x:v>
      </x:c>
      <x:c r="J198" s="16" t="n">
        <x:v>1027390.3764244728</x:v>
      </x:c>
      <x:c r="K198" s="16" t="n">
        <x:v>0</x:v>
      </x:c>
      <x:c r="L198" s="18" t="n">
        <x:v>0</x:v>
      </x:c>
      <x:c r="M198" s="18" t="n">
        <x:v>0.003178661384418</x:v>
      </x:c>
      <x:c r="O198" t="str">
        <x:v>2022-02-10</x:v>
      </x:c>
      <x:c r="P198" t="n">
        <x:v>1027390.3764244728</x:v>
      </x:c>
    </x:row>
    <x:row r="199" ht="15" hidden="0" customHeight="1">
      <x:c r="A199" s="13" t="str">
        <x:v>2022-02-11</x:v>
      </x:c>
      <x:c r="B199" s="13" t="n">
        <x:v>0</x:v>
      </x:c>
      <x:c r="C199" s="13" t="n">
        <x:v>0</x:v>
      </x:c>
      <x:c r="D199" s="16" t="n">
        <x:v>0</x:v>
      </x:c>
      <x:c r="E199" s="16" t="n">
        <x:v>0</x:v>
      </x:c>
      <x:c r="F199" s="16" t="n">
        <x:v>0</x:v>
      </x:c>
      <x:c r="G199" s="16" t="n">
        <x:v>0</x:v>
      </x:c>
      <x:c r="H199" s="16" t="n">
        <x:v>0</x:v>
      </x:c>
      <x:c r="I199" s="16" t="n">
        <x:v>1027390.3764244728</x:v>
      </x:c>
      <x:c r="J199" s="16" t="n">
        <x:v>1027390.3764244728</x:v>
      </x:c>
      <x:c r="K199" s="16" t="n">
        <x:v>0</x:v>
      </x:c>
      <x:c r="L199" s="18" t="n">
        <x:v>0</x:v>
      </x:c>
      <x:c r="M199" s="18" t="n">
        <x:v>0</x:v>
      </x:c>
      <x:c r="O199" t="str">
        <x:v>2022-02-11</x:v>
      </x:c>
      <x:c r="P199" t="n">
        <x:v>1027390.3764244728</x:v>
      </x:c>
    </x:row>
    <x:row r="200" ht="15" hidden="0" customHeight="1">
      <x:c r="A200" s="13" t="str">
        <x:v>2022-02-14</x:v>
      </x:c>
      <x:c r="B200" s="13" t="n">
        <x:v>0</x:v>
      </x:c>
      <x:c r="C200" s="13" t="n">
        <x:v>0</x:v>
      </x:c>
      <x:c r="D200" s="16" t="n">
        <x:v>0</x:v>
      </x:c>
      <x:c r="E200" s="16" t="n">
        <x:v>0</x:v>
      </x:c>
      <x:c r="F200" s="16" t="n">
        <x:v>0</x:v>
      </x:c>
      <x:c r="G200" s="16" t="n">
        <x:v>0</x:v>
      </x:c>
      <x:c r="H200" s="16" t="n">
        <x:v>0</x:v>
      </x:c>
      <x:c r="I200" s="16" t="n">
        <x:v>1027390.3764244728</x:v>
      </x:c>
      <x:c r="J200" s="16" t="n">
        <x:v>1027390.3764244728</x:v>
      </x:c>
      <x:c r="K200" s="16" t="n">
        <x:v>0</x:v>
      </x:c>
      <x:c r="L200" s="18" t="n">
        <x:v>0</x:v>
      </x:c>
      <x:c r="M200" s="18" t="n">
        <x:v>0</x:v>
      </x:c>
      <x:c r="O200" t="str">
        <x:v>2022-02-14</x:v>
      </x:c>
      <x:c r="P200" t="n">
        <x:v>1027390.3764244728</x:v>
      </x:c>
    </x:row>
    <x:row r="201" ht="15" hidden="0" customHeight="1">
      <x:c r="A201" s="13" t="str">
        <x:v>2022-02-15</x:v>
      </x:c>
      <x:c r="B201" s="13" t="n">
        <x:v>0</x:v>
      </x:c>
      <x:c r="C201" s="13" t="n">
        <x:v>0</x:v>
      </x:c>
      <x:c r="D201" s="16" t="n">
        <x:v>0</x:v>
      </x:c>
      <x:c r="E201" s="16" t="n">
        <x:v>0</x:v>
      </x:c>
      <x:c r="F201" s="16" t="n">
        <x:v>0</x:v>
      </x:c>
      <x:c r="G201" s="16" t="n">
        <x:v>0</x:v>
      </x:c>
      <x:c r="H201" s="16" t="n">
        <x:v>0</x:v>
      </x:c>
      <x:c r="I201" s="16" t="n">
        <x:v>1027390.3764244728</x:v>
      </x:c>
      <x:c r="J201" s="16" t="n">
        <x:v>1027390.3764244728</x:v>
      </x:c>
      <x:c r="K201" s="16" t="n">
        <x:v>0</x:v>
      </x:c>
      <x:c r="L201" s="18" t="n">
        <x:v>0</x:v>
      </x:c>
      <x:c r="M201" s="18" t="n">
        <x:v>0</x:v>
      </x:c>
      <x:c r="O201" t="str">
        <x:v>2022-02-15</x:v>
      </x:c>
      <x:c r="P201" t="n">
        <x:v>1027390.3764244728</x:v>
      </x:c>
    </x:row>
    <x:row r="202" ht="15" hidden="0" customHeight="1">
      <x:c r="A202" s="13" t="str">
        <x:v>2022-02-16</x:v>
      </x:c>
      <x:c r="B202" s="13" t="n">
        <x:v>0</x:v>
      </x:c>
      <x:c r="C202" s="13" t="n">
        <x:v>0</x:v>
      </x:c>
      <x:c r="D202" s="16" t="n">
        <x:v>0</x:v>
      </x:c>
      <x:c r="E202" s="16" t="n">
        <x:v>0</x:v>
      </x:c>
      <x:c r="F202" s="16" t="n">
        <x:v>0</x:v>
      </x:c>
      <x:c r="G202" s="16" t="n">
        <x:v>0</x:v>
      </x:c>
      <x:c r="H202" s="16" t="n">
        <x:v>0</x:v>
      </x:c>
      <x:c r="I202" s="16" t="n">
        <x:v>1027390.3764244728</x:v>
      </x:c>
      <x:c r="J202" s="16" t="n">
        <x:v>1027390.3764244728</x:v>
      </x:c>
      <x:c r="K202" s="16" t="n">
        <x:v>0</x:v>
      </x:c>
      <x:c r="L202" s="18" t="n">
        <x:v>0</x:v>
      </x:c>
      <x:c r="M202" s="18" t="n">
        <x:v>0</x:v>
      </x:c>
      <x:c r="O202" t="str">
        <x:v>2022-02-16</x:v>
      </x:c>
      <x:c r="P202" t="n">
        <x:v>1027390.3764244728</x:v>
      </x:c>
    </x:row>
    <x:row r="203" ht="15" hidden="0" customHeight="1">
      <x:c r="A203" s="13" t="str">
        <x:v>2022-02-17</x:v>
      </x:c>
      <x:c r="B203" s="13" t="n">
        <x:v>0</x:v>
      </x:c>
      <x:c r="C203" s="13" t="n">
        <x:v>0</x:v>
      </x:c>
      <x:c r="D203" s="16" t="n">
        <x:v>0</x:v>
      </x:c>
      <x:c r="E203" s="16" t="n">
        <x:v>0</x:v>
      </x:c>
      <x:c r="F203" s="16" t="n">
        <x:v>0</x:v>
      </x:c>
      <x:c r="G203" s="16" t="n">
        <x:v>0</x:v>
      </x:c>
      <x:c r="H203" s="16" t="n">
        <x:v>0</x:v>
      </x:c>
      <x:c r="I203" s="16" t="n">
        <x:v>1027390.3764244728</x:v>
      </x:c>
      <x:c r="J203" s="16" t="n">
        <x:v>1027390.3764244728</x:v>
      </x:c>
      <x:c r="K203" s="16" t="n">
        <x:v>0</x:v>
      </x:c>
      <x:c r="L203" s="18" t="n">
        <x:v>0</x:v>
      </x:c>
      <x:c r="M203" s="18" t="n">
        <x:v>0</x:v>
      </x:c>
      <x:c r="O203" t="str">
        <x:v>2022-02-17</x:v>
      </x:c>
      <x:c r="P203" t="n">
        <x:v>1027390.3764244728</x:v>
      </x:c>
    </x:row>
    <x:row r="204" ht="15" hidden="0" customHeight="1">
      <x:c r="A204" s="13" t="str">
        <x:v>2022-02-18</x:v>
      </x:c>
      <x:c r="B204" s="13" t="n">
        <x:v>0</x:v>
      </x:c>
      <x:c r="C204" s="13" t="n">
        <x:v>0</x:v>
      </x:c>
      <x:c r="D204" s="16" t="n">
        <x:v>0</x:v>
      </x:c>
      <x:c r="E204" s="16" t="n">
        <x:v>0</x:v>
      </x:c>
      <x:c r="F204" s="16" t="n">
        <x:v>0</x:v>
      </x:c>
      <x:c r="G204" s="16" t="n">
        <x:v>0</x:v>
      </x:c>
      <x:c r="H204" s="16" t="n">
        <x:v>0</x:v>
      </x:c>
      <x:c r="I204" s="16" t="n">
        <x:v>1027390.3764244728</x:v>
      </x:c>
      <x:c r="J204" s="16" t="n">
        <x:v>1027390.3764244728</x:v>
      </x:c>
      <x:c r="K204" s="16" t="n">
        <x:v>0</x:v>
      </x:c>
      <x:c r="L204" s="18" t="n">
        <x:v>0</x:v>
      </x:c>
      <x:c r="M204" s="18" t="n">
        <x:v>0</x:v>
      </x:c>
      <x:c r="O204" t="str">
        <x:v>2022-02-18</x:v>
      </x:c>
      <x:c r="P204" t="n">
        <x:v>1027390.3764244728</x:v>
      </x:c>
    </x:row>
    <x:row r="205" ht="15" hidden="0" customHeight="1">
      <x:c r="A205" s="13" t="str">
        <x:v>2022-02-21</x:v>
      </x:c>
      <x:c r="B205" s="13" t="n">
        <x:v>0</x:v>
      </x:c>
      <x:c r="C205" s="13" t="n">
        <x:v>0</x:v>
      </x:c>
      <x:c r="D205" s="16" t="n">
        <x:v>0</x:v>
      </x:c>
      <x:c r="E205" s="16" t="n">
        <x:v>0</x:v>
      </x:c>
      <x:c r="F205" s="16" t="n">
        <x:v>0</x:v>
      </x:c>
      <x:c r="G205" s="16" t="n">
        <x:v>0</x:v>
      </x:c>
      <x:c r="H205" s="16" t="n">
        <x:v>0</x:v>
      </x:c>
      <x:c r="I205" s="16" t="n">
        <x:v>1027390.3764244728</x:v>
      </x:c>
      <x:c r="J205" s="16" t="n">
        <x:v>1027390.3764244728</x:v>
      </x:c>
      <x:c r="K205" s="16" t="n">
        <x:v>0</x:v>
      </x:c>
      <x:c r="L205" s="18" t="n">
        <x:v>0</x:v>
      </x:c>
      <x:c r="M205" s="18" t="n">
        <x:v>0</x:v>
      </x:c>
      <x:c r="O205" t="str">
        <x:v>2022-02-21</x:v>
      </x:c>
      <x:c r="P205" t="n">
        <x:v>1027390.3764244728</x:v>
      </x:c>
    </x:row>
    <x:row r="206" ht="15" hidden="0" customHeight="1">
      <x:c r="A206" s="13" t="str">
        <x:v>2022-02-22</x:v>
      </x:c>
      <x:c r="B206" s="13" t="n">
        <x:v>0</x:v>
      </x:c>
      <x:c r="C206" s="13" t="n">
        <x:v>0</x:v>
      </x:c>
      <x:c r="D206" s="16" t="n">
        <x:v>0</x:v>
      </x:c>
      <x:c r="E206" s="16" t="n">
        <x:v>0</x:v>
      </x:c>
      <x:c r="F206" s="16" t="n">
        <x:v>0</x:v>
      </x:c>
      <x:c r="G206" s="16" t="n">
        <x:v>0</x:v>
      </x:c>
      <x:c r="H206" s="16" t="n">
        <x:v>0</x:v>
      </x:c>
      <x:c r="I206" s="16" t="n">
        <x:v>1027390.3764244728</x:v>
      </x:c>
      <x:c r="J206" s="16" t="n">
        <x:v>1027390.3764244728</x:v>
      </x:c>
      <x:c r="K206" s="16" t="n">
        <x:v>0</x:v>
      </x:c>
      <x:c r="L206" s="18" t="n">
        <x:v>0</x:v>
      </x:c>
      <x:c r="M206" s="18" t="n">
        <x:v>0</x:v>
      </x:c>
      <x:c r="O206" t="str">
        <x:v>2022-02-22</x:v>
      </x:c>
      <x:c r="P206" t="n">
        <x:v>1027390.3764244728</x:v>
      </x:c>
    </x:row>
    <x:row r="207" ht="15" hidden="0" customHeight="1">
      <x:c r="A207" s="13" t="str">
        <x:v>2022-02-23</x:v>
      </x:c>
      <x:c r="B207" s="13" t="n">
        <x:v>0</x:v>
      </x:c>
      <x:c r="C207" s="13" t="n">
        <x:v>0</x:v>
      </x:c>
      <x:c r="D207" s="16" t="n">
        <x:v>0</x:v>
      </x:c>
      <x:c r="E207" s="16" t="n">
        <x:v>0</x:v>
      </x:c>
      <x:c r="F207" s="16" t="n">
        <x:v>0</x:v>
      </x:c>
      <x:c r="G207" s="16" t="n">
        <x:v>0</x:v>
      </x:c>
      <x:c r="H207" s="16" t="n">
        <x:v>0</x:v>
      </x:c>
      <x:c r="I207" s="16" t="n">
        <x:v>1027390.3764244728</x:v>
      </x:c>
      <x:c r="J207" s="16" t="n">
        <x:v>1027390.3764244728</x:v>
      </x:c>
      <x:c r="K207" s="16" t="n">
        <x:v>0</x:v>
      </x:c>
      <x:c r="L207" s="18" t="n">
        <x:v>0</x:v>
      </x:c>
      <x:c r="M207" s="18" t="n">
        <x:v>0</x:v>
      </x:c>
      <x:c r="O207" t="str">
        <x:v>2022-02-23</x:v>
      </x:c>
      <x:c r="P207" t="n">
        <x:v>1027390.3764244728</x:v>
      </x:c>
    </x:row>
    <x:row r="208" ht="15" hidden="0" customHeight="1">
      <x:c r="A208" s="13" t="str">
        <x:v>2022-02-24</x:v>
      </x:c>
      <x:c r="B208" s="13" t="n">
        <x:v>0</x:v>
      </x:c>
      <x:c r="C208" s="13" t="n">
        <x:v>0</x:v>
      </x:c>
      <x:c r="D208" s="16" t="n">
        <x:v>0</x:v>
      </x:c>
      <x:c r="E208" s="16" t="n">
        <x:v>0</x:v>
      </x:c>
      <x:c r="F208" s="16" t="n">
        <x:v>0</x:v>
      </x:c>
      <x:c r="G208" s="16" t="n">
        <x:v>0</x:v>
      </x:c>
      <x:c r="H208" s="16" t="n">
        <x:v>0</x:v>
      </x:c>
      <x:c r="I208" s="16" t="n">
        <x:v>1027390.3764244728</x:v>
      </x:c>
      <x:c r="J208" s="16" t="n">
        <x:v>1027390.3764244728</x:v>
      </x:c>
      <x:c r="K208" s="16" t="n">
        <x:v>0</x:v>
      </x:c>
      <x:c r="L208" s="18" t="n">
        <x:v>0</x:v>
      </x:c>
      <x:c r="M208" s="18" t="n">
        <x:v>0</x:v>
      </x:c>
      <x:c r="O208" t="str">
        <x:v>2022-02-24</x:v>
      </x:c>
      <x:c r="P208" t="n">
        <x:v>1027390.3764244728</x:v>
      </x:c>
    </x:row>
    <x:row r="209" ht="15" hidden="0" customHeight="1">
      <x:c r="A209" s="13" t="str">
        <x:v>2022-02-25</x:v>
      </x:c>
      <x:c r="B209" s="13" t="n">
        <x:v>0</x:v>
      </x:c>
      <x:c r="C209" s="13" t="n">
        <x:v>0</x:v>
      </x:c>
      <x:c r="D209" s="16" t="n">
        <x:v>0</x:v>
      </x:c>
      <x:c r="E209" s="16" t="n">
        <x:v>0</x:v>
      </x:c>
      <x:c r="F209" s="16" t="n">
        <x:v>0</x:v>
      </x:c>
      <x:c r="G209" s="16" t="n">
        <x:v>0</x:v>
      </x:c>
      <x:c r="H209" s="16" t="n">
        <x:v>0</x:v>
      </x:c>
      <x:c r="I209" s="16" t="n">
        <x:v>1027390.3764244728</x:v>
      </x:c>
      <x:c r="J209" s="16" t="n">
        <x:v>1027390.3764244728</x:v>
      </x:c>
      <x:c r="K209" s="16" t="n">
        <x:v>0</x:v>
      </x:c>
      <x:c r="L209" s="18" t="n">
        <x:v>0</x:v>
      </x:c>
      <x:c r="M209" s="18" t="n">
        <x:v>0</x:v>
      </x:c>
      <x:c r="O209" t="str">
        <x:v>2022-02-25</x:v>
      </x:c>
      <x:c r="P209" t="n">
        <x:v>1027390.3764244728</x:v>
      </x:c>
    </x:row>
    <x:row r="210" ht="15" hidden="0" customHeight="1">
      <x:c r="A210" s="13" t="str">
        <x:v>2022-02-28</x:v>
      </x:c>
      <x:c r="B210" s="13" t="n">
        <x:v>0</x:v>
      </x:c>
      <x:c r="C210" s="13" t="n">
        <x:v>0</x:v>
      </x:c>
      <x:c r="D210" s="16" t="n">
        <x:v>0</x:v>
      </x:c>
      <x:c r="E210" s="16" t="n">
        <x:v>0</x:v>
      </x:c>
      <x:c r="F210" s="16" t="n">
        <x:v>0</x:v>
      </x:c>
      <x:c r="G210" s="16" t="n">
        <x:v>0</x:v>
      </x:c>
      <x:c r="H210" s="16" t="n">
        <x:v>0</x:v>
      </x:c>
      <x:c r="I210" s="16" t="n">
        <x:v>1027390.3764244728</x:v>
      </x:c>
      <x:c r="J210" s="16" t="n">
        <x:v>1027390.3764244728</x:v>
      </x:c>
      <x:c r="K210" s="16" t="n">
        <x:v>0</x:v>
      </x:c>
      <x:c r="L210" s="18" t="n">
        <x:v>0</x:v>
      </x:c>
      <x:c r="M210" s="18" t="n">
        <x:v>0</x:v>
      </x:c>
      <x:c r="O210" t="str">
        <x:v>2022-02-28</x:v>
      </x:c>
      <x:c r="P210" t="n">
        <x:v>1027390.3764244728</x:v>
      </x:c>
    </x:row>
    <x:row r="211" ht="15" hidden="0" customHeight="1">
      <x:c r="A211" s="13" t="str">
        <x:v>2022-03-01</x:v>
      </x:c>
      <x:c r="B211" s="13" t="n">
        <x:v>0</x:v>
      </x:c>
      <x:c r="C211" s="13" t="n">
        <x:v>0</x:v>
      </x:c>
      <x:c r="D211" s="16" t="n">
        <x:v>0</x:v>
      </x:c>
      <x:c r="E211" s="16" t="n">
        <x:v>0</x:v>
      </x:c>
      <x:c r="F211" s="16" t="n">
        <x:v>0</x:v>
      </x:c>
      <x:c r="G211" s="16" t="n">
        <x:v>0</x:v>
      </x:c>
      <x:c r="H211" s="16" t="n">
        <x:v>0</x:v>
      </x:c>
      <x:c r="I211" s="16" t="n">
        <x:v>1027390.3764244728</x:v>
      </x:c>
      <x:c r="J211" s="16" t="n">
        <x:v>1027390.3764244728</x:v>
      </x:c>
      <x:c r="K211" s="16" t="n">
        <x:v>0</x:v>
      </x:c>
      <x:c r="L211" s="18" t="n">
        <x:v>0</x:v>
      </x:c>
      <x:c r="M211" s="18" t="n">
        <x:v>0</x:v>
      </x:c>
      <x:c r="O211" t="str">
        <x:v>2022-03-01</x:v>
      </x:c>
      <x:c r="P211" t="n">
        <x:v>1027390.3764244728</x:v>
      </x:c>
    </x:row>
    <x:row r="212" ht="15" hidden="0" customHeight="1">
      <x:c r="A212" s="13" t="str">
        <x:v>2022-03-02</x:v>
      </x:c>
      <x:c r="B212" s="13" t="n">
        <x:v>0</x:v>
      </x:c>
      <x:c r="C212" s="13" t="n">
        <x:v>0</x:v>
      </x:c>
      <x:c r="D212" s="16" t="n">
        <x:v>0</x:v>
      </x:c>
      <x:c r="E212" s="16" t="n">
        <x:v>0</x:v>
      </x:c>
      <x:c r="F212" s="16" t="n">
        <x:v>0</x:v>
      </x:c>
      <x:c r="G212" s="16" t="n">
        <x:v>0</x:v>
      </x:c>
      <x:c r="H212" s="16" t="n">
        <x:v>0</x:v>
      </x:c>
      <x:c r="I212" s="16" t="n">
        <x:v>1027390.3764244728</x:v>
      </x:c>
      <x:c r="J212" s="16" t="n">
        <x:v>1027390.3764244728</x:v>
      </x:c>
      <x:c r="K212" s="16" t="n">
        <x:v>0</x:v>
      </x:c>
      <x:c r="L212" s="18" t="n">
        <x:v>0</x:v>
      </x:c>
      <x:c r="M212" s="18" t="n">
        <x:v>0</x:v>
      </x:c>
      <x:c r="O212" t="str">
        <x:v>2022-03-02</x:v>
      </x:c>
      <x:c r="P212" t="n">
        <x:v>1027390.3764244728</x:v>
      </x:c>
    </x:row>
    <x:row r="213" ht="15" hidden="0" customHeight="1">
      <x:c r="A213" s="13" t="str">
        <x:v>2022-03-03</x:v>
      </x:c>
      <x:c r="B213" s="13" t="n">
        <x:v>0</x:v>
      </x:c>
      <x:c r="C213" s="13" t="n">
        <x:v>0</x:v>
      </x:c>
      <x:c r="D213" s="16" t="n">
        <x:v>0</x:v>
      </x:c>
      <x:c r="E213" s="16" t="n">
        <x:v>0</x:v>
      </x:c>
      <x:c r="F213" s="16" t="n">
        <x:v>0</x:v>
      </x:c>
      <x:c r="G213" s="16" t="n">
        <x:v>0</x:v>
      </x:c>
      <x:c r="H213" s="16" t="n">
        <x:v>0</x:v>
      </x:c>
      <x:c r="I213" s="16" t="n">
        <x:v>1027390.3764244728</x:v>
      </x:c>
      <x:c r="J213" s="16" t="n">
        <x:v>1027390.3764244728</x:v>
      </x:c>
      <x:c r="K213" s="16" t="n">
        <x:v>0</x:v>
      </x:c>
      <x:c r="L213" s="18" t="n">
        <x:v>0</x:v>
      </x:c>
      <x:c r="M213" s="18" t="n">
        <x:v>0</x:v>
      </x:c>
      <x:c r="O213" t="str">
        <x:v>2022-03-03</x:v>
      </x:c>
      <x:c r="P213" t="n">
        <x:v>1027390.3764244728</x:v>
      </x:c>
    </x:row>
    <x:row r="214" ht="15" hidden="0" customHeight="1">
      <x:c r="A214" s="13" t="str">
        <x:v>2022-03-04</x:v>
      </x:c>
      <x:c r="B214" s="13" t="n">
        <x:v>0</x:v>
      </x:c>
      <x:c r="C214" s="13" t="n">
        <x:v>0</x:v>
      </x:c>
      <x:c r="D214" s="16" t="n">
        <x:v>0</x:v>
      </x:c>
      <x:c r="E214" s="16" t="n">
        <x:v>0</x:v>
      </x:c>
      <x:c r="F214" s="16" t="n">
        <x:v>0</x:v>
      </x:c>
      <x:c r="G214" s="16" t="n">
        <x:v>0</x:v>
      </x:c>
      <x:c r="H214" s="16" t="n">
        <x:v>0</x:v>
      </x:c>
      <x:c r="I214" s="16" t="n">
        <x:v>1027390.3764244728</x:v>
      </x:c>
      <x:c r="J214" s="16" t="n">
        <x:v>1027390.3764244728</x:v>
      </x:c>
      <x:c r="K214" s="16" t="n">
        <x:v>0</x:v>
      </x:c>
      <x:c r="L214" s="18" t="n">
        <x:v>0</x:v>
      </x:c>
      <x:c r="M214" s="18" t="n">
        <x:v>0</x:v>
      </x:c>
      <x:c r="O214" t="str">
        <x:v>2022-03-04</x:v>
      </x:c>
      <x:c r="P214" t="n">
        <x:v>1027390.3764244728</x:v>
      </x:c>
    </x:row>
    <x:row r="215" ht="15" hidden="0" customHeight="1">
      <x:c r="A215" s="13" t="str">
        <x:v>2022-03-07</x:v>
      </x:c>
      <x:c r="B215" s="13" t="n">
        <x:v>0</x:v>
      </x:c>
      <x:c r="C215" s="13" t="n">
        <x:v>0</x:v>
      </x:c>
      <x:c r="D215" s="16" t="n">
        <x:v>0</x:v>
      </x:c>
      <x:c r="E215" s="16" t="n">
        <x:v>0</x:v>
      </x:c>
      <x:c r="F215" s="16" t="n">
        <x:v>0</x:v>
      </x:c>
      <x:c r="G215" s="16" t="n">
        <x:v>0</x:v>
      </x:c>
      <x:c r="H215" s="16" t="n">
        <x:v>0</x:v>
      </x:c>
      <x:c r="I215" s="16" t="n">
        <x:v>1027390.3764244728</x:v>
      </x:c>
      <x:c r="J215" s="16" t="n">
        <x:v>1027390.3764244728</x:v>
      </x:c>
      <x:c r="K215" s="16" t="n">
        <x:v>0</x:v>
      </x:c>
      <x:c r="L215" s="18" t="n">
        <x:v>0</x:v>
      </x:c>
      <x:c r="M215" s="18" t="n">
        <x:v>0</x:v>
      </x:c>
      <x:c r="O215" t="str">
        <x:v>2022-03-07</x:v>
      </x:c>
      <x:c r="P215" t="n">
        <x:v>1027390.3764244728</x:v>
      </x:c>
    </x:row>
    <x:row r="216" ht="15" hidden="0" customHeight="1">
      <x:c r="A216" s="13" t="str">
        <x:v>2022-03-08</x:v>
      </x:c>
      <x:c r="B216" s="13" t="n">
        <x:v>0</x:v>
      </x:c>
      <x:c r="C216" s="13" t="n">
        <x:v>0</x:v>
      </x:c>
      <x:c r="D216" s="16" t="n">
        <x:v>0</x:v>
      </x:c>
      <x:c r="E216" s="16" t="n">
        <x:v>0</x:v>
      </x:c>
      <x:c r="F216" s="16" t="n">
        <x:v>0</x:v>
      </x:c>
      <x:c r="G216" s="16" t="n">
        <x:v>0</x:v>
      </x:c>
      <x:c r="H216" s="16" t="n">
        <x:v>0</x:v>
      </x:c>
      <x:c r="I216" s="16" t="n">
        <x:v>1027390.3764244728</x:v>
      </x:c>
      <x:c r="J216" s="16" t="n">
        <x:v>1027390.3764244728</x:v>
      </x:c>
      <x:c r="K216" s="16" t="n">
        <x:v>0</x:v>
      </x:c>
      <x:c r="L216" s="18" t="n">
        <x:v>0</x:v>
      </x:c>
      <x:c r="M216" s="18" t="n">
        <x:v>0</x:v>
      </x:c>
      <x:c r="O216" t="str">
        <x:v>2022-03-08</x:v>
      </x:c>
      <x:c r="P216" t="n">
        <x:v>1027390.3764244728</x:v>
      </x:c>
    </x:row>
    <x:row r="217" ht="15" hidden="0" customHeight="1">
      <x:c r="A217" s="13" t="str">
        <x:v>2022-03-09</x:v>
      </x:c>
      <x:c r="B217" s="13" t="n">
        <x:v>0</x:v>
      </x:c>
      <x:c r="C217" s="13" t="n">
        <x:v>0</x:v>
      </x:c>
      <x:c r="D217" s="16" t="n">
        <x:v>0</x:v>
      </x:c>
      <x:c r="E217" s="16" t="n">
        <x:v>0</x:v>
      </x:c>
      <x:c r="F217" s="16" t="n">
        <x:v>0</x:v>
      </x:c>
      <x:c r="G217" s="16" t="n">
        <x:v>0</x:v>
      </x:c>
      <x:c r="H217" s="16" t="n">
        <x:v>0</x:v>
      </x:c>
      <x:c r="I217" s="16" t="n">
        <x:v>1027390.3764244728</x:v>
      </x:c>
      <x:c r="J217" s="16" t="n">
        <x:v>1027390.3764244728</x:v>
      </x:c>
      <x:c r="K217" s="16" t="n">
        <x:v>0</x:v>
      </x:c>
      <x:c r="L217" s="18" t="n">
        <x:v>0</x:v>
      </x:c>
      <x:c r="M217" s="18" t="n">
        <x:v>0</x:v>
      </x:c>
      <x:c r="O217" t="str">
        <x:v>2022-03-09</x:v>
      </x:c>
      <x:c r="P217" t="n">
        <x:v>1027390.3764244728</x:v>
      </x:c>
    </x:row>
    <x:row r="218" ht="15" hidden="0" customHeight="1">
      <x:c r="A218" s="13" t="str">
        <x:v>2022-03-10</x:v>
      </x:c>
      <x:c r="B218" s="13" t="n">
        <x:v>0</x:v>
      </x:c>
      <x:c r="C218" s="13" t="n">
        <x:v>0</x:v>
      </x:c>
      <x:c r="D218" s="16" t="n">
        <x:v>0</x:v>
      </x:c>
      <x:c r="E218" s="16" t="n">
        <x:v>0</x:v>
      </x:c>
      <x:c r="F218" s="16" t="n">
        <x:v>0</x:v>
      </x:c>
      <x:c r="G218" s="16" t="n">
        <x:v>0</x:v>
      </x:c>
      <x:c r="H218" s="16" t="n">
        <x:v>0</x:v>
      </x:c>
      <x:c r="I218" s="16" t="n">
        <x:v>1027390.3764244728</x:v>
      </x:c>
      <x:c r="J218" s="16" t="n">
        <x:v>1027390.3764244728</x:v>
      </x:c>
      <x:c r="K218" s="16" t="n">
        <x:v>0</x:v>
      </x:c>
      <x:c r="L218" s="18" t="n">
        <x:v>0</x:v>
      </x:c>
      <x:c r="M218" s="18" t="n">
        <x:v>0</x:v>
      </x:c>
      <x:c r="O218" t="str">
        <x:v>2022-03-10</x:v>
      </x:c>
      <x:c r="P218" t="n">
        <x:v>1027390.3764244728</x:v>
      </x:c>
    </x:row>
    <x:row r="219" ht="15" hidden="0" customHeight="1">
      <x:c r="A219" s="13" t="str">
        <x:v>2022-03-11</x:v>
      </x:c>
      <x:c r="B219" s="13" t="n">
        <x:v>0</x:v>
      </x:c>
      <x:c r="C219" s="13" t="n">
        <x:v>0</x:v>
      </x:c>
      <x:c r="D219" s="16" t="n">
        <x:v>0</x:v>
      </x:c>
      <x:c r="E219" s="16" t="n">
        <x:v>0</x:v>
      </x:c>
      <x:c r="F219" s="16" t="n">
        <x:v>0</x:v>
      </x:c>
      <x:c r="G219" s="16" t="n">
        <x:v>0</x:v>
      </x:c>
      <x:c r="H219" s="16" t="n">
        <x:v>0</x:v>
      </x:c>
      <x:c r="I219" s="16" t="n">
        <x:v>1027390.3764244728</x:v>
      </x:c>
      <x:c r="J219" s="16" t="n">
        <x:v>1027390.3764244728</x:v>
      </x:c>
      <x:c r="K219" s="16" t="n">
        <x:v>0</x:v>
      </x:c>
      <x:c r="L219" s="18" t="n">
        <x:v>0</x:v>
      </x:c>
      <x:c r="M219" s="18" t="n">
        <x:v>0</x:v>
      </x:c>
      <x:c r="O219" t="str">
        <x:v>2022-03-11</x:v>
      </x:c>
      <x:c r="P219" t="n">
        <x:v>1027390.3764244728</x:v>
      </x:c>
    </x:row>
    <x:row r="220" ht="15" hidden="0" customHeight="1">
      <x:c r="A220" s="13" t="str">
        <x:v>2022-03-14</x:v>
      </x:c>
      <x:c r="B220" s="13" t="n">
        <x:v>0</x:v>
      </x:c>
      <x:c r="C220" s="13" t="n">
        <x:v>0</x:v>
      </x:c>
      <x:c r="D220" s="16" t="n">
        <x:v>0</x:v>
      </x:c>
      <x:c r="E220" s="16" t="n">
        <x:v>0</x:v>
      </x:c>
      <x:c r="F220" s="16" t="n">
        <x:v>0</x:v>
      </x:c>
      <x:c r="G220" s="16" t="n">
        <x:v>0</x:v>
      </x:c>
      <x:c r="H220" s="16" t="n">
        <x:v>0</x:v>
      </x:c>
      <x:c r="I220" s="16" t="n">
        <x:v>1027390.3764244728</x:v>
      </x:c>
      <x:c r="J220" s="16" t="n">
        <x:v>1027390.3764244728</x:v>
      </x:c>
      <x:c r="K220" s="16" t="n">
        <x:v>0</x:v>
      </x:c>
      <x:c r="L220" s="18" t="n">
        <x:v>0</x:v>
      </x:c>
      <x:c r="M220" s="18" t="n">
        <x:v>0</x:v>
      </x:c>
      <x:c r="O220" t="str">
        <x:v>2022-03-14</x:v>
      </x:c>
      <x:c r="P220" t="n">
        <x:v>1027390.3764244728</x:v>
      </x:c>
    </x:row>
    <x:row r="221" ht="15" hidden="0" customHeight="1">
      <x:c r="A221" s="13" t="str">
        <x:v>2022-03-15</x:v>
      </x:c>
      <x:c r="B221" s="13" t="n">
        <x:v>0</x:v>
      </x:c>
      <x:c r="C221" s="13" t="n">
        <x:v>0</x:v>
      </x:c>
      <x:c r="D221" s="16" t="n">
        <x:v>0</x:v>
      </x:c>
      <x:c r="E221" s="16" t="n">
        <x:v>0</x:v>
      </x:c>
      <x:c r="F221" s="16" t="n">
        <x:v>0</x:v>
      </x:c>
      <x:c r="G221" s="16" t="n">
        <x:v>0</x:v>
      </x:c>
      <x:c r="H221" s="16" t="n">
        <x:v>0</x:v>
      </x:c>
      <x:c r="I221" s="16" t="n">
        <x:v>1027390.3764244728</x:v>
      </x:c>
      <x:c r="J221" s="16" t="n">
        <x:v>1027390.3764244728</x:v>
      </x:c>
      <x:c r="K221" s="16" t="n">
        <x:v>0</x:v>
      </x:c>
      <x:c r="L221" s="18" t="n">
        <x:v>0</x:v>
      </x:c>
      <x:c r="M221" s="18" t="n">
        <x:v>0</x:v>
      </x:c>
      <x:c r="O221" t="str">
        <x:v>2022-03-15</x:v>
      </x:c>
      <x:c r="P221" t="n">
        <x:v>1027390.3764244728</x:v>
      </x:c>
    </x:row>
    <x:row r="222" ht="15" hidden="0" customHeight="1">
      <x:c r="A222" s="13" t="str">
        <x:v>2022-03-16</x:v>
      </x:c>
      <x:c r="B222" s="13" t="n">
        <x:v>0</x:v>
      </x:c>
      <x:c r="C222" s="13" t="n">
        <x:v>0</x:v>
      </x:c>
      <x:c r="D222" s="16" t="n">
        <x:v>0</x:v>
      </x:c>
      <x:c r="E222" s="16" t="n">
        <x:v>0</x:v>
      </x:c>
      <x:c r="F222" s="16" t="n">
        <x:v>0</x:v>
      </x:c>
      <x:c r="G222" s="16" t="n">
        <x:v>0</x:v>
      </x:c>
      <x:c r="H222" s="16" t="n">
        <x:v>0</x:v>
      </x:c>
      <x:c r="I222" s="16" t="n">
        <x:v>1027390.3764244728</x:v>
      </x:c>
      <x:c r="J222" s="16" t="n">
        <x:v>1027390.3764244728</x:v>
      </x:c>
      <x:c r="K222" s="16" t="n">
        <x:v>0</x:v>
      </x:c>
      <x:c r="L222" s="18" t="n">
        <x:v>0</x:v>
      </x:c>
      <x:c r="M222" s="18" t="n">
        <x:v>0</x:v>
      </x:c>
      <x:c r="O222" t="str">
        <x:v>2022-03-16</x:v>
      </x:c>
      <x:c r="P222" t="n">
        <x:v>1027390.3764244728</x:v>
      </x:c>
    </x:row>
    <x:row r="223" ht="15" hidden="0" customHeight="1">
      <x:c r="A223" s="13" t="str">
        <x:v>2022-03-17</x:v>
      </x:c>
      <x:c r="B223" s="13" t="n">
        <x:v>0</x:v>
      </x:c>
      <x:c r="C223" s="13" t="n">
        <x:v>0</x:v>
      </x:c>
      <x:c r="D223" s="16" t="n">
        <x:v>0</x:v>
      </x:c>
      <x:c r="E223" s="16" t="n">
        <x:v>0</x:v>
      </x:c>
      <x:c r="F223" s="16" t="n">
        <x:v>0</x:v>
      </x:c>
      <x:c r="G223" s="16" t="n">
        <x:v>0</x:v>
      </x:c>
      <x:c r="H223" s="16" t="n">
        <x:v>0</x:v>
      </x:c>
      <x:c r="I223" s="16" t="n">
        <x:v>1027390.3764244728</x:v>
      </x:c>
      <x:c r="J223" s="16" t="n">
        <x:v>1027390.3764244728</x:v>
      </x:c>
      <x:c r="K223" s="16" t="n">
        <x:v>0</x:v>
      </x:c>
      <x:c r="L223" s="18" t="n">
        <x:v>0</x:v>
      </x:c>
      <x:c r="M223" s="18" t="n">
        <x:v>0</x:v>
      </x:c>
      <x:c r="O223" t="str">
        <x:v>2022-03-17</x:v>
      </x:c>
      <x:c r="P223" t="n">
        <x:v>1027390.3764244728</x:v>
      </x:c>
    </x:row>
    <x:row r="224" ht="15" hidden="0" customHeight="1">
      <x:c r="A224" s="13" t="str">
        <x:v>2022-03-18</x:v>
      </x:c>
      <x:c r="B224" s="13" t="n">
        <x:v>0</x:v>
      </x:c>
      <x:c r="C224" s="13" t="n">
        <x:v>0</x:v>
      </x:c>
      <x:c r="D224" s="16" t="n">
        <x:v>0</x:v>
      </x:c>
      <x:c r="E224" s="16" t="n">
        <x:v>0</x:v>
      </x:c>
      <x:c r="F224" s="16" t="n">
        <x:v>0</x:v>
      </x:c>
      <x:c r="G224" s="16" t="n">
        <x:v>0</x:v>
      </x:c>
      <x:c r="H224" s="16" t="n">
        <x:v>0</x:v>
      </x:c>
      <x:c r="I224" s="16" t="n">
        <x:v>1027390.3764244728</x:v>
      </x:c>
      <x:c r="J224" s="16" t="n">
        <x:v>1027390.3764244728</x:v>
      </x:c>
      <x:c r="K224" s="16" t="n">
        <x:v>0</x:v>
      </x:c>
      <x:c r="L224" s="18" t="n">
        <x:v>0</x:v>
      </x:c>
      <x:c r="M224" s="18" t="n">
        <x:v>0</x:v>
      </x:c>
      <x:c r="O224" t="str">
        <x:v>2022-03-18</x:v>
      </x:c>
      <x:c r="P224" t="n">
        <x:v>1027390.3764244728</x:v>
      </x:c>
    </x:row>
    <x:row r="225" ht="15" hidden="0" customHeight="1">
      <x:c r="A225" s="13" t="str">
        <x:v>2022-03-21</x:v>
      </x:c>
      <x:c r="B225" s="13" t="n">
        <x:v>0</x:v>
      </x:c>
      <x:c r="C225" s="13" t="n">
        <x:v>0</x:v>
      </x:c>
      <x:c r="D225" s="16" t="n">
        <x:v>0</x:v>
      </x:c>
      <x:c r="E225" s="16" t="n">
        <x:v>0</x:v>
      </x:c>
      <x:c r="F225" s="16" t="n">
        <x:v>0</x:v>
      </x:c>
      <x:c r="G225" s="16" t="n">
        <x:v>0</x:v>
      </x:c>
      <x:c r="H225" s="16" t="n">
        <x:v>0</x:v>
      </x:c>
      <x:c r="I225" s="16" t="n">
        <x:v>1027390.3764244728</x:v>
      </x:c>
      <x:c r="J225" s="16" t="n">
        <x:v>1027390.3764244728</x:v>
      </x:c>
      <x:c r="K225" s="16" t="n">
        <x:v>0</x:v>
      </x:c>
      <x:c r="L225" s="18" t="n">
        <x:v>0</x:v>
      </x:c>
      <x:c r="M225" s="18" t="n">
        <x:v>0</x:v>
      </x:c>
      <x:c r="O225" t="str">
        <x:v>2022-03-21</x:v>
      </x:c>
      <x:c r="P225" t="n">
        <x:v>1027390.3764244728</x:v>
      </x:c>
    </x:row>
    <x:row r="226" ht="15" hidden="0" customHeight="1">
      <x:c r="A226" s="13" t="str">
        <x:v>2022-03-22</x:v>
      </x:c>
      <x:c r="B226" s="13" t="n">
        <x:v>0</x:v>
      </x:c>
      <x:c r="C226" s="13" t="n">
        <x:v>0</x:v>
      </x:c>
      <x:c r="D226" s="16" t="n">
        <x:v>0</x:v>
      </x:c>
      <x:c r="E226" s="16" t="n">
        <x:v>0</x:v>
      </x:c>
      <x:c r="F226" s="16" t="n">
        <x:v>0</x:v>
      </x:c>
      <x:c r="G226" s="16" t="n">
        <x:v>0</x:v>
      </x:c>
      <x:c r="H226" s="16" t="n">
        <x:v>0</x:v>
      </x:c>
      <x:c r="I226" s="16" t="n">
        <x:v>1027390.3764244728</x:v>
      </x:c>
      <x:c r="J226" s="16" t="n">
        <x:v>1027390.3764244728</x:v>
      </x:c>
      <x:c r="K226" s="16" t="n">
        <x:v>0</x:v>
      </x:c>
      <x:c r="L226" s="18" t="n">
        <x:v>0</x:v>
      </x:c>
      <x:c r="M226" s="18" t="n">
        <x:v>0</x:v>
      </x:c>
      <x:c r="O226" t="str">
        <x:v>2022-03-22</x:v>
      </x:c>
      <x:c r="P226" t="n">
        <x:v>1027390.3764244728</x:v>
      </x:c>
    </x:row>
    <x:row r="227" ht="15" hidden="0" customHeight="1">
      <x:c r="A227" s="13" t="str">
        <x:v>2022-03-23</x:v>
      </x:c>
      <x:c r="B227" s="13" t="n">
        <x:v>0</x:v>
      </x:c>
      <x:c r="C227" s="13" t="n">
        <x:v>0</x:v>
      </x:c>
      <x:c r="D227" s="16" t="n">
        <x:v>0</x:v>
      </x:c>
      <x:c r="E227" s="16" t="n">
        <x:v>0</x:v>
      </x:c>
      <x:c r="F227" s="16" t="n">
        <x:v>0</x:v>
      </x:c>
      <x:c r="G227" s="16" t="n">
        <x:v>0</x:v>
      </x:c>
      <x:c r="H227" s="16" t="n">
        <x:v>0</x:v>
      </x:c>
      <x:c r="I227" s="16" t="n">
        <x:v>1027390.3764244728</x:v>
      </x:c>
      <x:c r="J227" s="16" t="n">
        <x:v>1027390.3764244728</x:v>
      </x:c>
      <x:c r="K227" s="16" t="n">
        <x:v>0</x:v>
      </x:c>
      <x:c r="L227" s="18" t="n">
        <x:v>0</x:v>
      </x:c>
      <x:c r="M227" s="18" t="n">
        <x:v>0</x:v>
      </x:c>
      <x:c r="O227" t="str">
        <x:v>2022-03-23</x:v>
      </x:c>
      <x:c r="P227" t="n">
        <x:v>1027390.3764244728</x:v>
      </x:c>
    </x:row>
    <x:row r="228" ht="15" hidden="0" customHeight="1">
      <x:c r="A228" s="13" t="str">
        <x:v>2022-03-24</x:v>
      </x:c>
      <x:c r="B228" s="13" t="n">
        <x:v>0</x:v>
      </x:c>
      <x:c r="C228" s="13" t="n">
        <x:v>0</x:v>
      </x:c>
      <x:c r="D228" s="16" t="n">
        <x:v>0</x:v>
      </x:c>
      <x:c r="E228" s="16" t="n">
        <x:v>0</x:v>
      </x:c>
      <x:c r="F228" s="16" t="n">
        <x:v>0</x:v>
      </x:c>
      <x:c r="G228" s="16" t="n">
        <x:v>0</x:v>
      </x:c>
      <x:c r="H228" s="16" t="n">
        <x:v>0</x:v>
      </x:c>
      <x:c r="I228" s="16" t="n">
        <x:v>1027390.3764244728</x:v>
      </x:c>
      <x:c r="J228" s="16" t="n">
        <x:v>1027390.3764244728</x:v>
      </x:c>
      <x:c r="K228" s="16" t="n">
        <x:v>0</x:v>
      </x:c>
      <x:c r="L228" s="18" t="n">
        <x:v>0</x:v>
      </x:c>
      <x:c r="M228" s="18" t="n">
        <x:v>0</x:v>
      </x:c>
      <x:c r="O228" t="str">
        <x:v>2022-03-24</x:v>
      </x:c>
      <x:c r="P228" t="n">
        <x:v>1027390.3764244728</x:v>
      </x:c>
    </x:row>
    <x:row r="229" ht="15" hidden="0" customHeight="1">
      <x:c r="A229" s="13" t="str">
        <x:v>2022-03-25</x:v>
      </x:c>
      <x:c r="B229" s="13" t="n">
        <x:v>0</x:v>
      </x:c>
      <x:c r="C229" s="13" t="n">
        <x:v>0</x:v>
      </x:c>
      <x:c r="D229" s="16" t="n">
        <x:v>0</x:v>
      </x:c>
      <x:c r="E229" s="16" t="n">
        <x:v>0</x:v>
      </x:c>
      <x:c r="F229" s="16" t="n">
        <x:v>0</x:v>
      </x:c>
      <x:c r="G229" s="16" t="n">
        <x:v>0</x:v>
      </x:c>
      <x:c r="H229" s="16" t="n">
        <x:v>0</x:v>
      </x:c>
      <x:c r="I229" s="16" t="n">
        <x:v>1027390.3764244728</x:v>
      </x:c>
      <x:c r="J229" s="16" t="n">
        <x:v>1027390.3764244728</x:v>
      </x:c>
      <x:c r="K229" s="16" t="n">
        <x:v>0</x:v>
      </x:c>
      <x:c r="L229" s="18" t="n">
        <x:v>0</x:v>
      </x:c>
      <x:c r="M229" s="18" t="n">
        <x:v>0</x:v>
      </x:c>
      <x:c r="O229" t="str">
        <x:v>2022-03-25</x:v>
      </x:c>
      <x:c r="P229" t="n">
        <x:v>1027390.3764244728</x:v>
      </x:c>
    </x:row>
    <x:row r="230" ht="15" hidden="0" customHeight="1">
      <x:c r="A230" s="13" t="str">
        <x:v>2022-03-28</x:v>
      </x:c>
      <x:c r="B230" s="13" t="n">
        <x:v>0</x:v>
      </x:c>
      <x:c r="C230" s="13" t="n">
        <x:v>0</x:v>
      </x:c>
      <x:c r="D230" s="16" t="n">
        <x:v>0</x:v>
      </x:c>
      <x:c r="E230" s="16" t="n">
        <x:v>0</x:v>
      </x:c>
      <x:c r="F230" s="16" t="n">
        <x:v>0</x:v>
      </x:c>
      <x:c r="G230" s="16" t="n">
        <x:v>0</x:v>
      </x:c>
      <x:c r="H230" s="16" t="n">
        <x:v>0</x:v>
      </x:c>
      <x:c r="I230" s="16" t="n">
        <x:v>1027390.3764244728</x:v>
      </x:c>
      <x:c r="J230" s="16" t="n">
        <x:v>1027390.3764244728</x:v>
      </x:c>
      <x:c r="K230" s="16" t="n">
        <x:v>0</x:v>
      </x:c>
      <x:c r="L230" s="18" t="n">
        <x:v>0</x:v>
      </x:c>
      <x:c r="M230" s="18" t="n">
        <x:v>0</x:v>
      </x:c>
      <x:c r="O230" t="str">
        <x:v>2022-03-28</x:v>
      </x:c>
      <x:c r="P230" t="n">
        <x:v>1027390.3764244728</x:v>
      </x:c>
    </x:row>
    <x:row r="231" ht="15" hidden="0" customHeight="1">
      <x:c r="A231" s="13" t="str">
        <x:v>2022-03-29</x:v>
      </x:c>
      <x:c r="B231" s="13" t="n">
        <x:v>0</x:v>
      </x:c>
      <x:c r="C231" s="13" t="n">
        <x:v>0</x:v>
      </x:c>
      <x:c r="D231" s="16" t="n">
        <x:v>0</x:v>
      </x:c>
      <x:c r="E231" s="16" t="n">
        <x:v>0</x:v>
      </x:c>
      <x:c r="F231" s="16" t="n">
        <x:v>0</x:v>
      </x:c>
      <x:c r="G231" s="16" t="n">
        <x:v>0</x:v>
      </x:c>
      <x:c r="H231" s="16" t="n">
        <x:v>0</x:v>
      </x:c>
      <x:c r="I231" s="16" t="n">
        <x:v>1027390.3764244728</x:v>
      </x:c>
      <x:c r="J231" s="16" t="n">
        <x:v>1027390.3764244728</x:v>
      </x:c>
      <x:c r="K231" s="16" t="n">
        <x:v>0</x:v>
      </x:c>
      <x:c r="L231" s="18" t="n">
        <x:v>0</x:v>
      </x:c>
      <x:c r="M231" s="18" t="n">
        <x:v>0</x:v>
      </x:c>
      <x:c r="O231" t="str">
        <x:v>2022-03-29</x:v>
      </x:c>
      <x:c r="P231" t="n">
        <x:v>1027390.3764244728</x:v>
      </x:c>
    </x:row>
    <x:row r="232" ht="15" hidden="0" customHeight="1">
      <x:c r="A232" s="13" t="str">
        <x:v>2022-03-30</x:v>
      </x:c>
      <x:c r="B232" s="13" t="n">
        <x:v>0</x:v>
      </x:c>
      <x:c r="C232" s="13" t="n">
        <x:v>0</x:v>
      </x:c>
      <x:c r="D232" s="16" t="n">
        <x:v>0</x:v>
      </x:c>
      <x:c r="E232" s="16" t="n">
        <x:v>0</x:v>
      </x:c>
      <x:c r="F232" s="16" t="n">
        <x:v>0</x:v>
      </x:c>
      <x:c r="G232" s="16" t="n">
        <x:v>0</x:v>
      </x:c>
      <x:c r="H232" s="16" t="n">
        <x:v>0</x:v>
      </x:c>
      <x:c r="I232" s="16" t="n">
        <x:v>1027390.3764244728</x:v>
      </x:c>
      <x:c r="J232" s="16" t="n">
        <x:v>1027390.3764244728</x:v>
      </x:c>
      <x:c r="K232" s="16" t="n">
        <x:v>0</x:v>
      </x:c>
      <x:c r="L232" s="18" t="n">
        <x:v>0</x:v>
      </x:c>
      <x:c r="M232" s="18" t="n">
        <x:v>0</x:v>
      </x:c>
      <x:c r="O232" t="str">
        <x:v>2022-03-30</x:v>
      </x:c>
      <x:c r="P232" t="n">
        <x:v>1027390.3764244728</x:v>
      </x:c>
    </x:row>
    <x:row r="233" ht="15" hidden="0" customHeight="1">
      <x:c r="A233" s="13" t="str">
        <x:v>2022-03-31</x:v>
      </x:c>
      <x:c r="B233" s="13" t="n">
        <x:v>0</x:v>
      </x:c>
      <x:c r="C233" s="13" t="n">
        <x:v>0</x:v>
      </x:c>
      <x:c r="D233" s="16" t="n">
        <x:v>0</x:v>
      </x:c>
      <x:c r="E233" s="16" t="n">
        <x:v>0</x:v>
      </x:c>
      <x:c r="F233" s="16" t="n">
        <x:v>0</x:v>
      </x:c>
      <x:c r="G233" s="16" t="n">
        <x:v>0</x:v>
      </x:c>
      <x:c r="H233" s="16" t="n">
        <x:v>0</x:v>
      </x:c>
      <x:c r="I233" s="16" t="n">
        <x:v>1027390.3764244728</x:v>
      </x:c>
      <x:c r="J233" s="16" t="n">
        <x:v>1027390.3764244728</x:v>
      </x:c>
      <x:c r="K233" s="16" t="n">
        <x:v>0</x:v>
      </x:c>
      <x:c r="L233" s="18" t="n">
        <x:v>0</x:v>
      </x:c>
      <x:c r="M233" s="18" t="n">
        <x:v>0</x:v>
      </x:c>
      <x:c r="O233" t="str">
        <x:v>2022-03-31</x:v>
      </x:c>
      <x:c r="P233" t="n">
        <x:v>1027390.3764244728</x:v>
      </x:c>
    </x:row>
    <x:row r="234" ht="15" hidden="0" customHeight="1">
      <x:c r="A234" s="13" t="str">
        <x:v>2022-04-01</x:v>
      </x:c>
      <x:c r="B234" s="13" t="n">
        <x:v>0</x:v>
      </x:c>
      <x:c r="C234" s="13" t="n">
        <x:v>0</x:v>
      </x:c>
      <x:c r="D234" s="16" t="n">
        <x:v>0</x:v>
      </x:c>
      <x:c r="E234" s="16" t="n">
        <x:v>0</x:v>
      </x:c>
      <x:c r="F234" s="16" t="n">
        <x:v>0</x:v>
      </x:c>
      <x:c r="G234" s="16" t="n">
        <x:v>0</x:v>
      </x:c>
      <x:c r="H234" s="16" t="n">
        <x:v>0</x:v>
      </x:c>
      <x:c r="I234" s="16" t="n">
        <x:v>1027390.3764244728</x:v>
      </x:c>
      <x:c r="J234" s="16" t="n">
        <x:v>1027390.3764244728</x:v>
      </x:c>
      <x:c r="K234" s="16" t="n">
        <x:v>0</x:v>
      </x:c>
      <x:c r="L234" s="18" t="n">
        <x:v>0</x:v>
      </x:c>
      <x:c r="M234" s="18" t="n">
        <x:v>0</x:v>
      </x:c>
      <x:c r="O234" t="str">
        <x:v>2022-04-01</x:v>
      </x:c>
      <x:c r="P234" t="n">
        <x:v>1027390.3764244728</x:v>
      </x:c>
    </x:row>
    <x:row r="235" ht="15" hidden="0" customHeight="1">
      <x:c r="A235" s="13" t="str">
        <x:v>2022-04-04</x:v>
      </x:c>
      <x:c r="B235" s="13" t="n">
        <x:v>0</x:v>
      </x:c>
      <x:c r="C235" s="13" t="n">
        <x:v>0</x:v>
      </x:c>
      <x:c r="D235" s="16" t="n">
        <x:v>0</x:v>
      </x:c>
      <x:c r="E235" s="16" t="n">
        <x:v>0</x:v>
      </x:c>
      <x:c r="F235" s="16" t="n">
        <x:v>0</x:v>
      </x:c>
      <x:c r="G235" s="16" t="n">
        <x:v>0</x:v>
      </x:c>
      <x:c r="H235" s="16" t="n">
        <x:v>0</x:v>
      </x:c>
      <x:c r="I235" s="16" t="n">
        <x:v>1027390.3764244728</x:v>
      </x:c>
      <x:c r="J235" s="16" t="n">
        <x:v>1027390.3764244728</x:v>
      </x:c>
      <x:c r="K235" s="16" t="n">
        <x:v>0</x:v>
      </x:c>
      <x:c r="L235" s="18" t="n">
        <x:v>0</x:v>
      </x:c>
      <x:c r="M235" s="18" t="n">
        <x:v>0</x:v>
      </x:c>
      <x:c r="O235" t="str">
        <x:v>2022-04-04</x:v>
      </x:c>
      <x:c r="P235" t="n">
        <x:v>1027390.3764244728</x:v>
      </x:c>
    </x:row>
    <x:row r="236" ht="15" hidden="0" customHeight="1">
      <x:c r="A236" s="13" t="str">
        <x:v>2022-04-05</x:v>
      </x:c>
      <x:c r="B236" s="13" t="n">
        <x:v>0</x:v>
      </x:c>
      <x:c r="C236" s="13" t="n">
        <x:v>0</x:v>
      </x:c>
      <x:c r="D236" s="16" t="n">
        <x:v>0</x:v>
      </x:c>
      <x:c r="E236" s="16" t="n">
        <x:v>0</x:v>
      </x:c>
      <x:c r="F236" s="16" t="n">
        <x:v>0</x:v>
      </x:c>
      <x:c r="G236" s="16" t="n">
        <x:v>0</x:v>
      </x:c>
      <x:c r="H236" s="16" t="n">
        <x:v>0</x:v>
      </x:c>
      <x:c r="I236" s="16" t="n">
        <x:v>1027390.3764244728</x:v>
      </x:c>
      <x:c r="J236" s="16" t="n">
        <x:v>1027390.3764244728</x:v>
      </x:c>
      <x:c r="K236" s="16" t="n">
        <x:v>0</x:v>
      </x:c>
      <x:c r="L236" s="18" t="n">
        <x:v>0</x:v>
      </x:c>
      <x:c r="M236" s="18" t="n">
        <x:v>0</x:v>
      </x:c>
      <x:c r="O236" t="str">
        <x:v>2022-04-05</x:v>
      </x:c>
      <x:c r="P236" t="n">
        <x:v>1027390.3764244728</x:v>
      </x:c>
    </x:row>
    <x:row r="237" ht="15" hidden="0" customHeight="1">
      <x:c r="A237" s="13" t="str">
        <x:v>2022-04-06</x:v>
      </x:c>
      <x:c r="B237" s="13" t="n">
        <x:v>0</x:v>
      </x:c>
      <x:c r="C237" s="13" t="n">
        <x:v>0</x:v>
      </x:c>
      <x:c r="D237" s="16" t="n">
        <x:v>0</x:v>
      </x:c>
      <x:c r="E237" s="16" t="n">
        <x:v>0</x:v>
      </x:c>
      <x:c r="F237" s="16" t="n">
        <x:v>0</x:v>
      </x:c>
      <x:c r="G237" s="16" t="n">
        <x:v>0</x:v>
      </x:c>
      <x:c r="H237" s="16" t="n">
        <x:v>0</x:v>
      </x:c>
      <x:c r="I237" s="16" t="n">
        <x:v>1027390.3764244728</x:v>
      </x:c>
      <x:c r="J237" s="16" t="n">
        <x:v>1027390.3764244728</x:v>
      </x:c>
      <x:c r="K237" s="16" t="n">
        <x:v>0</x:v>
      </x:c>
      <x:c r="L237" s="18" t="n">
        <x:v>0</x:v>
      </x:c>
      <x:c r="M237" s="18" t="n">
        <x:v>0</x:v>
      </x:c>
      <x:c r="O237" t="str">
        <x:v>2022-04-06</x:v>
      </x:c>
      <x:c r="P237" t="n">
        <x:v>1027390.3764244728</x:v>
      </x:c>
    </x:row>
    <x:row r="238" ht="15" hidden="0" customHeight="1">
      <x:c r="A238" s="13" t="str">
        <x:v>2022-04-07</x:v>
      </x:c>
      <x:c r="B238" s="13" t="n">
        <x:v>0</x:v>
      </x:c>
      <x:c r="C238" s="13" t="n">
        <x:v>0</x:v>
      </x:c>
      <x:c r="D238" s="16" t="n">
        <x:v>0</x:v>
      </x:c>
      <x:c r="E238" s="16" t="n">
        <x:v>0</x:v>
      </x:c>
      <x:c r="F238" s="16" t="n">
        <x:v>0</x:v>
      </x:c>
      <x:c r="G238" s="16" t="n">
        <x:v>0</x:v>
      </x:c>
      <x:c r="H238" s="16" t="n">
        <x:v>0</x:v>
      </x:c>
      <x:c r="I238" s="16" t="n">
        <x:v>1027390.3764244728</x:v>
      </x:c>
      <x:c r="J238" s="16" t="n">
        <x:v>1027390.3764244728</x:v>
      </x:c>
      <x:c r="K238" s="16" t="n">
        <x:v>0</x:v>
      </x:c>
      <x:c r="L238" s="18" t="n">
        <x:v>0</x:v>
      </x:c>
      <x:c r="M238" s="18" t="n">
        <x:v>0</x:v>
      </x:c>
      <x:c r="O238" t="str">
        <x:v>2022-04-07</x:v>
      </x:c>
      <x:c r="P238" t="n">
        <x:v>1027390.3764244728</x:v>
      </x:c>
    </x:row>
    <x:row r="239" ht="15" hidden="0" customHeight="1">
      <x:c r="A239" s="13" t="str">
        <x:v>2022-04-08</x:v>
      </x:c>
      <x:c r="B239" s="13" t="n">
        <x:v>0</x:v>
      </x:c>
      <x:c r="C239" s="13" t="n">
        <x:v>0</x:v>
      </x:c>
      <x:c r="D239" s="16" t="n">
        <x:v>0</x:v>
      </x:c>
      <x:c r="E239" s="16" t="n">
        <x:v>0</x:v>
      </x:c>
      <x:c r="F239" s="16" t="n">
        <x:v>0</x:v>
      </x:c>
      <x:c r="G239" s="16" t="n">
        <x:v>0</x:v>
      </x:c>
      <x:c r="H239" s="16" t="n">
        <x:v>0</x:v>
      </x:c>
      <x:c r="I239" s="16" t="n">
        <x:v>1027390.3764244728</x:v>
      </x:c>
      <x:c r="J239" s="16" t="n">
        <x:v>1027390.3764244728</x:v>
      </x:c>
      <x:c r="K239" s="16" t="n">
        <x:v>0</x:v>
      </x:c>
      <x:c r="L239" s="18" t="n">
        <x:v>0</x:v>
      </x:c>
      <x:c r="M239" s="18" t="n">
        <x:v>0</x:v>
      </x:c>
      <x:c r="O239" t="str">
        <x:v>2022-04-08</x:v>
      </x:c>
      <x:c r="P239" t="n">
        <x:v>1027390.3764244728</x:v>
      </x:c>
    </x:row>
    <x:row r="240" ht="15" hidden="0" customHeight="1">
      <x:c r="A240" s="13" t="str">
        <x:v>2022-04-11</x:v>
      </x:c>
      <x:c r="B240" s="13" t="n">
        <x:v>0</x:v>
      </x:c>
      <x:c r="C240" s="13" t="n">
        <x:v>0</x:v>
      </x:c>
      <x:c r="D240" s="16" t="n">
        <x:v>0</x:v>
      </x:c>
      <x:c r="E240" s="16" t="n">
        <x:v>0</x:v>
      </x:c>
      <x:c r="F240" s="16" t="n">
        <x:v>0</x:v>
      </x:c>
      <x:c r="G240" s="16" t="n">
        <x:v>0</x:v>
      </x:c>
      <x:c r="H240" s="16" t="n">
        <x:v>0</x:v>
      </x:c>
      <x:c r="I240" s="16" t="n">
        <x:v>1027390.3764244728</x:v>
      </x:c>
      <x:c r="J240" s="16" t="n">
        <x:v>1027390.3764244728</x:v>
      </x:c>
      <x:c r="K240" s="16" t="n">
        <x:v>0</x:v>
      </x:c>
      <x:c r="L240" s="18" t="n">
        <x:v>0</x:v>
      </x:c>
      <x:c r="M240" s="18" t="n">
        <x:v>0</x:v>
      </x:c>
      <x:c r="O240" t="str">
        <x:v>2022-04-11</x:v>
      </x:c>
      <x:c r="P240" t="n">
        <x:v>1027390.3764244728</x:v>
      </x:c>
    </x:row>
    <x:row r="241" ht="15" hidden="0" customHeight="1">
      <x:c r="A241" s="13" t="str">
        <x:v>2022-04-12</x:v>
      </x:c>
      <x:c r="B241" s="13" t="n">
        <x:v>0</x:v>
      </x:c>
      <x:c r="C241" s="13" t="n">
        <x:v>0</x:v>
      </x:c>
      <x:c r="D241" s="16" t="n">
        <x:v>0</x:v>
      </x:c>
      <x:c r="E241" s="16" t="n">
        <x:v>0</x:v>
      </x:c>
      <x:c r="F241" s="16" t="n">
        <x:v>0</x:v>
      </x:c>
      <x:c r="G241" s="16" t="n">
        <x:v>0</x:v>
      </x:c>
      <x:c r="H241" s="16" t="n">
        <x:v>0</x:v>
      </x:c>
      <x:c r="I241" s="16" t="n">
        <x:v>1027390.3764244728</x:v>
      </x:c>
      <x:c r="J241" s="16" t="n">
        <x:v>1027390.3764244728</x:v>
      </x:c>
      <x:c r="K241" s="16" t="n">
        <x:v>0</x:v>
      </x:c>
      <x:c r="L241" s="18" t="n">
        <x:v>0</x:v>
      </x:c>
      <x:c r="M241" s="18" t="n">
        <x:v>0</x:v>
      </x:c>
      <x:c r="O241" t="str">
        <x:v>2022-04-12</x:v>
      </x:c>
      <x:c r="P241" t="n">
        <x:v>1027390.3764244728</x:v>
      </x:c>
    </x:row>
    <x:row r="242" ht="15" hidden="0" customHeight="1">
      <x:c r="A242" s="13" t="str">
        <x:v>2022-04-13</x:v>
      </x:c>
      <x:c r="B242" s="13" t="n">
        <x:v>1</x:v>
      </x:c>
      <x:c r="C242" s="13" t="n">
        <x:v>8</x:v>
      </x:c>
      <x:c r="D242" s="16" t="n">
        <x:v>-1720.000000000001</x:v>
      </x:c>
      <x:c r="E242" s="16" t="n">
        <x:v>525.583466621506</x:v>
      </x:c>
      <x:c r="F242" s="16" t="n">
        <x:v>-2245.583466621507</x:v>
      </x:c>
      <x:c r="G242" s="16" t="n">
        <x:v>74936.64374958148</x:v>
      </x:c>
      <x:c r="H242" s="16" t="n">
        <x:v>343792.7025017413</x:v>
      </x:c>
      <x:c r="I242" s="16" t="n">
        <x:v>1025144.7929578512</x:v>
      </x:c>
      <x:c r="J242" s="16" t="n">
        <x:v>1027390.3764244728</x:v>
      </x:c>
      <x:c r="K242" s="16" t="n">
        <x:v>-2245.583466621465</x:v>
      </x:c>
      <x:c r="L242" s="18" t="n">
        <x:v>-0.0021857158857536</x:v>
      </x:c>
      <x:c r="M242" s="18" t="n">
        <x:v>-0.0021857158857536</x:v>
      </x:c>
      <x:c r="O242" t="str">
        <x:v>2022-04-13</x:v>
      </x:c>
      <x:c r="P242" t="n">
        <x:v>1025144.7929578512</x:v>
      </x:c>
    </x:row>
    <x:row r="243" ht="15" hidden="0" customHeight="1">
      <x:c r="A243" s="13" t="str">
        <x:v>2022-04-14</x:v>
      </x:c>
      <x:c r="B243" s="13" t="n">
        <x:v>0</x:v>
      </x:c>
      <x:c r="C243" s="13" t="n">
        <x:v>0</x:v>
      </x:c>
      <x:c r="D243" s="16" t="n">
        <x:v>0</x:v>
      </x:c>
      <x:c r="E243" s="16" t="n">
        <x:v>0</x:v>
      </x:c>
      <x:c r="F243" s="16" t="n">
        <x:v>0</x:v>
      </x:c>
      <x:c r="G243" s="16" t="n">
        <x:v>0</x:v>
      </x:c>
      <x:c r="H243" s="16" t="n">
        <x:v>0</x:v>
      </x:c>
      <x:c r="I243" s="16" t="n">
        <x:v>1025144.7929578512</x:v>
      </x:c>
      <x:c r="J243" s="16" t="n">
        <x:v>1027390.3764244728</x:v>
      </x:c>
      <x:c r="K243" s="16" t="n">
        <x:v>-2245.583466621465</x:v>
      </x:c>
      <x:c r="L243" s="18" t="n">
        <x:v>-0.0021857158857536</x:v>
      </x:c>
      <x:c r="M243" s="18" t="n">
        <x:v>0</x:v>
      </x:c>
      <x:c r="O243" t="str">
        <x:v>2022-04-14</x:v>
      </x:c>
      <x:c r="P243" t="n">
        <x:v>1025144.7929578512</x:v>
      </x:c>
    </x:row>
    <x:row r="244" ht="15" hidden="0" customHeight="1">
      <x:c r="A244" s="13" t="str">
        <x:v>2022-04-15</x:v>
      </x:c>
      <x:c r="B244" s="13" t="n">
        <x:v>0</x:v>
      </x:c>
      <x:c r="C244" s="13" t="n">
        <x:v>0</x:v>
      </x:c>
      <x:c r="D244" s="16" t="n">
        <x:v>0</x:v>
      </x:c>
      <x:c r="E244" s="16" t="n">
        <x:v>0</x:v>
      </x:c>
      <x:c r="F244" s="16" t="n">
        <x:v>0</x:v>
      </x:c>
      <x:c r="G244" s="16" t="n">
        <x:v>0</x:v>
      </x:c>
      <x:c r="H244" s="16" t="n">
        <x:v>0</x:v>
      </x:c>
      <x:c r="I244" s="16" t="n">
        <x:v>1025144.7929578512</x:v>
      </x:c>
      <x:c r="J244" s="16" t="n">
        <x:v>1027390.3764244728</x:v>
      </x:c>
      <x:c r="K244" s="16" t="n">
        <x:v>-2245.583466621465</x:v>
      </x:c>
      <x:c r="L244" s="18" t="n">
        <x:v>-0.0021857158857536</x:v>
      </x:c>
      <x:c r="M244" s="18" t="n">
        <x:v>0</x:v>
      </x:c>
      <x:c r="O244" t="str">
        <x:v>2022-04-15</x:v>
      </x:c>
      <x:c r="P244" t="n">
        <x:v>1025144.7929578512</x:v>
      </x:c>
    </x:row>
    <x:row r="245" ht="15" hidden="0" customHeight="1">
      <x:c r="A245" s="13" t="str">
        <x:v>2022-04-18</x:v>
      </x:c>
      <x:c r="B245" s="13" t="n">
        <x:v>0</x:v>
      </x:c>
      <x:c r="C245" s="13" t="n">
        <x:v>0</x:v>
      </x:c>
      <x:c r="D245" s="16" t="n">
        <x:v>0</x:v>
      </x:c>
      <x:c r="E245" s="16" t="n">
        <x:v>0</x:v>
      </x:c>
      <x:c r="F245" s="16" t="n">
        <x:v>0</x:v>
      </x:c>
      <x:c r="G245" s="16" t="n">
        <x:v>0</x:v>
      </x:c>
      <x:c r="H245" s="16" t="n">
        <x:v>0</x:v>
      </x:c>
      <x:c r="I245" s="16" t="n">
        <x:v>1025144.7929578512</x:v>
      </x:c>
      <x:c r="J245" s="16" t="n">
        <x:v>1027390.3764244728</x:v>
      </x:c>
      <x:c r="K245" s="16" t="n">
        <x:v>-2245.583466621465</x:v>
      </x:c>
      <x:c r="L245" s="18" t="n">
        <x:v>-0.0021857158857536</x:v>
      </x:c>
      <x:c r="M245" s="18" t="n">
        <x:v>0</x:v>
      </x:c>
      <x:c r="O245" t="str">
        <x:v>2022-04-18</x:v>
      </x:c>
      <x:c r="P245" t="n">
        <x:v>1025144.7929578512</x:v>
      </x:c>
    </x:row>
    <x:row r="246" ht="15" hidden="0" customHeight="1">
      <x:c r="A246" s="13" t="str">
        <x:v>2022-04-19</x:v>
      </x:c>
      <x:c r="B246" s="13" t="n">
        <x:v>0</x:v>
      </x:c>
      <x:c r="C246" s="13" t="n">
        <x:v>0</x:v>
      </x:c>
      <x:c r="D246" s="16" t="n">
        <x:v>0</x:v>
      </x:c>
      <x:c r="E246" s="16" t="n">
        <x:v>0</x:v>
      </x:c>
      <x:c r="F246" s="16" t="n">
        <x:v>0</x:v>
      </x:c>
      <x:c r="G246" s="16" t="n">
        <x:v>0</x:v>
      </x:c>
      <x:c r="H246" s="16" t="n">
        <x:v>0</x:v>
      </x:c>
      <x:c r="I246" s="16" t="n">
        <x:v>1025144.7929578512</x:v>
      </x:c>
      <x:c r="J246" s="16" t="n">
        <x:v>1027390.3764244728</x:v>
      </x:c>
      <x:c r="K246" s="16" t="n">
        <x:v>-2245.583466621465</x:v>
      </x:c>
      <x:c r="L246" s="18" t="n">
        <x:v>-0.0021857158857536</x:v>
      </x:c>
      <x:c r="M246" s="18" t="n">
        <x:v>0</x:v>
      </x:c>
      <x:c r="O246" t="str">
        <x:v>2022-04-19</x:v>
      </x:c>
      <x:c r="P246" t="n">
        <x:v>1025144.7929578512</x:v>
      </x:c>
    </x:row>
    <x:row r="247" ht="15" hidden="0" customHeight="1">
      <x:c r="A247" s="13" t="str">
        <x:v>2022-04-20</x:v>
      </x:c>
      <x:c r="B247" s="13" t="n">
        <x:v>0</x:v>
      </x:c>
      <x:c r="C247" s="13" t="n">
        <x:v>0</x:v>
      </x:c>
      <x:c r="D247" s="16" t="n">
        <x:v>0</x:v>
      </x:c>
      <x:c r="E247" s="16" t="n">
        <x:v>0</x:v>
      </x:c>
      <x:c r="F247" s="16" t="n">
        <x:v>0</x:v>
      </x:c>
      <x:c r="G247" s="16" t="n">
        <x:v>0</x:v>
      </x:c>
      <x:c r="H247" s="16" t="n">
        <x:v>0</x:v>
      </x:c>
      <x:c r="I247" s="16" t="n">
        <x:v>1025144.7929578512</x:v>
      </x:c>
      <x:c r="J247" s="16" t="n">
        <x:v>1027390.3764244728</x:v>
      </x:c>
      <x:c r="K247" s="16" t="n">
        <x:v>-2245.583466621465</x:v>
      </x:c>
      <x:c r="L247" s="18" t="n">
        <x:v>-0.0021857158857536</x:v>
      </x:c>
      <x:c r="M247" s="18" t="n">
        <x:v>0</x:v>
      </x:c>
      <x:c r="O247" t="str">
        <x:v>2022-04-20</x:v>
      </x:c>
      <x:c r="P247" t="n">
        <x:v>1025144.7929578512</x:v>
      </x:c>
    </x:row>
    <x:row r="248" ht="15" hidden="0" customHeight="1">
      <x:c r="A248" s="13" t="str">
        <x:v>2022-04-21</x:v>
      </x:c>
      <x:c r="B248" s="13" t="n">
        <x:v>0</x:v>
      </x:c>
      <x:c r="C248" s="13" t="n">
        <x:v>0</x:v>
      </x:c>
      <x:c r="D248" s="16" t="n">
        <x:v>0</x:v>
      </x:c>
      <x:c r="E248" s="16" t="n">
        <x:v>0</x:v>
      </x:c>
      <x:c r="F248" s="16" t="n">
        <x:v>0</x:v>
      </x:c>
      <x:c r="G248" s="16" t="n">
        <x:v>0</x:v>
      </x:c>
      <x:c r="H248" s="16" t="n">
        <x:v>0</x:v>
      </x:c>
      <x:c r="I248" s="16" t="n">
        <x:v>1025144.7929578512</x:v>
      </x:c>
      <x:c r="J248" s="16" t="n">
        <x:v>1027390.3764244728</x:v>
      </x:c>
      <x:c r="K248" s="16" t="n">
        <x:v>-2245.583466621465</x:v>
      </x:c>
      <x:c r="L248" s="18" t="n">
        <x:v>-0.0021857158857536</x:v>
      </x:c>
      <x:c r="M248" s="18" t="n">
        <x:v>0</x:v>
      </x:c>
      <x:c r="O248" t="str">
        <x:v>2022-04-21</x:v>
      </x:c>
      <x:c r="P248" t="n">
        <x:v>1025144.7929578512</x:v>
      </x:c>
    </x:row>
    <x:row r="249" ht="15" hidden="0" customHeight="1">
      <x:c r="A249" s="13" t="str">
        <x:v>2022-04-22</x:v>
      </x:c>
      <x:c r="B249" s="13" t="n">
        <x:v>0</x:v>
      </x:c>
      <x:c r="C249" s="13" t="n">
        <x:v>0</x:v>
      </x:c>
      <x:c r="D249" s="16" t="n">
        <x:v>0</x:v>
      </x:c>
      <x:c r="E249" s="16" t="n">
        <x:v>0</x:v>
      </x:c>
      <x:c r="F249" s="16" t="n">
        <x:v>0</x:v>
      </x:c>
      <x:c r="G249" s="16" t="n">
        <x:v>0</x:v>
      </x:c>
      <x:c r="H249" s="16" t="n">
        <x:v>0</x:v>
      </x:c>
      <x:c r="I249" s="16" t="n">
        <x:v>1025144.7929578512</x:v>
      </x:c>
      <x:c r="J249" s="16" t="n">
        <x:v>1027390.3764244728</x:v>
      </x:c>
      <x:c r="K249" s="16" t="n">
        <x:v>-2245.583466621465</x:v>
      </x:c>
      <x:c r="L249" s="18" t="n">
        <x:v>-0.0021857158857536</x:v>
      </x:c>
      <x:c r="M249" s="18" t="n">
        <x:v>0</x:v>
      </x:c>
      <x:c r="O249" t="str">
        <x:v>2022-04-22</x:v>
      </x:c>
      <x:c r="P249" t="n">
        <x:v>1025144.7929578512</x:v>
      </x:c>
    </x:row>
    <x:row r="250" ht="15" hidden="0" customHeight="1">
      <x:c r="A250" s="13" t="str">
        <x:v>2022-04-25</x:v>
      </x:c>
      <x:c r="B250" s="13" t="n">
        <x:v>0</x:v>
      </x:c>
      <x:c r="C250" s="13" t="n">
        <x:v>0</x:v>
      </x:c>
      <x:c r="D250" s="16" t="n">
        <x:v>0</x:v>
      </x:c>
      <x:c r="E250" s="16" t="n">
        <x:v>0</x:v>
      </x:c>
      <x:c r="F250" s="16" t="n">
        <x:v>0</x:v>
      </x:c>
      <x:c r="G250" s="16" t="n">
        <x:v>0</x:v>
      </x:c>
      <x:c r="H250" s="16" t="n">
        <x:v>0</x:v>
      </x:c>
      <x:c r="I250" s="16" t="n">
        <x:v>1025144.7929578512</x:v>
      </x:c>
      <x:c r="J250" s="16" t="n">
        <x:v>1027390.3764244728</x:v>
      </x:c>
      <x:c r="K250" s="16" t="n">
        <x:v>-2245.583466621465</x:v>
      </x:c>
      <x:c r="L250" s="18" t="n">
        <x:v>-0.0021857158857536</x:v>
      </x:c>
      <x:c r="M250" s="18" t="n">
        <x:v>0</x:v>
      </x:c>
      <x:c r="O250" t="str">
        <x:v>2022-04-25</x:v>
      </x:c>
      <x:c r="P250" t="n">
        <x:v>1025144.7929578512</x:v>
      </x:c>
    </x:row>
    <x:row r="251" ht="15" hidden="0" customHeight="1">
      <x:c r="A251" s="13" t="str">
        <x:v>2022-04-26</x:v>
      </x:c>
      <x:c r="B251" s="13" t="n">
        <x:v>0</x:v>
      </x:c>
      <x:c r="C251" s="13" t="n">
        <x:v>0</x:v>
      </x:c>
      <x:c r="D251" s="16" t="n">
        <x:v>0</x:v>
      </x:c>
      <x:c r="E251" s="16" t="n">
        <x:v>0</x:v>
      </x:c>
      <x:c r="F251" s="16" t="n">
        <x:v>0</x:v>
      </x:c>
      <x:c r="G251" s="16" t="n">
        <x:v>0</x:v>
      </x:c>
      <x:c r="H251" s="16" t="n">
        <x:v>0</x:v>
      </x:c>
      <x:c r="I251" s="16" t="n">
        <x:v>1025144.7929578512</x:v>
      </x:c>
      <x:c r="J251" s="16" t="n">
        <x:v>1027390.3764244728</x:v>
      </x:c>
      <x:c r="K251" s="16" t="n">
        <x:v>-2245.583466621465</x:v>
      </x:c>
      <x:c r="L251" s="18" t="n">
        <x:v>-0.0021857158857536</x:v>
      </x:c>
      <x:c r="M251" s="18" t="n">
        <x:v>0</x:v>
      </x:c>
      <x:c r="O251" t="str">
        <x:v>2022-04-26</x:v>
      </x:c>
      <x:c r="P251" t="n">
        <x:v>1025144.7929578512</x:v>
      </x:c>
    </x:row>
    <x:row r="252" ht="15" hidden="0" customHeight="1">
      <x:c r="A252" s="13" t="str">
        <x:v>2022-04-27</x:v>
      </x:c>
      <x:c r="B252" s="13" t="n">
        <x:v>0</x:v>
      </x:c>
      <x:c r="C252" s="13" t="n">
        <x:v>0</x:v>
      </x:c>
      <x:c r="D252" s="16" t="n">
        <x:v>0</x:v>
      </x:c>
      <x:c r="E252" s="16" t="n">
        <x:v>0</x:v>
      </x:c>
      <x:c r="F252" s="16" t="n">
        <x:v>0</x:v>
      </x:c>
      <x:c r="G252" s="16" t="n">
        <x:v>0</x:v>
      </x:c>
      <x:c r="H252" s="16" t="n">
        <x:v>0</x:v>
      </x:c>
      <x:c r="I252" s="16" t="n">
        <x:v>1025144.7929578512</x:v>
      </x:c>
      <x:c r="J252" s="16" t="n">
        <x:v>1027390.3764244728</x:v>
      </x:c>
      <x:c r="K252" s="16" t="n">
        <x:v>-2245.583466621465</x:v>
      </x:c>
      <x:c r="L252" s="18" t="n">
        <x:v>-0.0021857158857536</x:v>
      </x:c>
      <x:c r="M252" s="18" t="n">
        <x:v>0</x:v>
      </x:c>
      <x:c r="O252" t="str">
        <x:v>2022-04-27</x:v>
      </x:c>
      <x:c r="P252" t="n">
        <x:v>1025144.7929578512</x:v>
      </x:c>
    </x:row>
    <x:row r="253" ht="15" hidden="0" customHeight="1">
      <x:c r="A253" s="13" t="str">
        <x:v>2022-04-28</x:v>
      </x:c>
      <x:c r="B253" s="13" t="n">
        <x:v>1</x:v>
      </x:c>
      <x:c r="C253" s="13" t="n">
        <x:v>7</x:v>
      </x:c>
      <x:c r="D253" s="16" t="n">
        <x:v>-2695.000000000001</x:v>
      </x:c>
      <x:c r="E253" s="16" t="n">
        <x:v>430.9595879088328</x:v>
      </x:c>
      <x:c r="F253" s="16" t="n">
        <x:v>-3125.959587908834</x:v>
      </x:c>
      <x:c r="G253" s="16" t="n">
        <x:v>38698.82979713447</x:v>
      </x:c>
      <x:c r="H253" s="16" t="n">
        <x:v>293262.0766389842</x:v>
      </x:c>
      <x:c r="I253" s="16" t="n">
        <x:v>1022018.8333699424</x:v>
      </x:c>
      <x:c r="J253" s="16" t="n">
        <x:v>1027390.3764244728</x:v>
      </x:c>
      <x:c r="K253" s="16" t="n">
        <x:v>-5371.543054530281</x:v>
      </x:c>
      <x:c r="L253" s="18" t="n">
        <x:v>-0.0052283369377318</x:v>
      </x:c>
      <x:c r="M253" s="18" t="n">
        <x:v>-0.0030492859246638</x:v>
      </x:c>
      <x:c r="O253" t="str">
        <x:v>2022-04-28</x:v>
      </x:c>
      <x:c r="P253" t="n">
        <x:v>1022018.8333699424</x:v>
      </x:c>
    </x:row>
    <x:row r="254" ht="15" hidden="0" customHeight="1">
      <x:c r="A254" s="13" t="str">
        <x:v>2022-04-29</x:v>
      </x:c>
      <x:c r="B254" s="13" t="n">
        <x:v>0</x:v>
      </x:c>
      <x:c r="C254" s="13" t="n">
        <x:v>0</x:v>
      </x:c>
      <x:c r="D254" s="16" t="n">
        <x:v>0</x:v>
      </x:c>
      <x:c r="E254" s="16" t="n">
        <x:v>0</x:v>
      </x:c>
      <x:c r="F254" s="16" t="n">
        <x:v>0</x:v>
      </x:c>
      <x:c r="G254" s="16" t="n">
        <x:v>0</x:v>
      </x:c>
      <x:c r="H254" s="16" t="n">
        <x:v>0</x:v>
      </x:c>
      <x:c r="I254" s="16" t="n">
        <x:v>1022018.8333699424</x:v>
      </x:c>
      <x:c r="J254" s="16" t="n">
        <x:v>1027390.3764244728</x:v>
      </x:c>
      <x:c r="K254" s="16" t="n">
        <x:v>-5371.543054530281</x:v>
      </x:c>
      <x:c r="L254" s="18" t="n">
        <x:v>-0.0052283369377318</x:v>
      </x:c>
      <x:c r="M254" s="18" t="n">
        <x:v>0</x:v>
      </x:c>
      <x:c r="O254" t="str">
        <x:v>2022-04-29</x:v>
      </x:c>
      <x:c r="P254" t="n">
        <x:v>1022018.8333699424</x:v>
      </x:c>
    </x:row>
    <x:row r="255" ht="15" hidden="0" customHeight="1">
      <x:c r="A255" s="13" t="str">
        <x:v>2022-05-02</x:v>
      </x:c>
      <x:c r="B255" s="13" t="n">
        <x:v>0</x:v>
      </x:c>
      <x:c r="C255" s="13" t="n">
        <x:v>0</x:v>
      </x:c>
      <x:c r="D255" s="16" t="n">
        <x:v>0</x:v>
      </x:c>
      <x:c r="E255" s="16" t="n">
        <x:v>0</x:v>
      </x:c>
      <x:c r="F255" s="16" t="n">
        <x:v>0</x:v>
      </x:c>
      <x:c r="G255" s="16" t="n">
        <x:v>0</x:v>
      </x:c>
      <x:c r="H255" s="16" t="n">
        <x:v>0</x:v>
      </x:c>
      <x:c r="I255" s="16" t="n">
        <x:v>1022018.8333699424</x:v>
      </x:c>
      <x:c r="J255" s="16" t="n">
        <x:v>1027390.3764244728</x:v>
      </x:c>
      <x:c r="K255" s="16" t="n">
        <x:v>-5371.543054530281</x:v>
      </x:c>
      <x:c r="L255" s="18" t="n">
        <x:v>-0.0052283369377318</x:v>
      </x:c>
      <x:c r="M255" s="18" t="n">
        <x:v>0</x:v>
      </x:c>
      <x:c r="O255" t="str">
        <x:v>2022-05-02</x:v>
      </x:c>
      <x:c r="P255" t="n">
        <x:v>1022018.8333699424</x:v>
      </x:c>
    </x:row>
    <x:row r="256" ht="15" hidden="0" customHeight="1">
      <x:c r="A256" s="13" t="str">
        <x:v>2022-05-03</x:v>
      </x:c>
      <x:c r="B256" s="13" t="n">
        <x:v>0</x:v>
      </x:c>
      <x:c r="C256" s="13" t="n">
        <x:v>0</x:v>
      </x:c>
      <x:c r="D256" s="16" t="n">
        <x:v>0</x:v>
      </x:c>
      <x:c r="E256" s="16" t="n">
        <x:v>0</x:v>
      </x:c>
      <x:c r="F256" s="16" t="n">
        <x:v>0</x:v>
      </x:c>
      <x:c r="G256" s="16" t="n">
        <x:v>0</x:v>
      </x:c>
      <x:c r="H256" s="16" t="n">
        <x:v>0</x:v>
      </x:c>
      <x:c r="I256" s="16" t="n">
        <x:v>1022018.8333699424</x:v>
      </x:c>
      <x:c r="J256" s="16" t="n">
        <x:v>1027390.3764244728</x:v>
      </x:c>
      <x:c r="K256" s="16" t="n">
        <x:v>-5371.543054530281</x:v>
      </x:c>
      <x:c r="L256" s="18" t="n">
        <x:v>-0.0052283369377318</x:v>
      </x:c>
      <x:c r="M256" s="18" t="n">
        <x:v>0</x:v>
      </x:c>
      <x:c r="O256" t="str">
        <x:v>2022-05-03</x:v>
      </x:c>
      <x:c r="P256" t="n">
        <x:v>1022018.8333699424</x:v>
      </x:c>
    </x:row>
    <x:row r="257" ht="15" hidden="0" customHeight="1">
      <x:c r="A257" s="13" t="str">
        <x:v>2022-05-04</x:v>
      </x:c>
      <x:c r="B257" s="13" t="n">
        <x:v>0</x:v>
      </x:c>
      <x:c r="C257" s="13" t="n">
        <x:v>0</x:v>
      </x:c>
      <x:c r="D257" s="16" t="n">
        <x:v>0</x:v>
      </x:c>
      <x:c r="E257" s="16" t="n">
        <x:v>0</x:v>
      </x:c>
      <x:c r="F257" s="16" t="n">
        <x:v>0</x:v>
      </x:c>
      <x:c r="G257" s="16" t="n">
        <x:v>0</x:v>
      </x:c>
      <x:c r="H257" s="16" t="n">
        <x:v>0</x:v>
      </x:c>
      <x:c r="I257" s="16" t="n">
        <x:v>1022018.8333699424</x:v>
      </x:c>
      <x:c r="J257" s="16" t="n">
        <x:v>1027390.3764244728</x:v>
      </x:c>
      <x:c r="K257" s="16" t="n">
        <x:v>-5371.543054530281</x:v>
      </x:c>
      <x:c r="L257" s="18" t="n">
        <x:v>-0.0052283369377318</x:v>
      </x:c>
      <x:c r="M257" s="18" t="n">
        <x:v>0</x:v>
      </x:c>
      <x:c r="O257" t="str">
        <x:v>2022-05-04</x:v>
      </x:c>
      <x:c r="P257" t="n">
        <x:v>1022018.8333699424</x:v>
      </x:c>
    </x:row>
    <x:row r="258" ht="15" hidden="0" customHeight="1">
      <x:c r="A258" s="13" t="str">
        <x:v>2022-05-05</x:v>
      </x:c>
      <x:c r="B258" s="13" t="n">
        <x:v>0</x:v>
      </x:c>
      <x:c r="C258" s="13" t="n">
        <x:v>0</x:v>
      </x:c>
      <x:c r="D258" s="16" t="n">
        <x:v>0</x:v>
      </x:c>
      <x:c r="E258" s="16" t="n">
        <x:v>0</x:v>
      </x:c>
      <x:c r="F258" s="16" t="n">
        <x:v>0</x:v>
      </x:c>
      <x:c r="G258" s="16" t="n">
        <x:v>0</x:v>
      </x:c>
      <x:c r="H258" s="16" t="n">
        <x:v>0</x:v>
      </x:c>
      <x:c r="I258" s="16" t="n">
        <x:v>1022018.8333699424</x:v>
      </x:c>
      <x:c r="J258" s="16" t="n">
        <x:v>1027390.3764244728</x:v>
      </x:c>
      <x:c r="K258" s="16" t="n">
        <x:v>-5371.543054530281</x:v>
      </x:c>
      <x:c r="L258" s="18" t="n">
        <x:v>-0.0052283369377318</x:v>
      </x:c>
      <x:c r="M258" s="18" t="n">
        <x:v>0</x:v>
      </x:c>
      <x:c r="O258" t="str">
        <x:v>2022-05-05</x:v>
      </x:c>
      <x:c r="P258" t="n">
        <x:v>1022018.8333699424</x:v>
      </x:c>
    </x:row>
    <x:row r="259" ht="15" hidden="0" customHeight="1">
      <x:c r="A259" s="13" t="str">
        <x:v>2022-05-06</x:v>
      </x:c>
      <x:c r="B259" s="13" t="n">
        <x:v>0</x:v>
      </x:c>
      <x:c r="C259" s="13" t="n">
        <x:v>0</x:v>
      </x:c>
      <x:c r="D259" s="16" t="n">
        <x:v>0</x:v>
      </x:c>
      <x:c r="E259" s="16" t="n">
        <x:v>0</x:v>
      </x:c>
      <x:c r="F259" s="16" t="n">
        <x:v>0</x:v>
      </x:c>
      <x:c r="G259" s="16" t="n">
        <x:v>0</x:v>
      </x:c>
      <x:c r="H259" s="16" t="n">
        <x:v>0</x:v>
      </x:c>
      <x:c r="I259" s="16" t="n">
        <x:v>1022018.8333699424</x:v>
      </x:c>
      <x:c r="J259" s="16" t="n">
        <x:v>1027390.3764244728</x:v>
      </x:c>
      <x:c r="K259" s="16" t="n">
        <x:v>-5371.543054530281</x:v>
      </x:c>
      <x:c r="L259" s="18" t="n">
        <x:v>-0.0052283369377318</x:v>
      </x:c>
      <x:c r="M259" s="18" t="n">
        <x:v>0</x:v>
      </x:c>
      <x:c r="O259" t="str">
        <x:v>2022-05-06</x:v>
      </x:c>
      <x:c r="P259" t="n">
        <x:v>1022018.8333699424</x:v>
      </x:c>
    </x:row>
    <x:row r="260" ht="15" hidden="0" customHeight="1">
      <x:c r="A260" s="13" t="str">
        <x:v>2022-05-09</x:v>
      </x:c>
      <x:c r="B260" s="13" t="n">
        <x:v>0</x:v>
      </x:c>
      <x:c r="C260" s="13" t="n">
        <x:v>0</x:v>
      </x:c>
      <x:c r="D260" s="16" t="n">
        <x:v>0</x:v>
      </x:c>
      <x:c r="E260" s="16" t="n">
        <x:v>0</x:v>
      </x:c>
      <x:c r="F260" s="16" t="n">
        <x:v>0</x:v>
      </x:c>
      <x:c r="G260" s="16" t="n">
        <x:v>0</x:v>
      </x:c>
      <x:c r="H260" s="16" t="n">
        <x:v>0</x:v>
      </x:c>
      <x:c r="I260" s="16" t="n">
        <x:v>1022018.8333699424</x:v>
      </x:c>
      <x:c r="J260" s="16" t="n">
        <x:v>1027390.3764244728</x:v>
      </x:c>
      <x:c r="K260" s="16" t="n">
        <x:v>-5371.543054530281</x:v>
      </x:c>
      <x:c r="L260" s="18" t="n">
        <x:v>-0.0052283369377318</x:v>
      </x:c>
      <x:c r="M260" s="18" t="n">
        <x:v>0</x:v>
      </x:c>
      <x:c r="O260" t="str">
        <x:v>2022-05-09</x:v>
      </x:c>
      <x:c r="P260" t="n">
        <x:v>1022018.8333699424</x:v>
      </x:c>
    </x:row>
    <x:row r="261" ht="15" hidden="0" customHeight="1">
      <x:c r="A261" s="13" t="str">
        <x:v>2022-05-10</x:v>
      </x:c>
      <x:c r="B261" s="13" t="n">
        <x:v>0</x:v>
      </x:c>
      <x:c r="C261" s="13" t="n">
        <x:v>0</x:v>
      </x:c>
      <x:c r="D261" s="16" t="n">
        <x:v>0</x:v>
      </x:c>
      <x:c r="E261" s="16" t="n">
        <x:v>0</x:v>
      </x:c>
      <x:c r="F261" s="16" t="n">
        <x:v>0</x:v>
      </x:c>
      <x:c r="G261" s="16" t="n">
        <x:v>0</x:v>
      </x:c>
      <x:c r="H261" s="16" t="n">
        <x:v>0</x:v>
      </x:c>
      <x:c r="I261" s="16" t="n">
        <x:v>1022018.8333699424</x:v>
      </x:c>
      <x:c r="J261" s="16" t="n">
        <x:v>1027390.3764244728</x:v>
      </x:c>
      <x:c r="K261" s="16" t="n">
        <x:v>-5371.543054530281</x:v>
      </x:c>
      <x:c r="L261" s="18" t="n">
        <x:v>-0.0052283369377318</x:v>
      </x:c>
      <x:c r="M261" s="18" t="n">
        <x:v>0</x:v>
      </x:c>
      <x:c r="O261" t="str">
        <x:v>2022-05-10</x:v>
      </x:c>
      <x:c r="P261" t="n">
        <x:v>1022018.8333699424</x:v>
      </x:c>
    </x:row>
    <x:row r="262" ht="15" hidden="0" customHeight="1">
      <x:c r="A262" s="13" t="str">
        <x:v>2022-05-11</x:v>
      </x:c>
      <x:c r="B262" s="13" t="n">
        <x:v>0</x:v>
      </x:c>
      <x:c r="C262" s="13" t="n">
        <x:v>0</x:v>
      </x:c>
      <x:c r="D262" s="16" t="n">
        <x:v>0</x:v>
      </x:c>
      <x:c r="E262" s="16" t="n">
        <x:v>0</x:v>
      </x:c>
      <x:c r="F262" s="16" t="n">
        <x:v>0</x:v>
      </x:c>
      <x:c r="G262" s="16" t="n">
        <x:v>0</x:v>
      </x:c>
      <x:c r="H262" s="16" t="n">
        <x:v>0</x:v>
      </x:c>
      <x:c r="I262" s="16" t="n">
        <x:v>1022018.8333699424</x:v>
      </x:c>
      <x:c r="J262" s="16" t="n">
        <x:v>1027390.3764244728</x:v>
      </x:c>
      <x:c r="K262" s="16" t="n">
        <x:v>-5371.543054530281</x:v>
      </x:c>
      <x:c r="L262" s="18" t="n">
        <x:v>-0.0052283369377318</x:v>
      </x:c>
      <x:c r="M262" s="18" t="n">
        <x:v>0</x:v>
      </x:c>
      <x:c r="O262" t="str">
        <x:v>2022-05-11</x:v>
      </x:c>
      <x:c r="P262" t="n">
        <x:v>1022018.8333699424</x:v>
      </x:c>
    </x:row>
    <x:row r="263" ht="15" hidden="0" customHeight="1">
      <x:c r="A263" s="13" t="str">
        <x:v>2022-05-12</x:v>
      </x:c>
      <x:c r="B263" s="13" t="n">
        <x:v>0</x:v>
      </x:c>
      <x:c r="C263" s="13" t="n">
        <x:v>0</x:v>
      </x:c>
      <x:c r="D263" s="16" t="n">
        <x:v>0</x:v>
      </x:c>
      <x:c r="E263" s="16" t="n">
        <x:v>0</x:v>
      </x:c>
      <x:c r="F263" s="16" t="n">
        <x:v>0</x:v>
      </x:c>
      <x:c r="G263" s="16" t="n">
        <x:v>0</x:v>
      </x:c>
      <x:c r="H263" s="16" t="n">
        <x:v>0</x:v>
      </x:c>
      <x:c r="I263" s="16" t="n">
        <x:v>1022018.8333699424</x:v>
      </x:c>
      <x:c r="J263" s="16" t="n">
        <x:v>1027390.3764244728</x:v>
      </x:c>
      <x:c r="K263" s="16" t="n">
        <x:v>-5371.543054530281</x:v>
      </x:c>
      <x:c r="L263" s="18" t="n">
        <x:v>-0.0052283369377318</x:v>
      </x:c>
      <x:c r="M263" s="18" t="n">
        <x:v>0</x:v>
      </x:c>
      <x:c r="O263" t="str">
        <x:v>2022-05-12</x:v>
      </x:c>
      <x:c r="P263" t="n">
        <x:v>1022018.8333699424</x:v>
      </x:c>
    </x:row>
    <x:row r="264" ht="15" hidden="0" customHeight="1">
      <x:c r="A264" s="13" t="str">
        <x:v>2022-05-13</x:v>
      </x:c>
      <x:c r="B264" s="13" t="n">
        <x:v>0</x:v>
      </x:c>
      <x:c r="C264" s="13" t="n">
        <x:v>0</x:v>
      </x:c>
      <x:c r="D264" s="16" t="n">
        <x:v>0</x:v>
      </x:c>
      <x:c r="E264" s="16" t="n">
        <x:v>0</x:v>
      </x:c>
      <x:c r="F264" s="16" t="n">
        <x:v>0</x:v>
      </x:c>
      <x:c r="G264" s="16" t="n">
        <x:v>0</x:v>
      </x:c>
      <x:c r="H264" s="16" t="n">
        <x:v>0</x:v>
      </x:c>
      <x:c r="I264" s="16" t="n">
        <x:v>1022018.8333699424</x:v>
      </x:c>
      <x:c r="J264" s="16" t="n">
        <x:v>1027390.3764244728</x:v>
      </x:c>
      <x:c r="K264" s="16" t="n">
        <x:v>-5371.543054530281</x:v>
      </x:c>
      <x:c r="L264" s="18" t="n">
        <x:v>-0.0052283369377318</x:v>
      </x:c>
      <x:c r="M264" s="18" t="n">
        <x:v>0</x:v>
      </x:c>
      <x:c r="O264" t="str">
        <x:v>2022-05-13</x:v>
      </x:c>
      <x:c r="P264" t="n">
        <x:v>1022018.8333699424</x:v>
      </x:c>
    </x:row>
    <x:row r="265" ht="15" hidden="0" customHeight="1">
      <x:c r="A265" s="13" t="str">
        <x:v>2022-05-16</x:v>
      </x:c>
      <x:c r="B265" s="13" t="n">
        <x:v>0</x:v>
      </x:c>
      <x:c r="C265" s="13" t="n">
        <x:v>0</x:v>
      </x:c>
      <x:c r="D265" s="16" t="n">
        <x:v>0</x:v>
      </x:c>
      <x:c r="E265" s="16" t="n">
        <x:v>0</x:v>
      </x:c>
      <x:c r="F265" s="16" t="n">
        <x:v>0</x:v>
      </x:c>
      <x:c r="G265" s="16" t="n">
        <x:v>0</x:v>
      </x:c>
      <x:c r="H265" s="16" t="n">
        <x:v>0</x:v>
      </x:c>
      <x:c r="I265" s="16" t="n">
        <x:v>1022018.8333699424</x:v>
      </x:c>
      <x:c r="J265" s="16" t="n">
        <x:v>1027390.3764244728</x:v>
      </x:c>
      <x:c r="K265" s="16" t="n">
        <x:v>-5371.543054530281</x:v>
      </x:c>
      <x:c r="L265" s="18" t="n">
        <x:v>-0.0052283369377318</x:v>
      </x:c>
      <x:c r="M265" s="18" t="n">
        <x:v>0</x:v>
      </x:c>
      <x:c r="O265" t="str">
        <x:v>2022-05-16</x:v>
      </x:c>
      <x:c r="P265" t="n">
        <x:v>1022018.8333699424</x:v>
      </x:c>
    </x:row>
    <x:row r="266" ht="15" hidden="0" customHeight="1">
      <x:c r="A266" s="13" t="str">
        <x:v>2022-05-17</x:v>
      </x:c>
      <x:c r="B266" s="13" t="n">
        <x:v>0</x:v>
      </x:c>
      <x:c r="C266" s="13" t="n">
        <x:v>0</x:v>
      </x:c>
      <x:c r="D266" s="16" t="n">
        <x:v>0</x:v>
      </x:c>
      <x:c r="E266" s="16" t="n">
        <x:v>0</x:v>
      </x:c>
      <x:c r="F266" s="16" t="n">
        <x:v>0</x:v>
      </x:c>
      <x:c r="G266" s="16" t="n">
        <x:v>0</x:v>
      </x:c>
      <x:c r="H266" s="16" t="n">
        <x:v>0</x:v>
      </x:c>
      <x:c r="I266" s="16" t="n">
        <x:v>1022018.8333699424</x:v>
      </x:c>
      <x:c r="J266" s="16" t="n">
        <x:v>1027390.3764244728</x:v>
      </x:c>
      <x:c r="K266" s="16" t="n">
        <x:v>-5371.543054530281</x:v>
      </x:c>
      <x:c r="L266" s="18" t="n">
        <x:v>-0.0052283369377318</x:v>
      </x:c>
      <x:c r="M266" s="18" t="n">
        <x:v>0</x:v>
      </x:c>
      <x:c r="O266" t="str">
        <x:v>2022-05-17</x:v>
      </x:c>
      <x:c r="P266" t="n">
        <x:v>1022018.8333699424</x:v>
      </x:c>
    </x:row>
    <x:row r="267" ht="15" hidden="0" customHeight="1">
      <x:c r="A267" s="13" t="str">
        <x:v>2022-05-18</x:v>
      </x:c>
      <x:c r="B267" s="13" t="n">
        <x:v>0</x:v>
      </x:c>
      <x:c r="C267" s="13" t="n">
        <x:v>0</x:v>
      </x:c>
      <x:c r="D267" s="16" t="n">
        <x:v>0</x:v>
      </x:c>
      <x:c r="E267" s="16" t="n">
        <x:v>0</x:v>
      </x:c>
      <x:c r="F267" s="16" t="n">
        <x:v>0</x:v>
      </x:c>
      <x:c r="G267" s="16" t="n">
        <x:v>0</x:v>
      </x:c>
      <x:c r="H267" s="16" t="n">
        <x:v>0</x:v>
      </x:c>
      <x:c r="I267" s="16" t="n">
        <x:v>1022018.8333699424</x:v>
      </x:c>
      <x:c r="J267" s="16" t="n">
        <x:v>1027390.3764244728</x:v>
      </x:c>
      <x:c r="K267" s="16" t="n">
        <x:v>-5371.543054530281</x:v>
      </x:c>
      <x:c r="L267" s="18" t="n">
        <x:v>-0.0052283369377318</x:v>
      </x:c>
      <x:c r="M267" s="18" t="n">
        <x:v>0</x:v>
      </x:c>
      <x:c r="O267" t="str">
        <x:v>2022-05-18</x:v>
      </x:c>
      <x:c r="P267" t="n">
        <x:v>1022018.8333699424</x:v>
      </x:c>
    </x:row>
    <x:row r="268" ht="15" hidden="0" customHeight="1">
      <x:c r="A268" s="13" t="str">
        <x:v>2022-05-19</x:v>
      </x:c>
      <x:c r="B268" s="13" t="n">
        <x:v>0</x:v>
      </x:c>
      <x:c r="C268" s="13" t="n">
        <x:v>0</x:v>
      </x:c>
      <x:c r="D268" s="16" t="n">
        <x:v>0</x:v>
      </x:c>
      <x:c r="E268" s="16" t="n">
        <x:v>0</x:v>
      </x:c>
      <x:c r="F268" s="16" t="n">
        <x:v>0</x:v>
      </x:c>
      <x:c r="G268" s="16" t="n">
        <x:v>0</x:v>
      </x:c>
      <x:c r="H268" s="16" t="n">
        <x:v>0</x:v>
      </x:c>
      <x:c r="I268" s="16" t="n">
        <x:v>1022018.8333699424</x:v>
      </x:c>
      <x:c r="J268" s="16" t="n">
        <x:v>1027390.3764244728</x:v>
      </x:c>
      <x:c r="K268" s="16" t="n">
        <x:v>-5371.543054530281</x:v>
      </x:c>
      <x:c r="L268" s="18" t="n">
        <x:v>-0.0052283369377318</x:v>
      </x:c>
      <x:c r="M268" s="18" t="n">
        <x:v>0</x:v>
      </x:c>
      <x:c r="O268" t="str">
        <x:v>2022-05-19</x:v>
      </x:c>
      <x:c r="P268" t="n">
        <x:v>1022018.8333699424</x:v>
      </x:c>
    </x:row>
    <x:row r="269" ht="15" hidden="0" customHeight="1">
      <x:c r="A269" s="13" t="str">
        <x:v>2022-05-20</x:v>
      </x:c>
      <x:c r="B269" s="13" t="n">
        <x:v>0</x:v>
      </x:c>
      <x:c r="C269" s="13" t="n">
        <x:v>0</x:v>
      </x:c>
      <x:c r="D269" s="16" t="n">
        <x:v>0</x:v>
      </x:c>
      <x:c r="E269" s="16" t="n">
        <x:v>0</x:v>
      </x:c>
      <x:c r="F269" s="16" t="n">
        <x:v>0</x:v>
      </x:c>
      <x:c r="G269" s="16" t="n">
        <x:v>0</x:v>
      </x:c>
      <x:c r="H269" s="16" t="n">
        <x:v>0</x:v>
      </x:c>
      <x:c r="I269" s="16" t="n">
        <x:v>1022018.8333699424</x:v>
      </x:c>
      <x:c r="J269" s="16" t="n">
        <x:v>1027390.3764244728</x:v>
      </x:c>
      <x:c r="K269" s="16" t="n">
        <x:v>-5371.543054530281</x:v>
      </x:c>
      <x:c r="L269" s="18" t="n">
        <x:v>-0.0052283369377318</x:v>
      </x:c>
      <x:c r="M269" s="18" t="n">
        <x:v>0</x:v>
      </x:c>
      <x:c r="O269" t="str">
        <x:v>2022-05-20</x:v>
      </x:c>
      <x:c r="P269" t="n">
        <x:v>1022018.8333699424</x:v>
      </x:c>
    </x:row>
    <x:row r="270" ht="15" hidden="0" customHeight="1">
      <x:c r="A270" s="13" t="str">
        <x:v>2022-05-23</x:v>
      </x:c>
      <x:c r="B270" s="13" t="n">
        <x:v>0</x:v>
      </x:c>
      <x:c r="C270" s="13" t="n">
        <x:v>0</x:v>
      </x:c>
      <x:c r="D270" s="16" t="n">
        <x:v>0</x:v>
      </x:c>
      <x:c r="E270" s="16" t="n">
        <x:v>0</x:v>
      </x:c>
      <x:c r="F270" s="16" t="n">
        <x:v>0</x:v>
      </x:c>
      <x:c r="G270" s="16" t="n">
        <x:v>0</x:v>
      </x:c>
      <x:c r="H270" s="16" t="n">
        <x:v>0</x:v>
      </x:c>
      <x:c r="I270" s="16" t="n">
        <x:v>1022018.8333699424</x:v>
      </x:c>
      <x:c r="J270" s="16" t="n">
        <x:v>1027390.3764244728</x:v>
      </x:c>
      <x:c r="K270" s="16" t="n">
        <x:v>-5371.543054530281</x:v>
      </x:c>
      <x:c r="L270" s="18" t="n">
        <x:v>-0.0052283369377318</x:v>
      </x:c>
      <x:c r="M270" s="18" t="n">
        <x:v>0</x:v>
      </x:c>
      <x:c r="O270" t="str">
        <x:v>2022-05-23</x:v>
      </x:c>
      <x:c r="P270" t="n">
        <x:v>1022018.8333699424</x:v>
      </x:c>
    </x:row>
    <x:row r="271" ht="15" hidden="0" customHeight="1">
      <x:c r="A271" s="13" t="str">
        <x:v>2022-05-24</x:v>
      </x:c>
      <x:c r="B271" s="13" t="n">
        <x:v>0</x:v>
      </x:c>
      <x:c r="C271" s="13" t="n">
        <x:v>0</x:v>
      </x:c>
      <x:c r="D271" s="16" t="n">
        <x:v>0</x:v>
      </x:c>
      <x:c r="E271" s="16" t="n">
        <x:v>0</x:v>
      </x:c>
      <x:c r="F271" s="16" t="n">
        <x:v>0</x:v>
      </x:c>
      <x:c r="G271" s="16" t="n">
        <x:v>0</x:v>
      </x:c>
      <x:c r="H271" s="16" t="n">
        <x:v>0</x:v>
      </x:c>
      <x:c r="I271" s="16" t="n">
        <x:v>1022018.8333699424</x:v>
      </x:c>
      <x:c r="J271" s="16" t="n">
        <x:v>1027390.3764244728</x:v>
      </x:c>
      <x:c r="K271" s="16" t="n">
        <x:v>-5371.543054530281</x:v>
      </x:c>
      <x:c r="L271" s="18" t="n">
        <x:v>-0.0052283369377318</x:v>
      </x:c>
      <x:c r="M271" s="18" t="n">
        <x:v>0</x:v>
      </x:c>
      <x:c r="O271" t="str">
        <x:v>2022-05-24</x:v>
      </x:c>
      <x:c r="P271" t="n">
        <x:v>1022018.8333699424</x:v>
      </x:c>
    </x:row>
    <x:row r="272" ht="15" hidden="0" customHeight="1">
      <x:c r="A272" s="13" t="str">
        <x:v>2022-05-25</x:v>
      </x:c>
      <x:c r="B272" s="13" t="n">
        <x:v>0</x:v>
      </x:c>
      <x:c r="C272" s="13" t="n">
        <x:v>0</x:v>
      </x:c>
      <x:c r="D272" s="16" t="n">
        <x:v>0</x:v>
      </x:c>
      <x:c r="E272" s="16" t="n">
        <x:v>0</x:v>
      </x:c>
      <x:c r="F272" s="16" t="n">
        <x:v>0</x:v>
      </x:c>
      <x:c r="G272" s="16" t="n">
        <x:v>0</x:v>
      </x:c>
      <x:c r="H272" s="16" t="n">
        <x:v>0</x:v>
      </x:c>
      <x:c r="I272" s="16" t="n">
        <x:v>1022018.8333699424</x:v>
      </x:c>
      <x:c r="J272" s="16" t="n">
        <x:v>1027390.3764244728</x:v>
      </x:c>
      <x:c r="K272" s="16" t="n">
        <x:v>-5371.543054530281</x:v>
      </x:c>
      <x:c r="L272" s="18" t="n">
        <x:v>-0.0052283369377318</x:v>
      </x:c>
      <x:c r="M272" s="18" t="n">
        <x:v>0</x:v>
      </x:c>
      <x:c r="O272" t="str">
        <x:v>2022-05-25</x:v>
      </x:c>
      <x:c r="P272" t="n">
        <x:v>1022018.8333699424</x:v>
      </x:c>
    </x:row>
    <x:row r="273" ht="15" hidden="0" customHeight="1">
      <x:c r="A273" s="13" t="str">
        <x:v>2022-05-26</x:v>
      </x:c>
      <x:c r="B273" s="13" t="n">
        <x:v>1</x:v>
      </x:c>
      <x:c r="C273" s="13" t="n">
        <x:v>8</x:v>
      </x:c>
      <x:c r="D273" s="16" t="n">
        <x:v>9719.999999999998</x:v>
      </x:c>
      <x:c r="E273" s="16" t="n">
        <x:v>560.9440208788264</x:v>
      </x:c>
      <x:c r="F273" s="16" t="n">
        <x:v>9159.05597912117</x:v>
      </x:c>
      <x:c r="G273" s="16" t="n">
        <x:v>62705.80608905319</x:v>
      </x:c>
      <x:c r="H273" s="16" t="n">
        <x:v>321590.4072490079</x:v>
      </x:c>
      <x:c r="I273" s="16" t="n">
        <x:v>1031177.8893490636</x:v>
      </x:c>
      <x:c r="J273" s="16" t="n">
        <x:v>1031177.8893490636</x:v>
      </x:c>
      <x:c r="K273" s="16" t="n">
        <x:v>0</x:v>
      </x:c>
      <x:c r="L273" s="18" t="n">
        <x:v>0</x:v>
      </x:c>
      <x:c r="M273" s="18" t="n">
        <x:v>0.0089617291580827</x:v>
      </x:c>
      <x:c r="O273" t="str">
        <x:v>2022-05-26</x:v>
      </x:c>
      <x:c r="P273" t="n">
        <x:v>1031177.8893490636</x:v>
      </x:c>
    </x:row>
    <x:row r="274" ht="15" hidden="0" customHeight="1">
      <x:c r="A274" s="13" t="str">
        <x:v>2022-05-27</x:v>
      </x:c>
      <x:c r="B274" s="13" t="n">
        <x:v>0</x:v>
      </x:c>
      <x:c r="C274" s="13" t="n">
        <x:v>0</x:v>
      </x:c>
      <x:c r="D274" s="16" t="n">
        <x:v>0</x:v>
      </x:c>
      <x:c r="E274" s="16" t="n">
        <x:v>0</x:v>
      </x:c>
      <x:c r="F274" s="16" t="n">
        <x:v>0</x:v>
      </x:c>
      <x:c r="G274" s="16" t="n">
        <x:v>0</x:v>
      </x:c>
      <x:c r="H274" s="16" t="n">
        <x:v>0</x:v>
      </x:c>
      <x:c r="I274" s="16" t="n">
        <x:v>1031177.8893490636</x:v>
      </x:c>
      <x:c r="J274" s="16" t="n">
        <x:v>1031177.8893490636</x:v>
      </x:c>
      <x:c r="K274" s="16" t="n">
        <x:v>0</x:v>
      </x:c>
      <x:c r="L274" s="18" t="n">
        <x:v>0</x:v>
      </x:c>
      <x:c r="M274" s="18" t="n">
        <x:v>0</x:v>
      </x:c>
      <x:c r="O274" t="str">
        <x:v>2022-05-27</x:v>
      </x:c>
      <x:c r="P274" t="n">
        <x:v>1031177.8893490636</x:v>
      </x:c>
    </x:row>
    <x:row r="275" ht="15" hidden="0" customHeight="1">
      <x:c r="A275" s="13" t="str">
        <x:v>2022-05-30</x:v>
      </x:c>
      <x:c r="B275" s="13" t="n">
        <x:v>1</x:v>
      </x:c>
      <x:c r="C275" s="13" t="n">
        <x:v>7</x:v>
      </x:c>
      <x:c r="D275" s="16" t="n">
        <x:v>69.99999999999851</x:v>
      </x:c>
      <x:c r="E275" s="16" t="n">
        <x:v>1308.6060920539007</x:v>
      </x:c>
      <x:c r="F275" s="16" t="n">
        <x:v>-1238.6060920539023</x:v>
      </x:c>
      <x:c r="G275" s="16" t="n">
        <x:v>289064.2690943647</x:v>
      </x:c>
      <x:c r="H275" s="16" t="n">
        <x:v>338319.7224174202</x:v>
      </x:c>
      <x:c r="I275" s="16" t="n">
        <x:v>1029939.2832570096</x:v>
      </x:c>
      <x:c r="J275" s="16" t="n">
        <x:v>1031177.8893490636</x:v>
      </x:c>
      <x:c r="K275" s="16" t="n">
        <x:v>-1238.6060920539312</x:v>
      </x:c>
      <x:c r="L275" s="18" t="n">
        <x:v>-0.0012011565655619</x:v>
      </x:c>
      <x:c r="M275" s="18" t="n">
        <x:v>-0.0012011565655619</x:v>
      </x:c>
      <x:c r="O275" t="str">
        <x:v>2022-05-30</x:v>
      </x:c>
      <x:c r="P275" t="n">
        <x:v>1029939.2832570096</x:v>
      </x:c>
    </x:row>
    <x:row r="276" ht="15" hidden="0" customHeight="1">
      <x:c r="A276" s="13" t="str">
        <x:v>2022-05-31</x:v>
      </x:c>
      <x:c r="B276" s="13" t="n">
        <x:v>0</x:v>
      </x:c>
      <x:c r="C276" s="13" t="n">
        <x:v>0</x:v>
      </x:c>
      <x:c r="D276" s="16" t="n">
        <x:v>0</x:v>
      </x:c>
      <x:c r="E276" s="16" t="n">
        <x:v>0</x:v>
      </x:c>
      <x:c r="F276" s="16" t="n">
        <x:v>0</x:v>
      </x:c>
      <x:c r="G276" s="16" t="n">
        <x:v>0</x:v>
      </x:c>
      <x:c r="H276" s="16" t="n">
        <x:v>0</x:v>
      </x:c>
      <x:c r="I276" s="16" t="n">
        <x:v>1029939.2832570096</x:v>
      </x:c>
      <x:c r="J276" s="16" t="n">
        <x:v>1031177.8893490636</x:v>
      </x:c>
      <x:c r="K276" s="16" t="n">
        <x:v>-1238.6060920539312</x:v>
      </x:c>
      <x:c r="L276" s="18" t="n">
        <x:v>-0.0012011565655619</x:v>
      </x:c>
      <x:c r="M276" s="18" t="n">
        <x:v>0</x:v>
      </x:c>
      <x:c r="O276" t="str">
        <x:v>2022-05-31</x:v>
      </x:c>
      <x:c r="P276" t="n">
        <x:v>1029939.2832570096</x:v>
      </x:c>
    </x:row>
    <x:row r="277" ht="15" hidden="0" customHeight="1">
      <x:c r="A277" s="13" t="str">
        <x:v>2022-06-01</x:v>
      </x:c>
      <x:c r="B277" s="13" t="n">
        <x:v>0</x:v>
      </x:c>
      <x:c r="C277" s="13" t="n">
        <x:v>0</x:v>
      </x:c>
      <x:c r="D277" s="16" t="n">
        <x:v>0</x:v>
      </x:c>
      <x:c r="E277" s="16" t="n">
        <x:v>0</x:v>
      </x:c>
      <x:c r="F277" s="16" t="n">
        <x:v>0</x:v>
      </x:c>
      <x:c r="G277" s="16" t="n">
        <x:v>0</x:v>
      </x:c>
      <x:c r="H277" s="16" t="n">
        <x:v>0</x:v>
      </x:c>
      <x:c r="I277" s="16" t="n">
        <x:v>1029939.2832570096</x:v>
      </x:c>
      <x:c r="J277" s="16" t="n">
        <x:v>1031177.8893490636</x:v>
      </x:c>
      <x:c r="K277" s="16" t="n">
        <x:v>-1238.6060920539312</x:v>
      </x:c>
      <x:c r="L277" s="18" t="n">
        <x:v>-0.0012011565655619</x:v>
      </x:c>
      <x:c r="M277" s="18" t="n">
        <x:v>0</x:v>
      </x:c>
      <x:c r="O277" t="str">
        <x:v>2022-06-01</x:v>
      </x:c>
      <x:c r="P277" t="n">
        <x:v>1029939.2832570096</x:v>
      </x:c>
    </x:row>
    <x:row r="278" ht="15" hidden="0" customHeight="1">
      <x:c r="A278" s="13" t="str">
        <x:v>2022-06-02</x:v>
      </x:c>
      <x:c r="B278" s="13" t="n">
        <x:v>0</x:v>
      </x:c>
      <x:c r="C278" s="13" t="n">
        <x:v>0</x:v>
      </x:c>
      <x:c r="D278" s="16" t="n">
        <x:v>0</x:v>
      </x:c>
      <x:c r="E278" s="16" t="n">
        <x:v>0</x:v>
      </x:c>
      <x:c r="F278" s="16" t="n">
        <x:v>0</x:v>
      </x:c>
      <x:c r="G278" s="16" t="n">
        <x:v>0</x:v>
      </x:c>
      <x:c r="H278" s="16" t="n">
        <x:v>0</x:v>
      </x:c>
      <x:c r="I278" s="16" t="n">
        <x:v>1029939.2832570096</x:v>
      </x:c>
      <x:c r="J278" s="16" t="n">
        <x:v>1031177.8893490636</x:v>
      </x:c>
      <x:c r="K278" s="16" t="n">
        <x:v>-1238.6060920539312</x:v>
      </x:c>
      <x:c r="L278" s="18" t="n">
        <x:v>-0.0012011565655619</x:v>
      </x:c>
      <x:c r="M278" s="18" t="n">
        <x:v>0</x:v>
      </x:c>
      <x:c r="O278" t="str">
        <x:v>2022-06-02</x:v>
      </x:c>
      <x:c r="P278" t="n">
        <x:v>1029939.2832570096</x:v>
      </x:c>
    </x:row>
    <x:row r="279" ht="15" hidden="0" customHeight="1">
      <x:c r="A279" s="13" t="str">
        <x:v>2022-06-03</x:v>
      </x:c>
      <x:c r="B279" s="13" t="n">
        <x:v>0</x:v>
      </x:c>
      <x:c r="C279" s="13" t="n">
        <x:v>0</x:v>
      </x:c>
      <x:c r="D279" s="16" t="n">
        <x:v>0</x:v>
      </x:c>
      <x:c r="E279" s="16" t="n">
        <x:v>0</x:v>
      </x:c>
      <x:c r="F279" s="16" t="n">
        <x:v>0</x:v>
      </x:c>
      <x:c r="G279" s="16" t="n">
        <x:v>0</x:v>
      </x:c>
      <x:c r="H279" s="16" t="n">
        <x:v>0</x:v>
      </x:c>
      <x:c r="I279" s="16" t="n">
        <x:v>1029939.2832570096</x:v>
      </x:c>
      <x:c r="J279" s="16" t="n">
        <x:v>1031177.8893490636</x:v>
      </x:c>
      <x:c r="K279" s="16" t="n">
        <x:v>-1238.6060920539312</x:v>
      </x:c>
      <x:c r="L279" s="18" t="n">
        <x:v>-0.0012011565655619</x:v>
      </x:c>
      <x:c r="M279" s="18" t="n">
        <x:v>0</x:v>
      </x:c>
      <x:c r="O279" t="str">
        <x:v>2022-06-03</x:v>
      </x:c>
      <x:c r="P279" t="n">
        <x:v>1029939.2832570096</x:v>
      </x:c>
    </x:row>
    <x:row r="280" ht="15" hidden="0" customHeight="1">
      <x:c r="A280" s="13" t="str">
        <x:v>2022-06-06</x:v>
      </x:c>
      <x:c r="B280" s="13" t="n">
        <x:v>0</x:v>
      </x:c>
      <x:c r="C280" s="13" t="n">
        <x:v>0</x:v>
      </x:c>
      <x:c r="D280" s="16" t="n">
        <x:v>0</x:v>
      </x:c>
      <x:c r="E280" s="16" t="n">
        <x:v>0</x:v>
      </x:c>
      <x:c r="F280" s="16" t="n">
        <x:v>0</x:v>
      </x:c>
      <x:c r="G280" s="16" t="n">
        <x:v>0</x:v>
      </x:c>
      <x:c r="H280" s="16" t="n">
        <x:v>0</x:v>
      </x:c>
      <x:c r="I280" s="16" t="n">
        <x:v>1029939.2832570096</x:v>
      </x:c>
      <x:c r="J280" s="16" t="n">
        <x:v>1031177.8893490636</x:v>
      </x:c>
      <x:c r="K280" s="16" t="n">
        <x:v>-1238.6060920539312</x:v>
      </x:c>
      <x:c r="L280" s="18" t="n">
        <x:v>-0.0012011565655619</x:v>
      </x:c>
      <x:c r="M280" s="18" t="n">
        <x:v>0</x:v>
      </x:c>
      <x:c r="O280" t="str">
        <x:v>2022-06-06</x:v>
      </x:c>
      <x:c r="P280" t="n">
        <x:v>1029939.2832570096</x:v>
      </x:c>
    </x:row>
    <x:row r="281" ht="15" hidden="0" customHeight="1">
      <x:c r="A281" s="13" t="str">
        <x:v>2022-06-07</x:v>
      </x:c>
      <x:c r="B281" s="13" t="n">
        <x:v>0</x:v>
      </x:c>
      <x:c r="C281" s="13" t="n">
        <x:v>0</x:v>
      </x:c>
      <x:c r="D281" s="16" t="n">
        <x:v>0</x:v>
      </x:c>
      <x:c r="E281" s="16" t="n">
        <x:v>0</x:v>
      </x:c>
      <x:c r="F281" s="16" t="n">
        <x:v>0</x:v>
      </x:c>
      <x:c r="G281" s="16" t="n">
        <x:v>0</x:v>
      </x:c>
      <x:c r="H281" s="16" t="n">
        <x:v>0</x:v>
      </x:c>
      <x:c r="I281" s="16" t="n">
        <x:v>1029939.2832570096</x:v>
      </x:c>
      <x:c r="J281" s="16" t="n">
        <x:v>1031177.8893490636</x:v>
      </x:c>
      <x:c r="K281" s="16" t="n">
        <x:v>-1238.6060920539312</x:v>
      </x:c>
      <x:c r="L281" s="18" t="n">
        <x:v>-0.0012011565655619</x:v>
      </x:c>
      <x:c r="M281" s="18" t="n">
        <x:v>0</x:v>
      </x:c>
      <x:c r="O281" t="str">
        <x:v>2022-06-07</x:v>
      </x:c>
      <x:c r="P281" t="n">
        <x:v>1029939.2832570096</x:v>
      </x:c>
    </x:row>
    <x:row r="282" ht="15" hidden="0" customHeight="1">
      <x:c r="A282" s="13" t="str">
        <x:v>2022-06-08</x:v>
      </x:c>
      <x:c r="B282" s="13" t="n">
        <x:v>0</x:v>
      </x:c>
      <x:c r="C282" s="13" t="n">
        <x:v>0</x:v>
      </x:c>
      <x:c r="D282" s="16" t="n">
        <x:v>0</x:v>
      </x:c>
      <x:c r="E282" s="16" t="n">
        <x:v>0</x:v>
      </x:c>
      <x:c r="F282" s="16" t="n">
        <x:v>0</x:v>
      </x:c>
      <x:c r="G282" s="16" t="n">
        <x:v>0</x:v>
      </x:c>
      <x:c r="H282" s="16" t="n">
        <x:v>0</x:v>
      </x:c>
      <x:c r="I282" s="16" t="n">
        <x:v>1029939.2832570096</x:v>
      </x:c>
      <x:c r="J282" s="16" t="n">
        <x:v>1031177.8893490636</x:v>
      </x:c>
      <x:c r="K282" s="16" t="n">
        <x:v>-1238.6060920539312</x:v>
      </x:c>
      <x:c r="L282" s="18" t="n">
        <x:v>-0.0012011565655619</x:v>
      </x:c>
      <x:c r="M282" s="18" t="n">
        <x:v>0</x:v>
      </x:c>
      <x:c r="O282" t="str">
        <x:v>2022-06-08</x:v>
      </x:c>
      <x:c r="P282" t="n">
        <x:v>1029939.2832570096</x:v>
      </x:c>
    </x:row>
    <x:row r="283" ht="15" hidden="0" customHeight="1">
      <x:c r="A283" s="13" t="str">
        <x:v>2022-06-09</x:v>
      </x:c>
      <x:c r="B283" s="13" t="n">
        <x:v>0</x:v>
      </x:c>
      <x:c r="C283" s="13" t="n">
        <x:v>0</x:v>
      </x:c>
      <x:c r="D283" s="16" t="n">
        <x:v>0</x:v>
      </x:c>
      <x:c r="E283" s="16" t="n">
        <x:v>0</x:v>
      </x:c>
      <x:c r="F283" s="16" t="n">
        <x:v>0</x:v>
      </x:c>
      <x:c r="G283" s="16" t="n">
        <x:v>0</x:v>
      </x:c>
      <x:c r="H283" s="16" t="n">
        <x:v>0</x:v>
      </x:c>
      <x:c r="I283" s="16" t="n">
        <x:v>1029939.2832570096</x:v>
      </x:c>
      <x:c r="J283" s="16" t="n">
        <x:v>1031177.8893490636</x:v>
      </x:c>
      <x:c r="K283" s="16" t="n">
        <x:v>-1238.6060920539312</x:v>
      </x:c>
      <x:c r="L283" s="18" t="n">
        <x:v>-0.0012011565655619</x:v>
      </x:c>
      <x:c r="M283" s="18" t="n">
        <x:v>0</x:v>
      </x:c>
      <x:c r="O283" t="str">
        <x:v>2022-06-09</x:v>
      </x:c>
      <x:c r="P283" t="n">
        <x:v>1029939.2832570096</x:v>
      </x:c>
    </x:row>
    <x:row r="284" ht="15" hidden="0" customHeight="1">
      <x:c r="A284" s="13" t="str">
        <x:v>2022-06-10</x:v>
      </x:c>
      <x:c r="B284" s="13" t="n">
        <x:v>0</x:v>
      </x:c>
      <x:c r="C284" s="13" t="n">
        <x:v>0</x:v>
      </x:c>
      <x:c r="D284" s="16" t="n">
        <x:v>0</x:v>
      </x:c>
      <x:c r="E284" s="16" t="n">
        <x:v>0</x:v>
      </x:c>
      <x:c r="F284" s="16" t="n">
        <x:v>0</x:v>
      </x:c>
      <x:c r="G284" s="16" t="n">
        <x:v>0</x:v>
      </x:c>
      <x:c r="H284" s="16" t="n">
        <x:v>0</x:v>
      </x:c>
      <x:c r="I284" s="16" t="n">
        <x:v>1029939.2832570096</x:v>
      </x:c>
      <x:c r="J284" s="16" t="n">
        <x:v>1031177.8893490636</x:v>
      </x:c>
      <x:c r="K284" s="16" t="n">
        <x:v>-1238.6060920539312</x:v>
      </x:c>
      <x:c r="L284" s="18" t="n">
        <x:v>-0.0012011565655619</x:v>
      </x:c>
      <x:c r="M284" s="18" t="n">
        <x:v>0</x:v>
      </x:c>
      <x:c r="O284" t="str">
        <x:v>2022-06-10</x:v>
      </x:c>
      <x:c r="P284" t="n">
        <x:v>1029939.2832570096</x:v>
      </x:c>
    </x:row>
    <x:row r="285" ht="15" hidden="0" customHeight="1">
      <x:c r="A285" s="13" t="str">
        <x:v>2022-06-13</x:v>
      </x:c>
      <x:c r="B285" s="13" t="n">
        <x:v>0</x:v>
      </x:c>
      <x:c r="C285" s="13" t="n">
        <x:v>0</x:v>
      </x:c>
      <x:c r="D285" s="16" t="n">
        <x:v>0</x:v>
      </x:c>
      <x:c r="E285" s="16" t="n">
        <x:v>0</x:v>
      </x:c>
      <x:c r="F285" s="16" t="n">
        <x:v>0</x:v>
      </x:c>
      <x:c r="G285" s="16" t="n">
        <x:v>0</x:v>
      </x:c>
      <x:c r="H285" s="16" t="n">
        <x:v>0</x:v>
      </x:c>
      <x:c r="I285" s="16" t="n">
        <x:v>1029939.2832570096</x:v>
      </x:c>
      <x:c r="J285" s="16" t="n">
        <x:v>1031177.8893490636</x:v>
      </x:c>
      <x:c r="K285" s="16" t="n">
        <x:v>-1238.6060920539312</x:v>
      </x:c>
      <x:c r="L285" s="18" t="n">
        <x:v>-0.0012011565655619</x:v>
      </x:c>
      <x:c r="M285" s="18" t="n">
        <x:v>0</x:v>
      </x:c>
      <x:c r="O285" t="str">
        <x:v>2022-06-13</x:v>
      </x:c>
      <x:c r="P285" t="n">
        <x:v>1029939.2832570096</x:v>
      </x:c>
    </x:row>
    <x:row r="286" ht="15" hidden="0" customHeight="1">
      <x:c r="A286" s="13" t="str">
        <x:v>2022-06-14</x:v>
      </x:c>
      <x:c r="B286" s="13" t="n">
        <x:v>0</x:v>
      </x:c>
      <x:c r="C286" s="13" t="n">
        <x:v>0</x:v>
      </x:c>
      <x:c r="D286" s="16" t="n">
        <x:v>0</x:v>
      </x:c>
      <x:c r="E286" s="16" t="n">
        <x:v>0</x:v>
      </x:c>
      <x:c r="F286" s="16" t="n">
        <x:v>0</x:v>
      </x:c>
      <x:c r="G286" s="16" t="n">
        <x:v>0</x:v>
      </x:c>
      <x:c r="H286" s="16" t="n">
        <x:v>0</x:v>
      </x:c>
      <x:c r="I286" s="16" t="n">
        <x:v>1029939.2832570096</x:v>
      </x:c>
      <x:c r="J286" s="16" t="n">
        <x:v>1031177.8893490636</x:v>
      </x:c>
      <x:c r="K286" s="16" t="n">
        <x:v>-1238.6060920539312</x:v>
      </x:c>
      <x:c r="L286" s="18" t="n">
        <x:v>-0.0012011565655619</x:v>
      </x:c>
      <x:c r="M286" s="18" t="n">
        <x:v>0</x:v>
      </x:c>
      <x:c r="O286" t="str">
        <x:v>2022-06-14</x:v>
      </x:c>
      <x:c r="P286" t="n">
        <x:v>1029939.2832570096</x:v>
      </x:c>
    </x:row>
    <x:row r="287" ht="15" hidden="0" customHeight="1">
      <x:c r="A287" s="13" t="str">
        <x:v>2022-06-15</x:v>
      </x:c>
      <x:c r="B287" s="13" t="n">
        <x:v>0</x:v>
      </x:c>
      <x:c r="C287" s="13" t="n">
        <x:v>0</x:v>
      </x:c>
      <x:c r="D287" s="16" t="n">
        <x:v>0</x:v>
      </x:c>
      <x:c r="E287" s="16" t="n">
        <x:v>0</x:v>
      </x:c>
      <x:c r="F287" s="16" t="n">
        <x:v>0</x:v>
      </x:c>
      <x:c r="G287" s="16" t="n">
        <x:v>0</x:v>
      </x:c>
      <x:c r="H287" s="16" t="n">
        <x:v>0</x:v>
      </x:c>
      <x:c r="I287" s="16" t="n">
        <x:v>1029939.2832570096</x:v>
      </x:c>
      <x:c r="J287" s="16" t="n">
        <x:v>1031177.8893490636</x:v>
      </x:c>
      <x:c r="K287" s="16" t="n">
        <x:v>-1238.6060920539312</x:v>
      </x:c>
      <x:c r="L287" s="18" t="n">
        <x:v>-0.0012011565655619</x:v>
      </x:c>
      <x:c r="M287" s="18" t="n">
        <x:v>0</x:v>
      </x:c>
      <x:c r="O287" t="str">
        <x:v>2022-06-15</x:v>
      </x:c>
      <x:c r="P287" t="n">
        <x:v>1029939.2832570096</x:v>
      </x:c>
    </x:row>
    <x:row r="288" ht="15" hidden="0" customHeight="1">
      <x:c r="A288" s="13" t="str">
        <x:v>2022-06-16</x:v>
      </x:c>
      <x:c r="B288" s="13" t="n">
        <x:v>1</x:v>
      </x:c>
      <x:c r="C288" s="13" t="n">
        <x:v>9</x:v>
      </x:c>
      <x:c r="D288" s="16" t="n">
        <x:v>-2519.999999999999</x:v>
      </x:c>
      <x:c r="E288" s="16" t="n">
        <x:v>738.3181449413335</x:v>
      </x:c>
      <x:c r="F288" s="16" t="n">
        <x:v>-3258.3181449413323</x:v>
      </x:c>
      <x:c r="G288" s="16" t="n">
        <x:v>111532.40339123146</x:v>
      </x:c>
      <x:c r="H288" s="16" t="n">
        <x:v>358243.1285137405</x:v>
      </x:c>
      <x:c r="I288" s="16" t="n">
        <x:v>1026680.9651120685</x:v>
      </x:c>
      <x:c r="J288" s="16" t="n">
        <x:v>1031177.8893490636</x:v>
      </x:c>
      <x:c r="K288" s="16" t="n">
        <x:v>-4496.924236995284</x:v>
      </x:c>
      <x:c r="L288" s="18" t="n">
        <x:v>-0.0043609587477035</x:v>
      </x:c>
      <x:c r="M288" s="18" t="n">
        <x:v>-0.0031636021636513</x:v>
      </x:c>
      <x:c r="O288" t="str">
        <x:v>2022-06-16</x:v>
      </x:c>
      <x:c r="P288" t="n">
        <x:v>1026680.9651120685</x:v>
      </x:c>
    </x:row>
    <x:row r="289" ht="15" hidden="0" customHeight="1">
      <x:c r="A289" s="13" t="str">
        <x:v>2022-06-17</x:v>
      </x:c>
      <x:c r="B289" s="13" t="n">
        <x:v>0</x:v>
      </x:c>
      <x:c r="C289" s="13" t="n">
        <x:v>0</x:v>
      </x:c>
      <x:c r="D289" s="16" t="n">
        <x:v>0</x:v>
      </x:c>
      <x:c r="E289" s="16" t="n">
        <x:v>0</x:v>
      </x:c>
      <x:c r="F289" s="16" t="n">
        <x:v>0</x:v>
      </x:c>
      <x:c r="G289" s="16" t="n">
        <x:v>0</x:v>
      </x:c>
      <x:c r="H289" s="16" t="n">
        <x:v>0</x:v>
      </x:c>
      <x:c r="I289" s="16" t="n">
        <x:v>1026680.9651120685</x:v>
      </x:c>
      <x:c r="J289" s="16" t="n">
        <x:v>1031177.8893490636</x:v>
      </x:c>
      <x:c r="K289" s="16" t="n">
        <x:v>-4496.924236995284</x:v>
      </x:c>
      <x:c r="L289" s="18" t="n">
        <x:v>-0.0043609587477035</x:v>
      </x:c>
      <x:c r="M289" s="18" t="n">
        <x:v>0</x:v>
      </x:c>
      <x:c r="O289" t="str">
        <x:v>2022-06-17</x:v>
      </x:c>
      <x:c r="P289" t="n">
        <x:v>1026680.9651120685</x:v>
      </x:c>
    </x:row>
    <x:row r="290" ht="15" hidden="0" customHeight="1">
      <x:c r="A290" s="13" t="str">
        <x:v>2022-06-20</x:v>
      </x:c>
      <x:c r="B290" s="13" t="n">
        <x:v>0</x:v>
      </x:c>
      <x:c r="C290" s="13" t="n">
        <x:v>0</x:v>
      </x:c>
      <x:c r="D290" s="16" t="n">
        <x:v>0</x:v>
      </x:c>
      <x:c r="E290" s="16" t="n">
        <x:v>0</x:v>
      </x:c>
      <x:c r="F290" s="16" t="n">
        <x:v>0</x:v>
      </x:c>
      <x:c r="G290" s="16" t="n">
        <x:v>0</x:v>
      </x:c>
      <x:c r="H290" s="16" t="n">
        <x:v>0</x:v>
      </x:c>
      <x:c r="I290" s="16" t="n">
        <x:v>1026680.9651120685</x:v>
      </x:c>
      <x:c r="J290" s="16" t="n">
        <x:v>1031177.8893490636</x:v>
      </x:c>
      <x:c r="K290" s="16" t="n">
        <x:v>-4496.924236995284</x:v>
      </x:c>
      <x:c r="L290" s="18" t="n">
        <x:v>-0.0043609587477035</x:v>
      </x:c>
      <x:c r="M290" s="18" t="n">
        <x:v>0</x:v>
      </x:c>
      <x:c r="O290" t="str">
        <x:v>2022-06-20</x:v>
      </x:c>
      <x:c r="P290" t="n">
        <x:v>1026680.9651120685</x:v>
      </x:c>
    </x:row>
    <x:row r="291" ht="15" hidden="0" customHeight="1">
      <x:c r="A291" s="13" t="str">
        <x:v>2022-06-21</x:v>
      </x:c>
      <x:c r="B291" s="13" t="n">
        <x:v>0</x:v>
      </x:c>
      <x:c r="C291" s="13" t="n">
        <x:v>0</x:v>
      </x:c>
      <x:c r="D291" s="16" t="n">
        <x:v>0</x:v>
      </x:c>
      <x:c r="E291" s="16" t="n">
        <x:v>0</x:v>
      </x:c>
      <x:c r="F291" s="16" t="n">
        <x:v>0</x:v>
      </x:c>
      <x:c r="G291" s="16" t="n">
        <x:v>0</x:v>
      </x:c>
      <x:c r="H291" s="16" t="n">
        <x:v>0</x:v>
      </x:c>
      <x:c r="I291" s="16" t="n">
        <x:v>1026680.9651120685</x:v>
      </x:c>
      <x:c r="J291" s="16" t="n">
        <x:v>1031177.8893490636</x:v>
      </x:c>
      <x:c r="K291" s="16" t="n">
        <x:v>-4496.924236995284</x:v>
      </x:c>
      <x:c r="L291" s="18" t="n">
        <x:v>-0.0043609587477035</x:v>
      </x:c>
      <x:c r="M291" s="18" t="n">
        <x:v>0</x:v>
      </x:c>
      <x:c r="O291" t="str">
        <x:v>2022-06-21</x:v>
      </x:c>
      <x:c r="P291" t="n">
        <x:v>1026680.9651120685</x:v>
      </x:c>
    </x:row>
    <x:row r="292" ht="15" hidden="0" customHeight="1">
      <x:c r="A292" s="13" t="str">
        <x:v>2022-06-22</x:v>
      </x:c>
      <x:c r="B292" s="13" t="n">
        <x:v>0</x:v>
      </x:c>
      <x:c r="C292" s="13" t="n">
        <x:v>0</x:v>
      </x:c>
      <x:c r="D292" s="16" t="n">
        <x:v>0</x:v>
      </x:c>
      <x:c r="E292" s="16" t="n">
        <x:v>0</x:v>
      </x:c>
      <x:c r="F292" s="16" t="n">
        <x:v>0</x:v>
      </x:c>
      <x:c r="G292" s="16" t="n">
        <x:v>0</x:v>
      </x:c>
      <x:c r="H292" s="16" t="n">
        <x:v>0</x:v>
      </x:c>
      <x:c r="I292" s="16" t="n">
        <x:v>1026680.9651120685</x:v>
      </x:c>
      <x:c r="J292" s="16" t="n">
        <x:v>1031177.8893490636</x:v>
      </x:c>
      <x:c r="K292" s="16" t="n">
        <x:v>-4496.924236995284</x:v>
      </x:c>
      <x:c r="L292" s="18" t="n">
        <x:v>-0.0043609587477035</x:v>
      </x:c>
      <x:c r="M292" s="18" t="n">
        <x:v>0</x:v>
      </x:c>
      <x:c r="O292" t="str">
        <x:v>2022-06-22</x:v>
      </x:c>
      <x:c r="P292" t="n">
        <x:v>1026680.9651120685</x:v>
      </x:c>
    </x:row>
    <x:row r="293" ht="15" hidden="0" customHeight="1">
      <x:c r="A293" s="13" t="str">
        <x:v>2022-06-23</x:v>
      </x:c>
      <x:c r="B293" s="13" t="n">
        <x:v>0</x:v>
      </x:c>
      <x:c r="C293" s="13" t="n">
        <x:v>0</x:v>
      </x:c>
      <x:c r="D293" s="16" t="n">
        <x:v>0</x:v>
      </x:c>
      <x:c r="E293" s="16" t="n">
        <x:v>0</x:v>
      </x:c>
      <x:c r="F293" s="16" t="n">
        <x:v>0</x:v>
      </x:c>
      <x:c r="G293" s="16" t="n">
        <x:v>0</x:v>
      </x:c>
      <x:c r="H293" s="16" t="n">
        <x:v>0</x:v>
      </x:c>
      <x:c r="I293" s="16" t="n">
        <x:v>1026680.9651120685</x:v>
      </x:c>
      <x:c r="J293" s="16" t="n">
        <x:v>1031177.8893490636</x:v>
      </x:c>
      <x:c r="K293" s="16" t="n">
        <x:v>-4496.924236995284</x:v>
      </x:c>
      <x:c r="L293" s="18" t="n">
        <x:v>-0.0043609587477035</x:v>
      </x:c>
      <x:c r="M293" s="18" t="n">
        <x:v>0</x:v>
      </x:c>
      <x:c r="O293" t="str">
        <x:v>2022-06-23</x:v>
      </x:c>
      <x:c r="P293" t="n">
        <x:v>1026680.9651120685</x:v>
      </x:c>
    </x:row>
    <x:row r="294" ht="15" hidden="0" customHeight="1">
      <x:c r="A294" s="13" t="str">
        <x:v>2022-06-24</x:v>
      </x:c>
      <x:c r="B294" s="13" t="n">
        <x:v>0</x:v>
      </x:c>
      <x:c r="C294" s="13" t="n">
        <x:v>0</x:v>
      </x:c>
      <x:c r="D294" s="16" t="n">
        <x:v>0</x:v>
      </x:c>
      <x:c r="E294" s="16" t="n">
        <x:v>0</x:v>
      </x:c>
      <x:c r="F294" s="16" t="n">
        <x:v>0</x:v>
      </x:c>
      <x:c r="G294" s="16" t="n">
        <x:v>0</x:v>
      </x:c>
      <x:c r="H294" s="16" t="n">
        <x:v>0</x:v>
      </x:c>
      <x:c r="I294" s="16" t="n">
        <x:v>1026680.9651120685</x:v>
      </x:c>
      <x:c r="J294" s="16" t="n">
        <x:v>1031177.8893490636</x:v>
      </x:c>
      <x:c r="K294" s="16" t="n">
        <x:v>-4496.924236995284</x:v>
      </x:c>
      <x:c r="L294" s="18" t="n">
        <x:v>-0.0043609587477035</x:v>
      </x:c>
      <x:c r="M294" s="18" t="n">
        <x:v>0</x:v>
      </x:c>
      <x:c r="O294" t="str">
        <x:v>2022-06-24</x:v>
      </x:c>
      <x:c r="P294" t="n">
        <x:v>1026680.9651120685</x:v>
      </x:c>
    </x:row>
    <x:row r="295" ht="15" hidden="0" customHeight="1">
      <x:c r="A295" s="13" t="str">
        <x:v>2022-06-27</x:v>
      </x:c>
      <x:c r="B295" s="13" t="n">
        <x:v>0</x:v>
      </x:c>
      <x:c r="C295" s="13" t="n">
        <x:v>0</x:v>
      </x:c>
      <x:c r="D295" s="16" t="n">
        <x:v>0</x:v>
      </x:c>
      <x:c r="E295" s="16" t="n">
        <x:v>0</x:v>
      </x:c>
      <x:c r="F295" s="16" t="n">
        <x:v>0</x:v>
      </x:c>
      <x:c r="G295" s="16" t="n">
        <x:v>0</x:v>
      </x:c>
      <x:c r="H295" s="16" t="n">
        <x:v>0</x:v>
      </x:c>
      <x:c r="I295" s="16" t="n">
        <x:v>1026680.9651120685</x:v>
      </x:c>
      <x:c r="J295" s="16" t="n">
        <x:v>1031177.8893490636</x:v>
      </x:c>
      <x:c r="K295" s="16" t="n">
        <x:v>-4496.924236995284</x:v>
      </x:c>
      <x:c r="L295" s="18" t="n">
        <x:v>-0.0043609587477035</x:v>
      </x:c>
      <x:c r="M295" s="18" t="n">
        <x:v>0</x:v>
      </x:c>
      <x:c r="O295" t="str">
        <x:v>2022-06-27</x:v>
      </x:c>
      <x:c r="P295" t="n">
        <x:v>1026680.9651120685</x:v>
      </x:c>
    </x:row>
    <x:row r="296" ht="15" hidden="0" customHeight="1">
      <x:c r="A296" s="13" t="str">
        <x:v>2022-06-28</x:v>
      </x:c>
      <x:c r="B296" s="13" t="n">
        <x:v>0</x:v>
      </x:c>
      <x:c r="C296" s="13" t="n">
        <x:v>0</x:v>
      </x:c>
      <x:c r="D296" s="16" t="n">
        <x:v>0</x:v>
      </x:c>
      <x:c r="E296" s="16" t="n">
        <x:v>0</x:v>
      </x:c>
      <x:c r="F296" s="16" t="n">
        <x:v>0</x:v>
      </x:c>
      <x:c r="G296" s="16" t="n">
        <x:v>0</x:v>
      </x:c>
      <x:c r="H296" s="16" t="n">
        <x:v>0</x:v>
      </x:c>
      <x:c r="I296" s="16" t="n">
        <x:v>1026680.9651120685</x:v>
      </x:c>
      <x:c r="J296" s="16" t="n">
        <x:v>1031177.8893490636</x:v>
      </x:c>
      <x:c r="K296" s="16" t="n">
        <x:v>-4496.924236995284</x:v>
      </x:c>
      <x:c r="L296" s="18" t="n">
        <x:v>-0.0043609587477035</x:v>
      </x:c>
      <x:c r="M296" s="18" t="n">
        <x:v>0</x:v>
      </x:c>
      <x:c r="O296" t="str">
        <x:v>2022-06-28</x:v>
      </x:c>
      <x:c r="P296" t="n">
        <x:v>1026680.9651120685</x:v>
      </x:c>
    </x:row>
    <x:row r="297" ht="15" hidden="0" customHeight="1">
      <x:c r="A297" s="13" t="str">
        <x:v>2022-06-29</x:v>
      </x:c>
      <x:c r="B297" s="13" t="n">
        <x:v>0</x:v>
      </x:c>
      <x:c r="C297" s="13" t="n">
        <x:v>0</x:v>
      </x:c>
      <x:c r="D297" s="16" t="n">
        <x:v>0</x:v>
      </x:c>
      <x:c r="E297" s="16" t="n">
        <x:v>0</x:v>
      </x:c>
      <x:c r="F297" s="16" t="n">
        <x:v>0</x:v>
      </x:c>
      <x:c r="G297" s="16" t="n">
        <x:v>0</x:v>
      </x:c>
      <x:c r="H297" s="16" t="n">
        <x:v>0</x:v>
      </x:c>
      <x:c r="I297" s="16" t="n">
        <x:v>1026680.9651120685</x:v>
      </x:c>
      <x:c r="J297" s="16" t="n">
        <x:v>1031177.8893490636</x:v>
      </x:c>
      <x:c r="K297" s="16" t="n">
        <x:v>-4496.924236995284</x:v>
      </x:c>
      <x:c r="L297" s="18" t="n">
        <x:v>-0.0043609587477035</x:v>
      </x:c>
      <x:c r="M297" s="18" t="n">
        <x:v>0</x:v>
      </x:c>
      <x:c r="O297" t="str">
        <x:v>2022-06-29</x:v>
      </x:c>
      <x:c r="P297" t="n">
        <x:v>1026680.9651120685</x:v>
      </x:c>
    </x:row>
    <x:row r="298" ht="15" hidden="0" customHeight="1">
      <x:c r="A298" s="13" t="str">
        <x:v>2022-06-30</x:v>
      </x:c>
      <x:c r="B298" s="13" t="n">
        <x:v>0</x:v>
      </x:c>
      <x:c r="C298" s="13" t="n">
        <x:v>0</x:v>
      </x:c>
      <x:c r="D298" s="16" t="n">
        <x:v>0</x:v>
      </x:c>
      <x:c r="E298" s="16" t="n">
        <x:v>0</x:v>
      </x:c>
      <x:c r="F298" s="16" t="n">
        <x:v>0</x:v>
      </x:c>
      <x:c r="G298" s="16" t="n">
        <x:v>0</x:v>
      </x:c>
      <x:c r="H298" s="16" t="n">
        <x:v>0</x:v>
      </x:c>
      <x:c r="I298" s="16" t="n">
        <x:v>1026680.9651120685</x:v>
      </x:c>
      <x:c r="J298" s="16" t="n">
        <x:v>1031177.8893490636</x:v>
      </x:c>
      <x:c r="K298" s="16" t="n">
        <x:v>-4496.924236995284</x:v>
      </x:c>
      <x:c r="L298" s="18" t="n">
        <x:v>-0.0043609587477035</x:v>
      </x:c>
      <x:c r="M298" s="18" t="n">
        <x:v>0</x:v>
      </x:c>
      <x:c r="O298" t="str">
        <x:v>2022-06-30</x:v>
      </x:c>
      <x:c r="P298" t="n">
        <x:v>1026680.9651120685</x:v>
      </x:c>
    </x:row>
    <x:row r="299" ht="15" hidden="0" customHeight="1">
      <x:c r="A299" s="13" t="str">
        <x:v>2022-07-01</x:v>
      </x:c>
      <x:c r="B299" s="13" t="n">
        <x:v>0</x:v>
      </x:c>
      <x:c r="C299" s="13" t="n">
        <x:v>0</x:v>
      </x:c>
      <x:c r="D299" s="16" t="n">
        <x:v>0</x:v>
      </x:c>
      <x:c r="E299" s="16" t="n">
        <x:v>0</x:v>
      </x:c>
      <x:c r="F299" s="16" t="n">
        <x:v>0</x:v>
      </x:c>
      <x:c r="G299" s="16" t="n">
        <x:v>0</x:v>
      </x:c>
      <x:c r="H299" s="16" t="n">
        <x:v>0</x:v>
      </x:c>
      <x:c r="I299" s="16" t="n">
        <x:v>1026680.9651120685</x:v>
      </x:c>
      <x:c r="J299" s="16" t="n">
        <x:v>1031177.8893490636</x:v>
      </x:c>
      <x:c r="K299" s="16" t="n">
        <x:v>-4496.924236995284</x:v>
      </x:c>
      <x:c r="L299" s="18" t="n">
        <x:v>-0.0043609587477035</x:v>
      </x:c>
      <x:c r="M299" s="18" t="n">
        <x:v>0</x:v>
      </x:c>
      <x:c r="O299" t="str">
        <x:v>2022-07-01</x:v>
      </x:c>
      <x:c r="P299" t="n">
        <x:v>1026680.9651120685</x:v>
      </x:c>
    </x:row>
    <x:row r="300" ht="15" hidden="0" customHeight="1">
      <x:c r="A300" s="13" t="str">
        <x:v>2022-07-04</x:v>
      </x:c>
      <x:c r="B300" s="13" t="n">
        <x:v>0</x:v>
      </x:c>
      <x:c r="C300" s="13" t="n">
        <x:v>0</x:v>
      </x:c>
      <x:c r="D300" s="16" t="n">
        <x:v>0</x:v>
      </x:c>
      <x:c r="E300" s="16" t="n">
        <x:v>0</x:v>
      </x:c>
      <x:c r="F300" s="16" t="n">
        <x:v>0</x:v>
      </x:c>
      <x:c r="G300" s="16" t="n">
        <x:v>0</x:v>
      </x:c>
      <x:c r="H300" s="16" t="n">
        <x:v>0</x:v>
      </x:c>
      <x:c r="I300" s="16" t="n">
        <x:v>1026680.9651120685</x:v>
      </x:c>
      <x:c r="J300" s="16" t="n">
        <x:v>1031177.8893490636</x:v>
      </x:c>
      <x:c r="K300" s="16" t="n">
        <x:v>-4496.924236995284</x:v>
      </x:c>
      <x:c r="L300" s="18" t="n">
        <x:v>-0.0043609587477035</x:v>
      </x:c>
      <x:c r="M300" s="18" t="n">
        <x:v>0</x:v>
      </x:c>
      <x:c r="O300" t="str">
        <x:v>2022-07-04</x:v>
      </x:c>
      <x:c r="P300" t="n">
        <x:v>1026680.9651120685</x:v>
      </x:c>
    </x:row>
    <x:row r="301" ht="15" hidden="0" customHeight="1">
      <x:c r="A301" s="13" t="str">
        <x:v>2022-07-05</x:v>
      </x:c>
      <x:c r="B301" s="13" t="n">
        <x:v>0</x:v>
      </x:c>
      <x:c r="C301" s="13" t="n">
        <x:v>0</x:v>
      </x:c>
      <x:c r="D301" s="16" t="n">
        <x:v>0</x:v>
      </x:c>
      <x:c r="E301" s="16" t="n">
        <x:v>0</x:v>
      </x:c>
      <x:c r="F301" s="16" t="n">
        <x:v>0</x:v>
      </x:c>
      <x:c r="G301" s="16" t="n">
        <x:v>0</x:v>
      </x:c>
      <x:c r="H301" s="16" t="n">
        <x:v>0</x:v>
      </x:c>
      <x:c r="I301" s="16" t="n">
        <x:v>1026680.9651120685</x:v>
      </x:c>
      <x:c r="J301" s="16" t="n">
        <x:v>1031177.8893490636</x:v>
      </x:c>
      <x:c r="K301" s="16" t="n">
        <x:v>-4496.924236995284</x:v>
      </x:c>
      <x:c r="L301" s="18" t="n">
        <x:v>-0.0043609587477035</x:v>
      </x:c>
      <x:c r="M301" s="18" t="n">
        <x:v>0</x:v>
      </x:c>
      <x:c r="O301" t="str">
        <x:v>2022-07-05</x:v>
      </x:c>
      <x:c r="P301" t="n">
        <x:v>1026680.9651120685</x:v>
      </x:c>
    </x:row>
    <x:row r="302" ht="15" hidden="0" customHeight="1">
      <x:c r="A302" s="13" t="str">
        <x:v>2022-07-06</x:v>
      </x:c>
      <x:c r="B302" s="13" t="n">
        <x:v>0</x:v>
      </x:c>
      <x:c r="C302" s="13" t="n">
        <x:v>0</x:v>
      </x:c>
      <x:c r="D302" s="16" t="n">
        <x:v>0</x:v>
      </x:c>
      <x:c r="E302" s="16" t="n">
        <x:v>0</x:v>
      </x:c>
      <x:c r="F302" s="16" t="n">
        <x:v>0</x:v>
      </x:c>
      <x:c r="G302" s="16" t="n">
        <x:v>0</x:v>
      </x:c>
      <x:c r="H302" s="16" t="n">
        <x:v>0</x:v>
      </x:c>
      <x:c r="I302" s="16" t="n">
        <x:v>1026680.9651120685</x:v>
      </x:c>
      <x:c r="J302" s="16" t="n">
        <x:v>1031177.8893490636</x:v>
      </x:c>
      <x:c r="K302" s="16" t="n">
        <x:v>-4496.924236995284</x:v>
      </x:c>
      <x:c r="L302" s="18" t="n">
        <x:v>-0.0043609587477035</x:v>
      </x:c>
      <x:c r="M302" s="18" t="n">
        <x:v>0</x:v>
      </x:c>
      <x:c r="O302" t="str">
        <x:v>2022-07-06</x:v>
      </x:c>
      <x:c r="P302" t="n">
        <x:v>1026680.9651120685</x:v>
      </x:c>
    </x:row>
    <x:row r="303" ht="15" hidden="0" customHeight="1">
      <x:c r="A303" s="13" t="str">
        <x:v>2022-07-07</x:v>
      </x:c>
      <x:c r="B303" s="13" t="n">
        <x:v>0</x:v>
      </x:c>
      <x:c r="C303" s="13" t="n">
        <x:v>0</x:v>
      </x:c>
      <x:c r="D303" s="16" t="n">
        <x:v>0</x:v>
      </x:c>
      <x:c r="E303" s="16" t="n">
        <x:v>0</x:v>
      </x:c>
      <x:c r="F303" s="16" t="n">
        <x:v>0</x:v>
      </x:c>
      <x:c r="G303" s="16" t="n">
        <x:v>0</x:v>
      </x:c>
      <x:c r="H303" s="16" t="n">
        <x:v>0</x:v>
      </x:c>
      <x:c r="I303" s="16" t="n">
        <x:v>1026680.9651120685</x:v>
      </x:c>
      <x:c r="J303" s="16" t="n">
        <x:v>1031177.8893490636</x:v>
      </x:c>
      <x:c r="K303" s="16" t="n">
        <x:v>-4496.924236995284</x:v>
      </x:c>
      <x:c r="L303" s="18" t="n">
        <x:v>-0.0043609587477035</x:v>
      </x:c>
      <x:c r="M303" s="18" t="n">
        <x:v>0</x:v>
      </x:c>
      <x:c r="O303" t="str">
        <x:v>2022-07-07</x:v>
      </x:c>
      <x:c r="P303" t="n">
        <x:v>1026680.9651120685</x:v>
      </x:c>
    </x:row>
    <x:row r="304" ht="15" hidden="0" customHeight="1">
      <x:c r="A304" s="13" t="str">
        <x:v>2022-07-08</x:v>
      </x:c>
      <x:c r="B304" s="13" t="n">
        <x:v>0</x:v>
      </x:c>
      <x:c r="C304" s="13" t="n">
        <x:v>0</x:v>
      </x:c>
      <x:c r="D304" s="16" t="n">
        <x:v>0</x:v>
      </x:c>
      <x:c r="E304" s="16" t="n">
        <x:v>0</x:v>
      </x:c>
      <x:c r="F304" s="16" t="n">
        <x:v>0</x:v>
      </x:c>
      <x:c r="G304" s="16" t="n">
        <x:v>0</x:v>
      </x:c>
      <x:c r="H304" s="16" t="n">
        <x:v>0</x:v>
      </x:c>
      <x:c r="I304" s="16" t="n">
        <x:v>1026680.9651120685</x:v>
      </x:c>
      <x:c r="J304" s="16" t="n">
        <x:v>1031177.8893490636</x:v>
      </x:c>
      <x:c r="K304" s="16" t="n">
        <x:v>-4496.924236995284</x:v>
      </x:c>
      <x:c r="L304" s="18" t="n">
        <x:v>-0.0043609587477035</x:v>
      </x:c>
      <x:c r="M304" s="18" t="n">
        <x:v>0</x:v>
      </x:c>
      <x:c r="O304" t="str">
        <x:v>2022-07-08</x:v>
      </x:c>
      <x:c r="P304" t="n">
        <x:v>1026680.9651120685</x:v>
      </x:c>
    </x:row>
    <x:row r="305" ht="15" hidden="0" customHeight="1">
      <x:c r="A305" s="13" t="str">
        <x:v>2022-07-11</x:v>
      </x:c>
      <x:c r="B305" s="13" t="n">
        <x:v>0</x:v>
      </x:c>
      <x:c r="C305" s="13" t="n">
        <x:v>0</x:v>
      </x:c>
      <x:c r="D305" s="16" t="n">
        <x:v>0</x:v>
      </x:c>
      <x:c r="E305" s="16" t="n">
        <x:v>0</x:v>
      </x:c>
      <x:c r="F305" s="16" t="n">
        <x:v>0</x:v>
      </x:c>
      <x:c r="G305" s="16" t="n">
        <x:v>0</x:v>
      </x:c>
      <x:c r="H305" s="16" t="n">
        <x:v>0</x:v>
      </x:c>
      <x:c r="I305" s="16" t="n">
        <x:v>1026680.9651120685</x:v>
      </x:c>
      <x:c r="J305" s="16" t="n">
        <x:v>1031177.8893490636</x:v>
      </x:c>
      <x:c r="K305" s="16" t="n">
        <x:v>-4496.924236995284</x:v>
      </x:c>
      <x:c r="L305" s="18" t="n">
        <x:v>-0.0043609587477035</x:v>
      </x:c>
      <x:c r="M305" s="18" t="n">
        <x:v>0</x:v>
      </x:c>
      <x:c r="O305" t="str">
        <x:v>2022-07-11</x:v>
      </x:c>
      <x:c r="P305" t="n">
        <x:v>1026680.9651120685</x:v>
      </x:c>
    </x:row>
    <x:row r="306" ht="15" hidden="0" customHeight="1">
      <x:c r="A306" s="13" t="str">
        <x:v>2022-07-12</x:v>
      </x:c>
      <x:c r="B306" s="13" t="n">
        <x:v>0</x:v>
      </x:c>
      <x:c r="C306" s="13" t="n">
        <x:v>0</x:v>
      </x:c>
      <x:c r="D306" s="16" t="n">
        <x:v>0</x:v>
      </x:c>
      <x:c r="E306" s="16" t="n">
        <x:v>0</x:v>
      </x:c>
      <x:c r="F306" s="16" t="n">
        <x:v>0</x:v>
      </x:c>
      <x:c r="G306" s="16" t="n">
        <x:v>0</x:v>
      </x:c>
      <x:c r="H306" s="16" t="n">
        <x:v>0</x:v>
      </x:c>
      <x:c r="I306" s="16" t="n">
        <x:v>1026680.9651120685</x:v>
      </x:c>
      <x:c r="J306" s="16" t="n">
        <x:v>1031177.8893490636</x:v>
      </x:c>
      <x:c r="K306" s="16" t="n">
        <x:v>-4496.924236995284</x:v>
      </x:c>
      <x:c r="L306" s="18" t="n">
        <x:v>-0.0043609587477035</x:v>
      </x:c>
      <x:c r="M306" s="18" t="n">
        <x:v>0</x:v>
      </x:c>
      <x:c r="O306" t="str">
        <x:v>2022-07-12</x:v>
      </x:c>
      <x:c r="P306" t="n">
        <x:v>1026680.9651120685</x:v>
      </x:c>
    </x:row>
    <x:row r="307" ht="15" hidden="0" customHeight="1">
      <x:c r="A307" s="13" t="str">
        <x:v>2022-07-13</x:v>
      </x:c>
      <x:c r="B307" s="13" t="n">
        <x:v>0</x:v>
      </x:c>
      <x:c r="C307" s="13" t="n">
        <x:v>0</x:v>
      </x:c>
      <x:c r="D307" s="16" t="n">
        <x:v>0</x:v>
      </x:c>
      <x:c r="E307" s="16" t="n">
        <x:v>0</x:v>
      </x:c>
      <x:c r="F307" s="16" t="n">
        <x:v>0</x:v>
      </x:c>
      <x:c r="G307" s="16" t="n">
        <x:v>0</x:v>
      </x:c>
      <x:c r="H307" s="16" t="n">
        <x:v>0</x:v>
      </x:c>
      <x:c r="I307" s="16" t="n">
        <x:v>1026680.9651120685</x:v>
      </x:c>
      <x:c r="J307" s="16" t="n">
        <x:v>1031177.8893490636</x:v>
      </x:c>
      <x:c r="K307" s="16" t="n">
        <x:v>-4496.924236995284</x:v>
      </x:c>
      <x:c r="L307" s="18" t="n">
        <x:v>-0.0043609587477035</x:v>
      </x:c>
      <x:c r="M307" s="18" t="n">
        <x:v>0</x:v>
      </x:c>
      <x:c r="O307" t="str">
        <x:v>2022-07-13</x:v>
      </x:c>
      <x:c r="P307" t="n">
        <x:v>1026680.9651120685</x:v>
      </x:c>
    </x:row>
    <x:row r="308" ht="15" hidden="0" customHeight="1">
      <x:c r="A308" s="13" t="str">
        <x:v>2022-07-14</x:v>
      </x:c>
      <x:c r="B308" s="13" t="n">
        <x:v>0</x:v>
      </x:c>
      <x:c r="C308" s="13" t="n">
        <x:v>0</x:v>
      </x:c>
      <x:c r="D308" s="16" t="n">
        <x:v>0</x:v>
      </x:c>
      <x:c r="E308" s="16" t="n">
        <x:v>0</x:v>
      </x:c>
      <x:c r="F308" s="16" t="n">
        <x:v>0</x:v>
      </x:c>
      <x:c r="G308" s="16" t="n">
        <x:v>0</x:v>
      </x:c>
      <x:c r="H308" s="16" t="n">
        <x:v>0</x:v>
      </x:c>
      <x:c r="I308" s="16" t="n">
        <x:v>1026680.9651120685</x:v>
      </x:c>
      <x:c r="J308" s="16" t="n">
        <x:v>1031177.8893490636</x:v>
      </x:c>
      <x:c r="K308" s="16" t="n">
        <x:v>-4496.924236995284</x:v>
      </x:c>
      <x:c r="L308" s="18" t="n">
        <x:v>-0.0043609587477035</x:v>
      </x:c>
      <x:c r="M308" s="18" t="n">
        <x:v>0</x:v>
      </x:c>
      <x:c r="O308" t="str">
        <x:v>2022-07-14</x:v>
      </x:c>
      <x:c r="P308" t="n">
        <x:v>1026680.9651120685</x:v>
      </x:c>
    </x:row>
    <x:row r="309" ht="15" hidden="0" customHeight="1">
      <x:c r="A309" s="13" t="str">
        <x:v>2022-07-15</x:v>
      </x:c>
      <x:c r="B309" s="13" t="n">
        <x:v>0</x:v>
      </x:c>
      <x:c r="C309" s="13" t="n">
        <x:v>0</x:v>
      </x:c>
      <x:c r="D309" s="16" t="n">
        <x:v>0</x:v>
      </x:c>
      <x:c r="E309" s="16" t="n">
        <x:v>0</x:v>
      </x:c>
      <x:c r="F309" s="16" t="n">
        <x:v>0</x:v>
      </x:c>
      <x:c r="G309" s="16" t="n">
        <x:v>0</x:v>
      </x:c>
      <x:c r="H309" s="16" t="n">
        <x:v>0</x:v>
      </x:c>
      <x:c r="I309" s="16" t="n">
        <x:v>1026680.9651120685</x:v>
      </x:c>
      <x:c r="J309" s="16" t="n">
        <x:v>1031177.8893490636</x:v>
      </x:c>
      <x:c r="K309" s="16" t="n">
        <x:v>-4496.924236995284</x:v>
      </x:c>
      <x:c r="L309" s="18" t="n">
        <x:v>-0.0043609587477035</x:v>
      </x:c>
      <x:c r="M309" s="18" t="n">
        <x:v>0</x:v>
      </x:c>
      <x:c r="O309" t="str">
        <x:v>2022-07-15</x:v>
      </x:c>
      <x:c r="P309" t="n">
        <x:v>1026680.9651120685</x:v>
      </x:c>
    </x:row>
    <x:row r="310" ht="15" hidden="0" customHeight="1">
      <x:c r="A310" s="13" t="str">
        <x:v>2022-07-18</x:v>
      </x:c>
      <x:c r="B310" s="13" t="n">
        <x:v>0</x:v>
      </x:c>
      <x:c r="C310" s="13" t="n">
        <x:v>0</x:v>
      </x:c>
      <x:c r="D310" s="16" t="n">
        <x:v>0</x:v>
      </x:c>
      <x:c r="E310" s="16" t="n">
        <x:v>0</x:v>
      </x:c>
      <x:c r="F310" s="16" t="n">
        <x:v>0</x:v>
      </x:c>
      <x:c r="G310" s="16" t="n">
        <x:v>0</x:v>
      </x:c>
      <x:c r="H310" s="16" t="n">
        <x:v>0</x:v>
      </x:c>
      <x:c r="I310" s="16" t="n">
        <x:v>1026680.9651120685</x:v>
      </x:c>
      <x:c r="J310" s="16" t="n">
        <x:v>1031177.8893490636</x:v>
      </x:c>
      <x:c r="K310" s="16" t="n">
        <x:v>-4496.924236995284</x:v>
      </x:c>
      <x:c r="L310" s="18" t="n">
        <x:v>-0.0043609587477035</x:v>
      </x:c>
      <x:c r="M310" s="18" t="n">
        <x:v>0</x:v>
      </x:c>
      <x:c r="O310" t="str">
        <x:v>2022-07-18</x:v>
      </x:c>
      <x:c r="P310" t="n">
        <x:v>1026680.9651120685</x:v>
      </x:c>
    </x:row>
    <x:row r="311" ht="15" hidden="0" customHeight="1">
      <x:c r="A311" s="13" t="str">
        <x:v>2022-07-19</x:v>
      </x:c>
      <x:c r="B311" s="13" t="n">
        <x:v>0</x:v>
      </x:c>
      <x:c r="C311" s="13" t="n">
        <x:v>0</x:v>
      </x:c>
      <x:c r="D311" s="16" t="n">
        <x:v>0</x:v>
      </x:c>
      <x:c r="E311" s="16" t="n">
        <x:v>0</x:v>
      </x:c>
      <x:c r="F311" s="16" t="n">
        <x:v>0</x:v>
      </x:c>
      <x:c r="G311" s="16" t="n">
        <x:v>0</x:v>
      </x:c>
      <x:c r="H311" s="16" t="n">
        <x:v>0</x:v>
      </x:c>
      <x:c r="I311" s="16" t="n">
        <x:v>1026680.9651120685</x:v>
      </x:c>
      <x:c r="J311" s="16" t="n">
        <x:v>1031177.8893490636</x:v>
      </x:c>
      <x:c r="K311" s="16" t="n">
        <x:v>-4496.924236995284</x:v>
      </x:c>
      <x:c r="L311" s="18" t="n">
        <x:v>-0.0043609587477035</x:v>
      </x:c>
      <x:c r="M311" s="18" t="n">
        <x:v>0</x:v>
      </x:c>
      <x:c r="O311" t="str">
        <x:v>2022-07-19</x:v>
      </x:c>
      <x:c r="P311" t="n">
        <x:v>1026680.9651120685</x:v>
      </x:c>
    </x:row>
    <x:row r="312" ht="15" hidden="0" customHeight="1">
      <x:c r="A312" s="13" t="str">
        <x:v>2022-07-20</x:v>
      </x:c>
      <x:c r="B312" s="13" t="n">
        <x:v>0</x:v>
      </x:c>
      <x:c r="C312" s="13" t="n">
        <x:v>0</x:v>
      </x:c>
      <x:c r="D312" s="16" t="n">
        <x:v>0</x:v>
      </x:c>
      <x:c r="E312" s="16" t="n">
        <x:v>0</x:v>
      </x:c>
      <x:c r="F312" s="16" t="n">
        <x:v>0</x:v>
      </x:c>
      <x:c r="G312" s="16" t="n">
        <x:v>0</x:v>
      </x:c>
      <x:c r="H312" s="16" t="n">
        <x:v>0</x:v>
      </x:c>
      <x:c r="I312" s="16" t="n">
        <x:v>1026680.9651120685</x:v>
      </x:c>
      <x:c r="J312" s="16" t="n">
        <x:v>1031177.8893490636</x:v>
      </x:c>
      <x:c r="K312" s="16" t="n">
        <x:v>-4496.924236995284</x:v>
      </x:c>
      <x:c r="L312" s="18" t="n">
        <x:v>-0.0043609587477035</x:v>
      </x:c>
      <x:c r="M312" s="18" t="n">
        <x:v>0</x:v>
      </x:c>
      <x:c r="O312" t="str">
        <x:v>2022-07-20</x:v>
      </x:c>
      <x:c r="P312" t="n">
        <x:v>1026680.9651120685</x:v>
      </x:c>
    </x:row>
    <x:row r="313" ht="15" hidden="0" customHeight="1">
      <x:c r="A313" s="13" t="str">
        <x:v>2022-07-21</x:v>
      </x:c>
      <x:c r="B313" s="13" t="n">
        <x:v>0</x:v>
      </x:c>
      <x:c r="C313" s="13" t="n">
        <x:v>0</x:v>
      </x:c>
      <x:c r="D313" s="16" t="n">
        <x:v>0</x:v>
      </x:c>
      <x:c r="E313" s="16" t="n">
        <x:v>0</x:v>
      </x:c>
      <x:c r="F313" s="16" t="n">
        <x:v>0</x:v>
      </x:c>
      <x:c r="G313" s="16" t="n">
        <x:v>0</x:v>
      </x:c>
      <x:c r="H313" s="16" t="n">
        <x:v>0</x:v>
      </x:c>
      <x:c r="I313" s="16" t="n">
        <x:v>1026680.9651120685</x:v>
      </x:c>
      <x:c r="J313" s="16" t="n">
        <x:v>1031177.8893490636</x:v>
      </x:c>
      <x:c r="K313" s="16" t="n">
        <x:v>-4496.924236995284</x:v>
      </x:c>
      <x:c r="L313" s="18" t="n">
        <x:v>-0.0043609587477035</x:v>
      </x:c>
      <x:c r="M313" s="18" t="n">
        <x:v>0</x:v>
      </x:c>
      <x:c r="O313" t="str">
        <x:v>2022-07-21</x:v>
      </x:c>
      <x:c r="P313" t="n">
        <x:v>1026680.9651120685</x:v>
      </x:c>
    </x:row>
    <x:row r="314" ht="15" hidden="0" customHeight="1">
      <x:c r="A314" s="13" t="str">
        <x:v>2022-07-22</x:v>
      </x:c>
      <x:c r="B314" s="13" t="n">
        <x:v>0</x:v>
      </x:c>
      <x:c r="C314" s="13" t="n">
        <x:v>0</x:v>
      </x:c>
      <x:c r="D314" s="16" t="n">
        <x:v>0</x:v>
      </x:c>
      <x:c r="E314" s="16" t="n">
        <x:v>0</x:v>
      </x:c>
      <x:c r="F314" s="16" t="n">
        <x:v>0</x:v>
      </x:c>
      <x:c r="G314" s="16" t="n">
        <x:v>0</x:v>
      </x:c>
      <x:c r="H314" s="16" t="n">
        <x:v>0</x:v>
      </x:c>
      <x:c r="I314" s="16" t="n">
        <x:v>1026680.9651120685</x:v>
      </x:c>
      <x:c r="J314" s="16" t="n">
        <x:v>1031177.8893490636</x:v>
      </x:c>
      <x:c r="K314" s="16" t="n">
        <x:v>-4496.924236995284</x:v>
      </x:c>
      <x:c r="L314" s="18" t="n">
        <x:v>-0.0043609587477035</x:v>
      </x:c>
      <x:c r="M314" s="18" t="n">
        <x:v>0</x:v>
      </x:c>
      <x:c r="O314" t="str">
        <x:v>2022-07-22</x:v>
      </x:c>
      <x:c r="P314" t="n">
        <x:v>1026680.9651120685</x:v>
      </x:c>
    </x:row>
    <x:row r="315" ht="15" hidden="0" customHeight="1">
      <x:c r="A315" s="13" t="str">
        <x:v>2022-07-25</x:v>
      </x:c>
      <x:c r="B315" s="13" t="n">
        <x:v>0</x:v>
      </x:c>
      <x:c r="C315" s="13" t="n">
        <x:v>0</x:v>
      </x:c>
      <x:c r="D315" s="16" t="n">
        <x:v>0</x:v>
      </x:c>
      <x:c r="E315" s="16" t="n">
        <x:v>0</x:v>
      </x:c>
      <x:c r="F315" s="16" t="n">
        <x:v>0</x:v>
      </x:c>
      <x:c r="G315" s="16" t="n">
        <x:v>0</x:v>
      </x:c>
      <x:c r="H315" s="16" t="n">
        <x:v>0</x:v>
      </x:c>
      <x:c r="I315" s="16" t="n">
        <x:v>1026680.9651120685</x:v>
      </x:c>
      <x:c r="J315" s="16" t="n">
        <x:v>1031177.8893490636</x:v>
      </x:c>
      <x:c r="K315" s="16" t="n">
        <x:v>-4496.924236995284</x:v>
      </x:c>
      <x:c r="L315" s="18" t="n">
        <x:v>-0.0043609587477035</x:v>
      </x:c>
      <x:c r="M315" s="18" t="n">
        <x:v>0</x:v>
      </x:c>
      <x:c r="O315" t="str">
        <x:v>2022-07-25</x:v>
      </x:c>
      <x:c r="P315" t="n">
        <x:v>1026680.9651120685</x:v>
      </x:c>
    </x:row>
    <x:row r="316" ht="15" hidden="0" customHeight="1">
      <x:c r="A316" s="13" t="str">
        <x:v>2022-07-26</x:v>
      </x:c>
      <x:c r="B316" s="13" t="n">
        <x:v>0</x:v>
      </x:c>
      <x:c r="C316" s="13" t="n">
        <x:v>0</x:v>
      </x:c>
      <x:c r="D316" s="16" t="n">
        <x:v>0</x:v>
      </x:c>
      <x:c r="E316" s="16" t="n">
        <x:v>0</x:v>
      </x:c>
      <x:c r="F316" s="16" t="n">
        <x:v>0</x:v>
      </x:c>
      <x:c r="G316" s="16" t="n">
        <x:v>0</x:v>
      </x:c>
      <x:c r="H316" s="16" t="n">
        <x:v>0</x:v>
      </x:c>
      <x:c r="I316" s="16" t="n">
        <x:v>1026680.9651120685</x:v>
      </x:c>
      <x:c r="J316" s="16" t="n">
        <x:v>1031177.8893490636</x:v>
      </x:c>
      <x:c r="K316" s="16" t="n">
        <x:v>-4496.924236995284</x:v>
      </x:c>
      <x:c r="L316" s="18" t="n">
        <x:v>-0.0043609587477035</x:v>
      </x:c>
      <x:c r="M316" s="18" t="n">
        <x:v>0</x:v>
      </x:c>
      <x:c r="O316" t="str">
        <x:v>2022-07-26</x:v>
      </x:c>
      <x:c r="P316" t="n">
        <x:v>1026680.9651120685</x:v>
      </x:c>
    </x:row>
    <x:row r="317" ht="15" hidden="0" customHeight="1">
      <x:c r="A317" s="13" t="str">
        <x:v>2022-07-27</x:v>
      </x:c>
      <x:c r="B317" s="13" t="n">
        <x:v>0</x:v>
      </x:c>
      <x:c r="C317" s="13" t="n">
        <x:v>0</x:v>
      </x:c>
      <x:c r="D317" s="16" t="n">
        <x:v>0</x:v>
      </x:c>
      <x:c r="E317" s="16" t="n">
        <x:v>0</x:v>
      </x:c>
      <x:c r="F317" s="16" t="n">
        <x:v>0</x:v>
      </x:c>
      <x:c r="G317" s="16" t="n">
        <x:v>0</x:v>
      </x:c>
      <x:c r="H317" s="16" t="n">
        <x:v>0</x:v>
      </x:c>
      <x:c r="I317" s="16" t="n">
        <x:v>1026680.9651120685</x:v>
      </x:c>
      <x:c r="J317" s="16" t="n">
        <x:v>1031177.8893490636</x:v>
      </x:c>
      <x:c r="K317" s="16" t="n">
        <x:v>-4496.924236995284</x:v>
      </x:c>
      <x:c r="L317" s="18" t="n">
        <x:v>-0.0043609587477035</x:v>
      </x:c>
      <x:c r="M317" s="18" t="n">
        <x:v>0</x:v>
      </x:c>
      <x:c r="O317" t="str">
        <x:v>2022-07-27</x:v>
      </x:c>
      <x:c r="P317" t="n">
        <x:v>1026680.9651120685</x:v>
      </x:c>
    </x:row>
    <x:row r="318" ht="15" hidden="0" customHeight="1">
      <x:c r="A318" s="13" t="str">
        <x:v>2022-07-28</x:v>
      </x:c>
      <x:c r="B318" s="13" t="n">
        <x:v>1</x:v>
      </x:c>
      <x:c r="C318" s="13" t="n">
        <x:v>8</x:v>
      </x:c>
      <x:c r="D318" s="16" t="n">
        <x:v>2399.999999999999</x:v>
      </x:c>
      <x:c r="E318" s="16" t="n">
        <x:v>456.8968513806325</x:v>
      </x:c>
      <x:c r="F318" s="16" t="n">
        <x:v>1943.1031486193665</x:v>
      </x:c>
      <x:c r="G318" s="16" t="n">
        <x:v>54911.35197970454</x:v>
      </x:c>
      <x:c r="H318" s="16" t="n">
        <x:v>334431.1736446539</x:v>
      </x:c>
      <x:c r="I318" s="16" t="n">
        <x:v>1028624.0682606878</x:v>
      </x:c>
      <x:c r="J318" s="16" t="n">
        <x:v>1031177.8893490636</x:v>
      </x:c>
      <x:c r="K318" s="16" t="n">
        <x:v>-2553.821088375873</x:v>
      </x:c>
      <x:c r="L318" s="18" t="n">
        <x:v>-0.0024766057483912</x:v>
      </x:c>
      <x:c r="M318" s="18" t="n">
        <x:v>0.0018926065785269</x:v>
      </x:c>
      <x:c r="O318" t="str">
        <x:v>2022-07-28</x:v>
      </x:c>
      <x:c r="P318" t="n">
        <x:v>1028624.0682606878</x:v>
      </x:c>
    </x:row>
    <x:row r="319" ht="15" hidden="0" customHeight="1">
      <x:c r="A319" s="13" t="str">
        <x:v>2022-07-29</x:v>
      </x:c>
      <x:c r="B319" s="13" t="n">
        <x:v>0</x:v>
      </x:c>
      <x:c r="C319" s="13" t="n">
        <x:v>0</x:v>
      </x:c>
      <x:c r="D319" s="16" t="n">
        <x:v>0</x:v>
      </x:c>
      <x:c r="E319" s="16" t="n">
        <x:v>0</x:v>
      </x:c>
      <x:c r="F319" s="16" t="n">
        <x:v>0</x:v>
      </x:c>
      <x:c r="G319" s="16" t="n">
        <x:v>0</x:v>
      </x:c>
      <x:c r="H319" s="16" t="n">
        <x:v>0</x:v>
      </x:c>
      <x:c r="I319" s="16" t="n">
        <x:v>1028624.0682606878</x:v>
      </x:c>
      <x:c r="J319" s="16" t="n">
        <x:v>1031177.8893490636</x:v>
      </x:c>
      <x:c r="K319" s="16" t="n">
        <x:v>-2553.821088375873</x:v>
      </x:c>
      <x:c r="L319" s="18" t="n">
        <x:v>-0.0024766057483912</x:v>
      </x:c>
      <x:c r="M319" s="18" t="n">
        <x:v>0</x:v>
      </x:c>
      <x:c r="O319" t="str">
        <x:v>2022-07-29</x:v>
      </x:c>
      <x:c r="P319" t="n">
        <x:v>1028624.0682606878</x:v>
      </x:c>
    </x:row>
    <x:row r="320" ht="15" hidden="0" customHeight="1">
      <x:c r="A320" s="13" t="str">
        <x:v>2022-08-01</x:v>
      </x:c>
      <x:c r="B320" s="13" t="n">
        <x:v>0</x:v>
      </x:c>
      <x:c r="C320" s="13" t="n">
        <x:v>0</x:v>
      </x:c>
      <x:c r="D320" s="16" t="n">
        <x:v>0</x:v>
      </x:c>
      <x:c r="E320" s="16" t="n">
        <x:v>0</x:v>
      </x:c>
      <x:c r="F320" s="16" t="n">
        <x:v>0</x:v>
      </x:c>
      <x:c r="G320" s="16" t="n">
        <x:v>0</x:v>
      </x:c>
      <x:c r="H320" s="16" t="n">
        <x:v>0</x:v>
      </x:c>
      <x:c r="I320" s="16" t="n">
        <x:v>1028624.0682606878</x:v>
      </x:c>
      <x:c r="J320" s="16" t="n">
        <x:v>1031177.8893490636</x:v>
      </x:c>
      <x:c r="K320" s="16" t="n">
        <x:v>-2553.821088375873</x:v>
      </x:c>
      <x:c r="L320" s="18" t="n">
        <x:v>-0.0024766057483912</x:v>
      </x:c>
      <x:c r="M320" s="18" t="n">
        <x:v>0</x:v>
      </x:c>
      <x:c r="O320" t="str">
        <x:v>2022-08-01</x:v>
      </x:c>
      <x:c r="P320" t="n">
        <x:v>1028624.0682606878</x:v>
      </x:c>
    </x:row>
    <x:row r="321" ht="15" hidden="0" customHeight="1">
      <x:c r="A321" s="13" t="str">
        <x:v>2022-08-02</x:v>
      </x:c>
      <x:c r="B321" s="13" t="n">
        <x:v>0</x:v>
      </x:c>
      <x:c r="C321" s="13" t="n">
        <x:v>0</x:v>
      </x:c>
      <x:c r="D321" s="16" t="n">
        <x:v>0</x:v>
      </x:c>
      <x:c r="E321" s="16" t="n">
        <x:v>0</x:v>
      </x:c>
      <x:c r="F321" s="16" t="n">
        <x:v>0</x:v>
      </x:c>
      <x:c r="G321" s="16" t="n">
        <x:v>0</x:v>
      </x:c>
      <x:c r="H321" s="16" t="n">
        <x:v>0</x:v>
      </x:c>
      <x:c r="I321" s="16" t="n">
        <x:v>1028624.0682606878</x:v>
      </x:c>
      <x:c r="J321" s="16" t="n">
        <x:v>1031177.8893490636</x:v>
      </x:c>
      <x:c r="K321" s="16" t="n">
        <x:v>-2553.821088375873</x:v>
      </x:c>
      <x:c r="L321" s="18" t="n">
        <x:v>-0.0024766057483912</x:v>
      </x:c>
      <x:c r="M321" s="18" t="n">
        <x:v>0</x:v>
      </x:c>
      <x:c r="O321" t="str">
        <x:v>2022-08-02</x:v>
      </x:c>
      <x:c r="P321" t="n">
        <x:v>1028624.0682606878</x:v>
      </x:c>
    </x:row>
    <x:row r="322" ht="15" hidden="0" customHeight="1">
      <x:c r="A322" s="13" t="str">
        <x:v>2022-08-03</x:v>
      </x:c>
      <x:c r="B322" s="13" t="n">
        <x:v>0</x:v>
      </x:c>
      <x:c r="C322" s="13" t="n">
        <x:v>0</x:v>
      </x:c>
      <x:c r="D322" s="16" t="n">
        <x:v>0</x:v>
      </x:c>
      <x:c r="E322" s="16" t="n">
        <x:v>0</x:v>
      </x:c>
      <x:c r="F322" s="16" t="n">
        <x:v>0</x:v>
      </x:c>
      <x:c r="G322" s="16" t="n">
        <x:v>0</x:v>
      </x:c>
      <x:c r="H322" s="16" t="n">
        <x:v>0</x:v>
      </x:c>
      <x:c r="I322" s="16" t="n">
        <x:v>1028624.0682606878</x:v>
      </x:c>
      <x:c r="J322" s="16" t="n">
        <x:v>1031177.8893490636</x:v>
      </x:c>
      <x:c r="K322" s="16" t="n">
        <x:v>-2553.821088375873</x:v>
      </x:c>
      <x:c r="L322" s="18" t="n">
        <x:v>-0.0024766057483912</x:v>
      </x:c>
      <x:c r="M322" s="18" t="n">
        <x:v>0</x:v>
      </x:c>
      <x:c r="O322" t="str">
        <x:v>2022-08-03</x:v>
      </x:c>
      <x:c r="P322" t="n">
        <x:v>1028624.0682606878</x:v>
      </x:c>
    </x:row>
    <x:row r="323" ht="15" hidden="0" customHeight="1">
      <x:c r="A323" s="13" t="str">
        <x:v>2022-08-04</x:v>
      </x:c>
      <x:c r="B323" s="13" t="n">
        <x:v>0</x:v>
      </x:c>
      <x:c r="C323" s="13" t="n">
        <x:v>0</x:v>
      </x:c>
      <x:c r="D323" s="16" t="n">
        <x:v>0</x:v>
      </x:c>
      <x:c r="E323" s="16" t="n">
        <x:v>0</x:v>
      </x:c>
      <x:c r="F323" s="16" t="n">
        <x:v>0</x:v>
      </x:c>
      <x:c r="G323" s="16" t="n">
        <x:v>0</x:v>
      </x:c>
      <x:c r="H323" s="16" t="n">
        <x:v>0</x:v>
      </x:c>
      <x:c r="I323" s="16" t="n">
        <x:v>1028624.0682606878</x:v>
      </x:c>
      <x:c r="J323" s="16" t="n">
        <x:v>1031177.8893490636</x:v>
      </x:c>
      <x:c r="K323" s="16" t="n">
        <x:v>-2553.821088375873</x:v>
      </x:c>
      <x:c r="L323" s="18" t="n">
        <x:v>-0.0024766057483912</x:v>
      </x:c>
      <x:c r="M323" s="18" t="n">
        <x:v>0</x:v>
      </x:c>
      <x:c r="O323" t="str">
        <x:v>2022-08-04</x:v>
      </x:c>
      <x:c r="P323" t="n">
        <x:v>1028624.0682606878</x:v>
      </x:c>
    </x:row>
    <x:row r="324" ht="15" hidden="0" customHeight="1">
      <x:c r="A324" s="13" t="str">
        <x:v>2022-08-05</x:v>
      </x:c>
      <x:c r="B324" s="13" t="n">
        <x:v>0</x:v>
      </x:c>
      <x:c r="C324" s="13" t="n">
        <x:v>0</x:v>
      </x:c>
      <x:c r="D324" s="16" t="n">
        <x:v>0</x:v>
      </x:c>
      <x:c r="E324" s="16" t="n">
        <x:v>0</x:v>
      </x:c>
      <x:c r="F324" s="16" t="n">
        <x:v>0</x:v>
      </x:c>
      <x:c r="G324" s="16" t="n">
        <x:v>0</x:v>
      </x:c>
      <x:c r="H324" s="16" t="n">
        <x:v>0</x:v>
      </x:c>
      <x:c r="I324" s="16" t="n">
        <x:v>1028624.0682606878</x:v>
      </x:c>
      <x:c r="J324" s="16" t="n">
        <x:v>1031177.8893490636</x:v>
      </x:c>
      <x:c r="K324" s="16" t="n">
        <x:v>-2553.821088375873</x:v>
      </x:c>
      <x:c r="L324" s="18" t="n">
        <x:v>-0.0024766057483912</x:v>
      </x:c>
      <x:c r="M324" s="18" t="n">
        <x:v>0</x:v>
      </x:c>
      <x:c r="O324" t="str">
        <x:v>2022-08-05</x:v>
      </x:c>
      <x:c r="P324" t="n">
        <x:v>1028624.0682606878</x:v>
      </x:c>
    </x:row>
    <x:row r="325" ht="15" hidden="0" customHeight="1">
      <x:c r="A325" s="13" t="str">
        <x:v>2022-08-08</x:v>
      </x:c>
      <x:c r="B325" s="13" t="n">
        <x:v>0</x:v>
      </x:c>
      <x:c r="C325" s="13" t="n">
        <x:v>0</x:v>
      </x:c>
      <x:c r="D325" s="16" t="n">
        <x:v>0</x:v>
      </x:c>
      <x:c r="E325" s="16" t="n">
        <x:v>0</x:v>
      </x:c>
      <x:c r="F325" s="16" t="n">
        <x:v>0</x:v>
      </x:c>
      <x:c r="G325" s="16" t="n">
        <x:v>0</x:v>
      </x:c>
      <x:c r="H325" s="16" t="n">
        <x:v>0</x:v>
      </x:c>
      <x:c r="I325" s="16" t="n">
        <x:v>1028624.0682606878</x:v>
      </x:c>
      <x:c r="J325" s="16" t="n">
        <x:v>1031177.8893490636</x:v>
      </x:c>
      <x:c r="K325" s="16" t="n">
        <x:v>-2553.821088375873</x:v>
      </x:c>
      <x:c r="L325" s="18" t="n">
        <x:v>-0.0024766057483912</x:v>
      </x:c>
      <x:c r="M325" s="18" t="n">
        <x:v>0</x:v>
      </x:c>
      <x:c r="O325" t="str">
        <x:v>2022-08-08</x:v>
      </x:c>
      <x:c r="P325" t="n">
        <x:v>1028624.0682606878</x:v>
      </x:c>
    </x:row>
    <x:row r="326" ht="15" hidden="0" customHeight="1">
      <x:c r="A326" s="13" t="str">
        <x:v>2022-08-09</x:v>
      </x:c>
      <x:c r="B326" s="13" t="n">
        <x:v>0</x:v>
      </x:c>
      <x:c r="C326" s="13" t="n">
        <x:v>0</x:v>
      </x:c>
      <x:c r="D326" s="16" t="n">
        <x:v>0</x:v>
      </x:c>
      <x:c r="E326" s="16" t="n">
        <x:v>0</x:v>
      </x:c>
      <x:c r="F326" s="16" t="n">
        <x:v>0</x:v>
      </x:c>
      <x:c r="G326" s="16" t="n">
        <x:v>0</x:v>
      </x:c>
      <x:c r="H326" s="16" t="n">
        <x:v>0</x:v>
      </x:c>
      <x:c r="I326" s="16" t="n">
        <x:v>1028624.0682606878</x:v>
      </x:c>
      <x:c r="J326" s="16" t="n">
        <x:v>1031177.8893490636</x:v>
      </x:c>
      <x:c r="K326" s="16" t="n">
        <x:v>-2553.821088375873</x:v>
      </x:c>
      <x:c r="L326" s="18" t="n">
        <x:v>-0.0024766057483912</x:v>
      </x:c>
      <x:c r="M326" s="18" t="n">
        <x:v>0</x:v>
      </x:c>
      <x:c r="O326" t="str">
        <x:v>2022-08-09</x:v>
      </x:c>
      <x:c r="P326" t="n">
        <x:v>1028624.0682606878</x:v>
      </x:c>
    </x:row>
    <x:row r="327" ht="15" hidden="0" customHeight="1">
      <x:c r="A327" s="13" t="str">
        <x:v>2022-08-10</x:v>
      </x:c>
      <x:c r="B327" s="13" t="n">
        <x:v>1</x:v>
      </x:c>
      <x:c r="C327" s="13" t="n">
        <x:v>7</x:v>
      </x:c>
      <x:c r="D327" s="16" t="n">
        <x:v>-454.999999999999</x:v>
      </x:c>
      <x:c r="E327" s="16" t="n">
        <x:v>770.0984798105194</x:v>
      </x:c>
      <x:c r="F327" s="16" t="n">
        <x:v>-1225.0984798105185</x:v>
      </x:c>
      <x:c r="G327" s="16" t="n">
        <x:v>156764.79404057848</x:v>
      </x:c>
      <x:c r="H327" s="16" t="n">
        <x:v>318951.7261956677</x:v>
      </x:c>
      <x:c r="I327" s="16" t="n">
        <x:v>1027398.9697808772</x:v>
      </x:c>
      <x:c r="J327" s="16" t="n">
        <x:v>1031177.8893490636</x:v>
      </x:c>
      <x:c r="K327" s="16" t="n">
        <x:v>-3778.919568186393</x:v>
      </x:c>
      <x:c r="L327" s="18" t="n">
        <x:v>-0.0036646631073246</x:v>
      </x:c>
      <x:c r="M327" s="18" t="n">
        <x:v>-0.0011910070137499</x:v>
      </x:c>
      <x:c r="O327" t="str">
        <x:v>2022-08-10</x:v>
      </x:c>
      <x:c r="P327" t="n">
        <x:v>1027398.9697808772</x:v>
      </x:c>
    </x:row>
    <x:row r="328" ht="15" hidden="0" customHeight="1">
      <x:c r="A328" s="13" t="str">
        <x:v>2022-08-11</x:v>
      </x:c>
      <x:c r="B328" s="13" t="n">
        <x:v>0</x:v>
      </x:c>
      <x:c r="C328" s="13" t="n">
        <x:v>0</x:v>
      </x:c>
      <x:c r="D328" s="16" t="n">
        <x:v>0</x:v>
      </x:c>
      <x:c r="E328" s="16" t="n">
        <x:v>0</x:v>
      </x:c>
      <x:c r="F328" s="16" t="n">
        <x:v>0</x:v>
      </x:c>
      <x:c r="G328" s="16" t="n">
        <x:v>0</x:v>
      </x:c>
      <x:c r="H328" s="16" t="n">
        <x:v>0</x:v>
      </x:c>
      <x:c r="I328" s="16" t="n">
        <x:v>1027398.9697808772</x:v>
      </x:c>
      <x:c r="J328" s="16" t="n">
        <x:v>1031177.8893490636</x:v>
      </x:c>
      <x:c r="K328" s="16" t="n">
        <x:v>-3778.919568186393</x:v>
      </x:c>
      <x:c r="L328" s="18" t="n">
        <x:v>-0.0036646631073246</x:v>
      </x:c>
      <x:c r="M328" s="18" t="n">
        <x:v>0</x:v>
      </x:c>
      <x:c r="O328" t="str">
        <x:v>2022-08-11</x:v>
      </x:c>
      <x:c r="P328" t="n">
        <x:v>1027398.9697808772</x:v>
      </x:c>
    </x:row>
    <x:row r="329" ht="15" hidden="0" customHeight="1">
      <x:c r="A329" s="13" t="str">
        <x:v>2022-08-12</x:v>
      </x:c>
      <x:c r="B329" s="13" t="n">
        <x:v>0</x:v>
      </x:c>
      <x:c r="C329" s="13" t="n">
        <x:v>0</x:v>
      </x:c>
      <x:c r="D329" s="16" t="n">
        <x:v>0</x:v>
      </x:c>
      <x:c r="E329" s="16" t="n">
        <x:v>0</x:v>
      </x:c>
      <x:c r="F329" s="16" t="n">
        <x:v>0</x:v>
      </x:c>
      <x:c r="G329" s="16" t="n">
        <x:v>0</x:v>
      </x:c>
      <x:c r="H329" s="16" t="n">
        <x:v>0</x:v>
      </x:c>
      <x:c r="I329" s="16" t="n">
        <x:v>1027398.9697808772</x:v>
      </x:c>
      <x:c r="J329" s="16" t="n">
        <x:v>1031177.8893490636</x:v>
      </x:c>
      <x:c r="K329" s="16" t="n">
        <x:v>-3778.919568186393</x:v>
      </x:c>
      <x:c r="L329" s="18" t="n">
        <x:v>-0.0036646631073246</x:v>
      </x:c>
      <x:c r="M329" s="18" t="n">
        <x:v>0</x:v>
      </x:c>
      <x:c r="O329" t="str">
        <x:v>2022-08-12</x:v>
      </x:c>
      <x:c r="P329" t="n">
        <x:v>1027398.9697808772</x:v>
      </x:c>
    </x:row>
    <x:row r="330" ht="15" hidden="0" customHeight="1">
      <x:c r="A330" s="13" t="str">
        <x:v>2022-08-15</x:v>
      </x:c>
      <x:c r="B330" s="13" t="n">
        <x:v>0</x:v>
      </x:c>
      <x:c r="C330" s="13" t="n">
        <x:v>0</x:v>
      </x:c>
      <x:c r="D330" s="16" t="n">
        <x:v>0</x:v>
      </x:c>
      <x:c r="E330" s="16" t="n">
        <x:v>0</x:v>
      </x:c>
      <x:c r="F330" s="16" t="n">
        <x:v>0</x:v>
      </x:c>
      <x:c r="G330" s="16" t="n">
        <x:v>0</x:v>
      </x:c>
      <x:c r="H330" s="16" t="n">
        <x:v>0</x:v>
      </x:c>
      <x:c r="I330" s="16" t="n">
        <x:v>1027398.9697808772</x:v>
      </x:c>
      <x:c r="J330" s="16" t="n">
        <x:v>1031177.8893490636</x:v>
      </x:c>
      <x:c r="K330" s="16" t="n">
        <x:v>-3778.919568186393</x:v>
      </x:c>
      <x:c r="L330" s="18" t="n">
        <x:v>-0.0036646631073246</x:v>
      </x:c>
      <x:c r="M330" s="18" t="n">
        <x:v>0</x:v>
      </x:c>
      <x:c r="O330" t="str">
        <x:v>2022-08-15</x:v>
      </x:c>
      <x:c r="P330" t="n">
        <x:v>1027398.9697808772</x:v>
      </x:c>
    </x:row>
    <x:row r="331" ht="15" hidden="0" customHeight="1">
      <x:c r="A331" s="13" t="str">
        <x:v>2022-08-16</x:v>
      </x:c>
      <x:c r="B331" s="13" t="n">
        <x:v>0</x:v>
      </x:c>
      <x:c r="C331" s="13" t="n">
        <x:v>0</x:v>
      </x:c>
      <x:c r="D331" s="16" t="n">
        <x:v>0</x:v>
      </x:c>
      <x:c r="E331" s="16" t="n">
        <x:v>0</x:v>
      </x:c>
      <x:c r="F331" s="16" t="n">
        <x:v>0</x:v>
      </x:c>
      <x:c r="G331" s="16" t="n">
        <x:v>0</x:v>
      </x:c>
      <x:c r="H331" s="16" t="n">
        <x:v>0</x:v>
      </x:c>
      <x:c r="I331" s="16" t="n">
        <x:v>1027398.9697808772</x:v>
      </x:c>
      <x:c r="J331" s="16" t="n">
        <x:v>1031177.8893490636</x:v>
      </x:c>
      <x:c r="K331" s="16" t="n">
        <x:v>-3778.919568186393</x:v>
      </x:c>
      <x:c r="L331" s="18" t="n">
        <x:v>-0.0036646631073246</x:v>
      </x:c>
      <x:c r="M331" s="18" t="n">
        <x:v>0</x:v>
      </x:c>
      <x:c r="O331" t="str">
        <x:v>2022-08-16</x:v>
      </x:c>
      <x:c r="P331" t="n">
        <x:v>1027398.9697808772</x:v>
      </x:c>
    </x:row>
    <x:row r="332" ht="15" hidden="0" customHeight="1">
      <x:c r="A332" s="13" t="str">
        <x:v>2022-08-17</x:v>
      </x:c>
      <x:c r="B332" s="13" t="n">
        <x:v>0</x:v>
      </x:c>
      <x:c r="C332" s="13" t="n">
        <x:v>0</x:v>
      </x:c>
      <x:c r="D332" s="16" t="n">
        <x:v>0</x:v>
      </x:c>
      <x:c r="E332" s="16" t="n">
        <x:v>0</x:v>
      </x:c>
      <x:c r="F332" s="16" t="n">
        <x:v>0</x:v>
      </x:c>
      <x:c r="G332" s="16" t="n">
        <x:v>0</x:v>
      </x:c>
      <x:c r="H332" s="16" t="n">
        <x:v>0</x:v>
      </x:c>
      <x:c r="I332" s="16" t="n">
        <x:v>1027398.9697808772</x:v>
      </x:c>
      <x:c r="J332" s="16" t="n">
        <x:v>1031177.8893490636</x:v>
      </x:c>
      <x:c r="K332" s="16" t="n">
        <x:v>-3778.919568186393</x:v>
      </x:c>
      <x:c r="L332" s="18" t="n">
        <x:v>-0.0036646631073246</x:v>
      </x:c>
      <x:c r="M332" s="18" t="n">
        <x:v>0</x:v>
      </x:c>
      <x:c r="O332" t="str">
        <x:v>2022-08-17</x:v>
      </x:c>
      <x:c r="P332" t="n">
        <x:v>1027398.9697808772</x:v>
      </x:c>
    </x:row>
    <x:row r="333" ht="15" hidden="0" customHeight="1">
      <x:c r="A333" s="13" t="str">
        <x:v>2022-08-18</x:v>
      </x:c>
      <x:c r="B333" s="13" t="n">
        <x:v>0</x:v>
      </x:c>
      <x:c r="C333" s="13" t="n">
        <x:v>0</x:v>
      </x:c>
      <x:c r="D333" s="16" t="n">
        <x:v>0</x:v>
      </x:c>
      <x:c r="E333" s="16" t="n">
        <x:v>0</x:v>
      </x:c>
      <x:c r="F333" s="16" t="n">
        <x:v>0</x:v>
      </x:c>
      <x:c r="G333" s="16" t="n">
        <x:v>0</x:v>
      </x:c>
      <x:c r="H333" s="16" t="n">
        <x:v>0</x:v>
      </x:c>
      <x:c r="I333" s="16" t="n">
        <x:v>1027398.9697808772</x:v>
      </x:c>
      <x:c r="J333" s="16" t="n">
        <x:v>1031177.8893490636</x:v>
      </x:c>
      <x:c r="K333" s="16" t="n">
        <x:v>-3778.919568186393</x:v>
      </x:c>
      <x:c r="L333" s="18" t="n">
        <x:v>-0.0036646631073246</x:v>
      </x:c>
      <x:c r="M333" s="18" t="n">
        <x:v>0</x:v>
      </x:c>
      <x:c r="O333" t="str">
        <x:v>2022-08-18</x:v>
      </x:c>
      <x:c r="P333" t="n">
        <x:v>1027398.9697808772</x:v>
      </x:c>
    </x:row>
    <x:row r="334" ht="15" hidden="0" customHeight="1">
      <x:c r="A334" s="13" t="str">
        <x:v>2022-08-19</x:v>
      </x:c>
      <x:c r="B334" s="13" t="n">
        <x:v>0</x:v>
      </x:c>
      <x:c r="C334" s="13" t="n">
        <x:v>0</x:v>
      </x:c>
      <x:c r="D334" s="16" t="n">
        <x:v>0</x:v>
      </x:c>
      <x:c r="E334" s="16" t="n">
        <x:v>0</x:v>
      </x:c>
      <x:c r="F334" s="16" t="n">
        <x:v>0</x:v>
      </x:c>
      <x:c r="G334" s="16" t="n">
        <x:v>0</x:v>
      </x:c>
      <x:c r="H334" s="16" t="n">
        <x:v>0</x:v>
      </x:c>
      <x:c r="I334" s="16" t="n">
        <x:v>1027398.9697808772</x:v>
      </x:c>
      <x:c r="J334" s="16" t="n">
        <x:v>1031177.8893490636</x:v>
      </x:c>
      <x:c r="K334" s="16" t="n">
        <x:v>-3778.919568186393</x:v>
      </x:c>
      <x:c r="L334" s="18" t="n">
        <x:v>-0.0036646631073246</x:v>
      </x:c>
      <x:c r="M334" s="18" t="n">
        <x:v>0</x:v>
      </x:c>
      <x:c r="O334" t="str">
        <x:v>2022-08-19</x:v>
      </x:c>
      <x:c r="P334" t="n">
        <x:v>1027398.9697808772</x:v>
      </x:c>
    </x:row>
    <x:row r="335" ht="15" hidden="0" customHeight="1">
      <x:c r="A335" s="13" t="str">
        <x:v>2022-08-22</x:v>
      </x:c>
      <x:c r="B335" s="13" t="n">
        <x:v>0</x:v>
      </x:c>
      <x:c r="C335" s="13" t="n">
        <x:v>0</x:v>
      </x:c>
      <x:c r="D335" s="16" t="n">
        <x:v>0</x:v>
      </x:c>
      <x:c r="E335" s="16" t="n">
        <x:v>0</x:v>
      </x:c>
      <x:c r="F335" s="16" t="n">
        <x:v>0</x:v>
      </x:c>
      <x:c r="G335" s="16" t="n">
        <x:v>0</x:v>
      </x:c>
      <x:c r="H335" s="16" t="n">
        <x:v>0</x:v>
      </x:c>
      <x:c r="I335" s="16" t="n">
        <x:v>1027398.9697808772</x:v>
      </x:c>
      <x:c r="J335" s="16" t="n">
        <x:v>1031177.8893490636</x:v>
      </x:c>
      <x:c r="K335" s="16" t="n">
        <x:v>-3778.919568186393</x:v>
      </x:c>
      <x:c r="L335" s="18" t="n">
        <x:v>-0.0036646631073246</x:v>
      </x:c>
      <x:c r="M335" s="18" t="n">
        <x:v>0</x:v>
      </x:c>
      <x:c r="O335" t="str">
        <x:v>2022-08-22</x:v>
      </x:c>
      <x:c r="P335" t="n">
        <x:v>1027398.9697808772</x:v>
      </x:c>
    </x:row>
    <x:row r="336" ht="15" hidden="0" customHeight="1">
      <x:c r="A336" s="13" t="str">
        <x:v>2022-08-23</x:v>
      </x:c>
      <x:c r="B336" s="13" t="n">
        <x:v>0</x:v>
      </x:c>
      <x:c r="C336" s="13" t="n">
        <x:v>0</x:v>
      </x:c>
      <x:c r="D336" s="16" t="n">
        <x:v>0</x:v>
      </x:c>
      <x:c r="E336" s="16" t="n">
        <x:v>0</x:v>
      </x:c>
      <x:c r="F336" s="16" t="n">
        <x:v>0</x:v>
      </x:c>
      <x:c r="G336" s="16" t="n">
        <x:v>0</x:v>
      </x:c>
      <x:c r="H336" s="16" t="n">
        <x:v>0</x:v>
      </x:c>
      <x:c r="I336" s="16" t="n">
        <x:v>1027398.9697808772</x:v>
      </x:c>
      <x:c r="J336" s="16" t="n">
        <x:v>1031177.8893490636</x:v>
      </x:c>
      <x:c r="K336" s="16" t="n">
        <x:v>-3778.919568186393</x:v>
      </x:c>
      <x:c r="L336" s="18" t="n">
        <x:v>-0.0036646631073246</x:v>
      </x:c>
      <x:c r="M336" s="18" t="n">
        <x:v>0</x:v>
      </x:c>
      <x:c r="O336" t="str">
        <x:v>2022-08-23</x:v>
      </x:c>
      <x:c r="P336" t="n">
        <x:v>1027398.9697808772</x:v>
      </x:c>
    </x:row>
    <x:row r="337" ht="15" hidden="0" customHeight="1">
      <x:c r="A337" s="13" t="str">
        <x:v>2022-08-24</x:v>
      </x:c>
      <x:c r="B337" s="13" t="n">
        <x:v>0</x:v>
      </x:c>
      <x:c r="C337" s="13" t="n">
        <x:v>0</x:v>
      </x:c>
      <x:c r="D337" s="16" t="n">
        <x:v>0</x:v>
      </x:c>
      <x:c r="E337" s="16" t="n">
        <x:v>0</x:v>
      </x:c>
      <x:c r="F337" s="16" t="n">
        <x:v>0</x:v>
      </x:c>
      <x:c r="G337" s="16" t="n">
        <x:v>0</x:v>
      </x:c>
      <x:c r="H337" s="16" t="n">
        <x:v>0</x:v>
      </x:c>
      <x:c r="I337" s="16" t="n">
        <x:v>1027398.9697808772</x:v>
      </x:c>
      <x:c r="J337" s="16" t="n">
        <x:v>1031177.8893490636</x:v>
      </x:c>
      <x:c r="K337" s="16" t="n">
        <x:v>-3778.919568186393</x:v>
      </x:c>
      <x:c r="L337" s="18" t="n">
        <x:v>-0.0036646631073246</x:v>
      </x:c>
      <x:c r="M337" s="18" t="n">
        <x:v>0</x:v>
      </x:c>
      <x:c r="O337" t="str">
        <x:v>2022-08-24</x:v>
      </x:c>
      <x:c r="P337" t="n">
        <x:v>1027398.9697808772</x:v>
      </x:c>
    </x:row>
    <x:row r="338" ht="15" hidden="0" customHeight="1">
      <x:c r="A338" s="13" t="str">
        <x:v>2022-08-25</x:v>
      </x:c>
      <x:c r="B338" s="13" t="n">
        <x:v>0</x:v>
      </x:c>
      <x:c r="C338" s="13" t="n">
        <x:v>0</x:v>
      </x:c>
      <x:c r="D338" s="16" t="n">
        <x:v>0</x:v>
      </x:c>
      <x:c r="E338" s="16" t="n">
        <x:v>0</x:v>
      </x:c>
      <x:c r="F338" s="16" t="n">
        <x:v>0</x:v>
      </x:c>
      <x:c r="G338" s="16" t="n">
        <x:v>0</x:v>
      </x:c>
      <x:c r="H338" s="16" t="n">
        <x:v>0</x:v>
      </x:c>
      <x:c r="I338" s="16" t="n">
        <x:v>1027398.9697808772</x:v>
      </x:c>
      <x:c r="J338" s="16" t="n">
        <x:v>1031177.8893490636</x:v>
      </x:c>
      <x:c r="K338" s="16" t="n">
        <x:v>-3778.919568186393</x:v>
      </x:c>
      <x:c r="L338" s="18" t="n">
        <x:v>-0.0036646631073246</x:v>
      </x:c>
      <x:c r="M338" s="18" t="n">
        <x:v>0</x:v>
      </x:c>
      <x:c r="O338" t="str">
        <x:v>2022-08-25</x:v>
      </x:c>
      <x:c r="P338" t="n">
        <x:v>1027398.9697808772</x:v>
      </x:c>
    </x:row>
    <x:row r="339" ht="15" hidden="0" customHeight="1">
      <x:c r="A339" s="13" t="str">
        <x:v>2022-08-26</x:v>
      </x:c>
      <x:c r="B339" s="13" t="n">
        <x:v>0</x:v>
      </x:c>
      <x:c r="C339" s="13" t="n">
        <x:v>0</x:v>
      </x:c>
      <x:c r="D339" s="16" t="n">
        <x:v>0</x:v>
      </x:c>
      <x:c r="E339" s="16" t="n">
        <x:v>0</x:v>
      </x:c>
      <x:c r="F339" s="16" t="n">
        <x:v>0</x:v>
      </x:c>
      <x:c r="G339" s="16" t="n">
        <x:v>0</x:v>
      </x:c>
      <x:c r="H339" s="16" t="n">
        <x:v>0</x:v>
      </x:c>
      <x:c r="I339" s="16" t="n">
        <x:v>1027398.9697808772</x:v>
      </x:c>
      <x:c r="J339" s="16" t="n">
        <x:v>1031177.8893490636</x:v>
      </x:c>
      <x:c r="K339" s="16" t="n">
        <x:v>-3778.919568186393</x:v>
      </x:c>
      <x:c r="L339" s="18" t="n">
        <x:v>-0.0036646631073246</x:v>
      </x:c>
      <x:c r="M339" s="18" t="n">
        <x:v>0</x:v>
      </x:c>
      <x:c r="O339" t="str">
        <x:v>2022-08-26</x:v>
      </x:c>
      <x:c r="P339" t="n">
        <x:v>1027398.9697808772</x:v>
      </x:c>
    </x:row>
    <x:row r="340" ht="15" hidden="0" customHeight="1">
      <x:c r="A340" s="13" t="str">
        <x:v>2022-08-29</x:v>
      </x:c>
      <x:c r="B340" s="13" t="n">
        <x:v>0</x:v>
      </x:c>
      <x:c r="C340" s="13" t="n">
        <x:v>0</x:v>
      </x:c>
      <x:c r="D340" s="16" t="n">
        <x:v>0</x:v>
      </x:c>
      <x:c r="E340" s="16" t="n">
        <x:v>0</x:v>
      </x:c>
      <x:c r="F340" s="16" t="n">
        <x:v>0</x:v>
      </x:c>
      <x:c r="G340" s="16" t="n">
        <x:v>0</x:v>
      </x:c>
      <x:c r="H340" s="16" t="n">
        <x:v>0</x:v>
      </x:c>
      <x:c r="I340" s="16" t="n">
        <x:v>1027398.9697808772</x:v>
      </x:c>
      <x:c r="J340" s="16" t="n">
        <x:v>1031177.8893490636</x:v>
      </x:c>
      <x:c r="K340" s="16" t="n">
        <x:v>-3778.919568186393</x:v>
      </x:c>
      <x:c r="L340" s="18" t="n">
        <x:v>-0.0036646631073246</x:v>
      </x:c>
      <x:c r="M340" s="18" t="n">
        <x:v>0</x:v>
      </x:c>
      <x:c r="O340" t="str">
        <x:v>2022-08-29</x:v>
      </x:c>
      <x:c r="P340" t="n">
        <x:v>1027398.9697808772</x:v>
      </x:c>
    </x:row>
    <x:row r="341" ht="15" hidden="0" customHeight="1">
      <x:c r="A341" s="13" t="str">
        <x:v>2022-08-30</x:v>
      </x:c>
      <x:c r="B341" s="13" t="n">
        <x:v>0</x:v>
      </x:c>
      <x:c r="C341" s="13" t="n">
        <x:v>0</x:v>
      </x:c>
      <x:c r="D341" s="16" t="n">
        <x:v>0</x:v>
      </x:c>
      <x:c r="E341" s="16" t="n">
        <x:v>0</x:v>
      </x:c>
      <x:c r="F341" s="16" t="n">
        <x:v>0</x:v>
      </x:c>
      <x:c r="G341" s="16" t="n">
        <x:v>0</x:v>
      </x:c>
      <x:c r="H341" s="16" t="n">
        <x:v>0</x:v>
      </x:c>
      <x:c r="I341" s="16" t="n">
        <x:v>1027398.9697808772</x:v>
      </x:c>
      <x:c r="J341" s="16" t="n">
        <x:v>1031177.8893490636</x:v>
      </x:c>
      <x:c r="K341" s="16" t="n">
        <x:v>-3778.919568186393</x:v>
      </x:c>
      <x:c r="L341" s="18" t="n">
        <x:v>-0.0036646631073246</x:v>
      </x:c>
      <x:c r="M341" s="18" t="n">
        <x:v>0</x:v>
      </x:c>
      <x:c r="O341" t="str">
        <x:v>2022-08-30</x:v>
      </x:c>
      <x:c r="P341" t="n">
        <x:v>1027398.9697808772</x:v>
      </x:c>
    </x:row>
    <x:row r="342" ht="15" hidden="0" customHeight="1">
      <x:c r="A342" s="13" t="str">
        <x:v>2022-08-31</x:v>
      </x:c>
      <x:c r="B342" s="13" t="n">
        <x:v>0</x:v>
      </x:c>
      <x:c r="C342" s="13" t="n">
        <x:v>0</x:v>
      </x:c>
      <x:c r="D342" s="16" t="n">
        <x:v>0</x:v>
      </x:c>
      <x:c r="E342" s="16" t="n">
        <x:v>0</x:v>
      </x:c>
      <x:c r="F342" s="16" t="n">
        <x:v>0</x:v>
      </x:c>
      <x:c r="G342" s="16" t="n">
        <x:v>0</x:v>
      </x:c>
      <x:c r="H342" s="16" t="n">
        <x:v>0</x:v>
      </x:c>
      <x:c r="I342" s="16" t="n">
        <x:v>1027398.9697808772</x:v>
      </x:c>
      <x:c r="J342" s="16" t="n">
        <x:v>1031177.8893490636</x:v>
      </x:c>
      <x:c r="K342" s="16" t="n">
        <x:v>-3778.919568186393</x:v>
      </x:c>
      <x:c r="L342" s="18" t="n">
        <x:v>-0.0036646631073246</x:v>
      </x:c>
      <x:c r="M342" s="18" t="n">
        <x:v>0</x:v>
      </x:c>
      <x:c r="O342" t="str">
        <x:v>2022-08-31</x:v>
      </x:c>
      <x:c r="P342" t="n">
        <x:v>1027398.9697808772</x:v>
      </x:c>
    </x:row>
    <x:row r="343" ht="15" hidden="0" customHeight="1">
      <x:c r="A343" s="13" t="str">
        <x:v>2022-09-01</x:v>
      </x:c>
      <x:c r="B343" s="13" t="n">
        <x:v>0</x:v>
      </x:c>
      <x:c r="C343" s="13" t="n">
        <x:v>0</x:v>
      </x:c>
      <x:c r="D343" s="16" t="n">
        <x:v>0</x:v>
      </x:c>
      <x:c r="E343" s="16" t="n">
        <x:v>0</x:v>
      </x:c>
      <x:c r="F343" s="16" t="n">
        <x:v>0</x:v>
      </x:c>
      <x:c r="G343" s="16" t="n">
        <x:v>0</x:v>
      </x:c>
      <x:c r="H343" s="16" t="n">
        <x:v>0</x:v>
      </x:c>
      <x:c r="I343" s="16" t="n">
        <x:v>1027398.9697808772</x:v>
      </x:c>
      <x:c r="J343" s="16" t="n">
        <x:v>1031177.8893490636</x:v>
      </x:c>
      <x:c r="K343" s="16" t="n">
        <x:v>-3778.919568186393</x:v>
      </x:c>
      <x:c r="L343" s="18" t="n">
        <x:v>-0.0036646631073246</x:v>
      </x:c>
      <x:c r="M343" s="18" t="n">
        <x:v>0</x:v>
      </x:c>
      <x:c r="O343" t="str">
        <x:v>2022-09-01</x:v>
      </x:c>
      <x:c r="P343" t="n">
        <x:v>1027398.9697808772</x:v>
      </x:c>
    </x:row>
    <x:row r="344" ht="15" hidden="0" customHeight="1">
      <x:c r="A344" s="13" t="str">
        <x:v>2022-09-02</x:v>
      </x:c>
      <x:c r="B344" s="13" t="n">
        <x:v>0</x:v>
      </x:c>
      <x:c r="C344" s="13" t="n">
        <x:v>0</x:v>
      </x:c>
      <x:c r="D344" s="16" t="n">
        <x:v>0</x:v>
      </x:c>
      <x:c r="E344" s="16" t="n">
        <x:v>0</x:v>
      </x:c>
      <x:c r="F344" s="16" t="n">
        <x:v>0</x:v>
      </x:c>
      <x:c r="G344" s="16" t="n">
        <x:v>0</x:v>
      </x:c>
      <x:c r="H344" s="16" t="n">
        <x:v>0</x:v>
      </x:c>
      <x:c r="I344" s="16" t="n">
        <x:v>1027398.9697808772</x:v>
      </x:c>
      <x:c r="J344" s="16" t="n">
        <x:v>1031177.8893490636</x:v>
      </x:c>
      <x:c r="K344" s="16" t="n">
        <x:v>-3778.919568186393</x:v>
      </x:c>
      <x:c r="L344" s="18" t="n">
        <x:v>-0.0036646631073246</x:v>
      </x:c>
      <x:c r="M344" s="18" t="n">
        <x:v>0</x:v>
      </x:c>
      <x:c r="O344" t="str">
        <x:v>2022-09-02</x:v>
      </x:c>
      <x:c r="P344" t="n">
        <x:v>1027398.9697808772</x:v>
      </x:c>
    </x:row>
    <x:row r="345" ht="15" hidden="0" customHeight="1">
      <x:c r="A345" s="13" t="str">
        <x:v>2022-09-05</x:v>
      </x:c>
      <x:c r="B345" s="13" t="n">
        <x:v>0</x:v>
      </x:c>
      <x:c r="C345" s="13" t="n">
        <x:v>0</x:v>
      </x:c>
      <x:c r="D345" s="16" t="n">
        <x:v>0</x:v>
      </x:c>
      <x:c r="E345" s="16" t="n">
        <x:v>0</x:v>
      </x:c>
      <x:c r="F345" s="16" t="n">
        <x:v>0</x:v>
      </x:c>
      <x:c r="G345" s="16" t="n">
        <x:v>0</x:v>
      </x:c>
      <x:c r="H345" s="16" t="n">
        <x:v>0</x:v>
      </x:c>
      <x:c r="I345" s="16" t="n">
        <x:v>1027398.9697808772</x:v>
      </x:c>
      <x:c r="J345" s="16" t="n">
        <x:v>1031177.8893490636</x:v>
      </x:c>
      <x:c r="K345" s="16" t="n">
        <x:v>-3778.919568186393</x:v>
      </x:c>
      <x:c r="L345" s="18" t="n">
        <x:v>-0.0036646631073246</x:v>
      </x:c>
      <x:c r="M345" s="18" t="n">
        <x:v>0</x:v>
      </x:c>
      <x:c r="O345" t="str">
        <x:v>2022-09-05</x:v>
      </x:c>
      <x:c r="P345" t="n">
        <x:v>1027398.9697808772</x:v>
      </x:c>
    </x:row>
    <x:row r="346" ht="15" hidden="0" customHeight="1">
      <x:c r="A346" s="13" t="str">
        <x:v>2022-09-06</x:v>
      </x:c>
      <x:c r="B346" s="13" t="n">
        <x:v>0</x:v>
      </x:c>
      <x:c r="C346" s="13" t="n">
        <x:v>0</x:v>
      </x:c>
      <x:c r="D346" s="16" t="n">
        <x:v>0</x:v>
      </x:c>
      <x:c r="E346" s="16" t="n">
        <x:v>0</x:v>
      </x:c>
      <x:c r="F346" s="16" t="n">
        <x:v>0</x:v>
      </x:c>
      <x:c r="G346" s="16" t="n">
        <x:v>0</x:v>
      </x:c>
      <x:c r="H346" s="16" t="n">
        <x:v>0</x:v>
      </x:c>
      <x:c r="I346" s="16" t="n">
        <x:v>1027398.9697808772</x:v>
      </x:c>
      <x:c r="J346" s="16" t="n">
        <x:v>1031177.8893490636</x:v>
      </x:c>
      <x:c r="K346" s="16" t="n">
        <x:v>-3778.919568186393</x:v>
      </x:c>
      <x:c r="L346" s="18" t="n">
        <x:v>-0.0036646631073246</x:v>
      </x:c>
      <x:c r="M346" s="18" t="n">
        <x:v>0</x:v>
      </x:c>
      <x:c r="O346" t="str">
        <x:v>2022-09-06</x:v>
      </x:c>
      <x:c r="P346" t="n">
        <x:v>1027398.9697808772</x:v>
      </x:c>
    </x:row>
    <x:row r="347" ht="15" hidden="0" customHeight="1">
      <x:c r="A347" s="13" t="str">
        <x:v>2022-09-07</x:v>
      </x:c>
      <x:c r="B347" s="13" t="n">
        <x:v>0</x:v>
      </x:c>
      <x:c r="C347" s="13" t="n">
        <x:v>0</x:v>
      </x:c>
      <x:c r="D347" s="16" t="n">
        <x:v>0</x:v>
      </x:c>
      <x:c r="E347" s="16" t="n">
        <x:v>0</x:v>
      </x:c>
      <x:c r="F347" s="16" t="n">
        <x:v>0</x:v>
      </x:c>
      <x:c r="G347" s="16" t="n">
        <x:v>0</x:v>
      </x:c>
      <x:c r="H347" s="16" t="n">
        <x:v>0</x:v>
      </x:c>
      <x:c r="I347" s="16" t="n">
        <x:v>1027398.9697808772</x:v>
      </x:c>
      <x:c r="J347" s="16" t="n">
        <x:v>1031177.8893490636</x:v>
      </x:c>
      <x:c r="K347" s="16" t="n">
        <x:v>-3778.919568186393</x:v>
      </x:c>
      <x:c r="L347" s="18" t="n">
        <x:v>-0.0036646631073246</x:v>
      </x:c>
      <x:c r="M347" s="18" t="n">
        <x:v>0</x:v>
      </x:c>
      <x:c r="O347" t="str">
        <x:v>2022-09-07</x:v>
      </x:c>
      <x:c r="P347" t="n">
        <x:v>1027398.9697808772</x:v>
      </x:c>
    </x:row>
    <x:row r="348" ht="15" hidden="0" customHeight="1">
      <x:c r="A348" s="13" t="str">
        <x:v>2022-09-08</x:v>
      </x:c>
      <x:c r="B348" s="13" t="n">
        <x:v>0</x:v>
      </x:c>
      <x:c r="C348" s="13" t="n">
        <x:v>0</x:v>
      </x:c>
      <x:c r="D348" s="16" t="n">
        <x:v>0</x:v>
      </x:c>
      <x:c r="E348" s="16" t="n">
        <x:v>0</x:v>
      </x:c>
      <x:c r="F348" s="16" t="n">
        <x:v>0</x:v>
      </x:c>
      <x:c r="G348" s="16" t="n">
        <x:v>0</x:v>
      </x:c>
      <x:c r="H348" s="16" t="n">
        <x:v>0</x:v>
      </x:c>
      <x:c r="I348" s="16" t="n">
        <x:v>1027398.9697808772</x:v>
      </x:c>
      <x:c r="J348" s="16" t="n">
        <x:v>1031177.8893490636</x:v>
      </x:c>
      <x:c r="K348" s="16" t="n">
        <x:v>-3778.919568186393</x:v>
      </x:c>
      <x:c r="L348" s="18" t="n">
        <x:v>-0.0036646631073246</x:v>
      </x:c>
      <x:c r="M348" s="18" t="n">
        <x:v>0</x:v>
      </x:c>
      <x:c r="O348" t="str">
        <x:v>2022-09-08</x:v>
      </x:c>
      <x:c r="P348" t="n">
        <x:v>1027398.9697808772</x:v>
      </x:c>
    </x:row>
    <x:row r="349" ht="15" hidden="0" customHeight="1">
      <x:c r="A349" s="13" t="str">
        <x:v>2022-09-09</x:v>
      </x:c>
      <x:c r="B349" s="13" t="n">
        <x:v>0</x:v>
      </x:c>
      <x:c r="C349" s="13" t="n">
        <x:v>0</x:v>
      </x:c>
      <x:c r="D349" s="16" t="n">
        <x:v>0</x:v>
      </x:c>
      <x:c r="E349" s="16" t="n">
        <x:v>0</x:v>
      </x:c>
      <x:c r="F349" s="16" t="n">
        <x:v>0</x:v>
      </x:c>
      <x:c r="G349" s="16" t="n">
        <x:v>0</x:v>
      </x:c>
      <x:c r="H349" s="16" t="n">
        <x:v>0</x:v>
      </x:c>
      <x:c r="I349" s="16" t="n">
        <x:v>1027398.9697808772</x:v>
      </x:c>
      <x:c r="J349" s="16" t="n">
        <x:v>1031177.8893490636</x:v>
      </x:c>
      <x:c r="K349" s="16" t="n">
        <x:v>-3778.919568186393</x:v>
      </x:c>
      <x:c r="L349" s="18" t="n">
        <x:v>-0.0036646631073246</x:v>
      </x:c>
      <x:c r="M349" s="18" t="n">
        <x:v>0</x:v>
      </x:c>
      <x:c r="O349" t="str">
        <x:v>2022-09-09</x:v>
      </x:c>
      <x:c r="P349" t="n">
        <x:v>1027398.9697808772</x:v>
      </x:c>
    </x:row>
    <x:row r="350" ht="15" hidden="0" customHeight="1">
      <x:c r="A350" s="13" t="str">
        <x:v>2022-09-12</x:v>
      </x:c>
      <x:c r="B350" s="13" t="n">
        <x:v>0</x:v>
      </x:c>
      <x:c r="C350" s="13" t="n">
        <x:v>0</x:v>
      </x:c>
      <x:c r="D350" s="16" t="n">
        <x:v>0</x:v>
      </x:c>
      <x:c r="E350" s="16" t="n">
        <x:v>0</x:v>
      </x:c>
      <x:c r="F350" s="16" t="n">
        <x:v>0</x:v>
      </x:c>
      <x:c r="G350" s="16" t="n">
        <x:v>0</x:v>
      </x:c>
      <x:c r="H350" s="16" t="n">
        <x:v>0</x:v>
      </x:c>
      <x:c r="I350" s="16" t="n">
        <x:v>1027398.9697808772</x:v>
      </x:c>
      <x:c r="J350" s="16" t="n">
        <x:v>1031177.8893490636</x:v>
      </x:c>
      <x:c r="K350" s="16" t="n">
        <x:v>-3778.919568186393</x:v>
      </x:c>
      <x:c r="L350" s="18" t="n">
        <x:v>-0.0036646631073246</x:v>
      </x:c>
      <x:c r="M350" s="18" t="n">
        <x:v>0</x:v>
      </x:c>
      <x:c r="O350" t="str">
        <x:v>2022-09-12</x:v>
      </x:c>
      <x:c r="P350" t="n">
        <x:v>1027398.9697808772</x:v>
      </x:c>
    </x:row>
    <x:row r="351" ht="15" hidden="0" customHeight="1">
      <x:c r="A351" s="13" t="str">
        <x:v>2022-09-13</x:v>
      </x:c>
      <x:c r="B351" s="13" t="n">
        <x:v>0</x:v>
      </x:c>
      <x:c r="C351" s="13" t="n">
        <x:v>0</x:v>
      </x:c>
      <x:c r="D351" s="16" t="n">
        <x:v>0</x:v>
      </x:c>
      <x:c r="E351" s="16" t="n">
        <x:v>0</x:v>
      </x:c>
      <x:c r="F351" s="16" t="n">
        <x:v>0</x:v>
      </x:c>
      <x:c r="G351" s="16" t="n">
        <x:v>0</x:v>
      </x:c>
      <x:c r="H351" s="16" t="n">
        <x:v>0</x:v>
      </x:c>
      <x:c r="I351" s="16" t="n">
        <x:v>1027398.9697808772</x:v>
      </x:c>
      <x:c r="J351" s="16" t="n">
        <x:v>1031177.8893490636</x:v>
      </x:c>
      <x:c r="K351" s="16" t="n">
        <x:v>-3778.919568186393</x:v>
      </x:c>
      <x:c r="L351" s="18" t="n">
        <x:v>-0.0036646631073246</x:v>
      </x:c>
      <x:c r="M351" s="18" t="n">
        <x:v>0</x:v>
      </x:c>
      <x:c r="O351" t="str">
        <x:v>2022-09-13</x:v>
      </x:c>
      <x:c r="P351" t="n">
        <x:v>1027398.9697808772</x:v>
      </x:c>
    </x:row>
    <x:row r="352" ht="15" hidden="0" customHeight="1">
      <x:c r="A352" s="13" t="str">
        <x:v>2022-09-14</x:v>
      </x:c>
      <x:c r="B352" s="13" t="n">
        <x:v>0</x:v>
      </x:c>
      <x:c r="C352" s="13" t="n">
        <x:v>0</x:v>
      </x:c>
      <x:c r="D352" s="16" t="n">
        <x:v>0</x:v>
      </x:c>
      <x:c r="E352" s="16" t="n">
        <x:v>0</x:v>
      </x:c>
      <x:c r="F352" s="16" t="n">
        <x:v>0</x:v>
      </x:c>
      <x:c r="G352" s="16" t="n">
        <x:v>0</x:v>
      </x:c>
      <x:c r="H352" s="16" t="n">
        <x:v>0</x:v>
      </x:c>
      <x:c r="I352" s="16" t="n">
        <x:v>1027398.9697808772</x:v>
      </x:c>
      <x:c r="J352" s="16" t="n">
        <x:v>1031177.8893490636</x:v>
      </x:c>
      <x:c r="K352" s="16" t="n">
        <x:v>-3778.919568186393</x:v>
      </x:c>
      <x:c r="L352" s="18" t="n">
        <x:v>-0.0036646631073246</x:v>
      </x:c>
      <x:c r="M352" s="18" t="n">
        <x:v>0</x:v>
      </x:c>
      <x:c r="O352" t="str">
        <x:v>2022-09-14</x:v>
      </x:c>
      <x:c r="P352" t="n">
        <x:v>1027398.9697808772</x:v>
      </x:c>
    </x:row>
    <x:row r="353" ht="15" hidden="0" customHeight="1">
      <x:c r="A353" s="13" t="str">
        <x:v>2022-09-15</x:v>
      </x:c>
      <x:c r="B353" s="13" t="n">
        <x:v>0</x:v>
      </x:c>
      <x:c r="C353" s="13" t="n">
        <x:v>0</x:v>
      </x:c>
      <x:c r="D353" s="16" t="n">
        <x:v>0</x:v>
      </x:c>
      <x:c r="E353" s="16" t="n">
        <x:v>0</x:v>
      </x:c>
      <x:c r="F353" s="16" t="n">
        <x:v>0</x:v>
      </x:c>
      <x:c r="G353" s="16" t="n">
        <x:v>0</x:v>
      </x:c>
      <x:c r="H353" s="16" t="n">
        <x:v>0</x:v>
      </x:c>
      <x:c r="I353" s="16" t="n">
        <x:v>1027398.9697808772</x:v>
      </x:c>
      <x:c r="J353" s="16" t="n">
        <x:v>1031177.8893490636</x:v>
      </x:c>
      <x:c r="K353" s="16" t="n">
        <x:v>-3778.919568186393</x:v>
      </x:c>
      <x:c r="L353" s="18" t="n">
        <x:v>-0.0036646631073246</x:v>
      </x:c>
      <x:c r="M353" s="18" t="n">
        <x:v>0</x:v>
      </x:c>
      <x:c r="O353" t="str">
        <x:v>2022-09-15</x:v>
      </x:c>
      <x:c r="P353" t="n">
        <x:v>1027398.9697808772</x:v>
      </x:c>
    </x:row>
    <x:row r="354" ht="15" hidden="0" customHeight="1">
      <x:c r="A354" s="13" t="str">
        <x:v>2022-09-16</x:v>
      </x:c>
      <x:c r="B354" s="13" t="n">
        <x:v>0</x:v>
      </x:c>
      <x:c r="C354" s="13" t="n">
        <x:v>0</x:v>
      </x:c>
      <x:c r="D354" s="16" t="n">
        <x:v>0</x:v>
      </x:c>
      <x:c r="E354" s="16" t="n">
        <x:v>0</x:v>
      </x:c>
      <x:c r="F354" s="16" t="n">
        <x:v>0</x:v>
      </x:c>
      <x:c r="G354" s="16" t="n">
        <x:v>0</x:v>
      </x:c>
      <x:c r="H354" s="16" t="n">
        <x:v>0</x:v>
      </x:c>
      <x:c r="I354" s="16" t="n">
        <x:v>1027398.9697808772</x:v>
      </x:c>
      <x:c r="J354" s="16" t="n">
        <x:v>1031177.8893490636</x:v>
      </x:c>
      <x:c r="K354" s="16" t="n">
        <x:v>-3778.919568186393</x:v>
      </x:c>
      <x:c r="L354" s="18" t="n">
        <x:v>-0.0036646631073246</x:v>
      </x:c>
      <x:c r="M354" s="18" t="n">
        <x:v>0</x:v>
      </x:c>
      <x:c r="O354" t="str">
        <x:v>2022-09-16</x:v>
      </x:c>
      <x:c r="P354" t="n">
        <x:v>1027398.9697808772</x:v>
      </x:c>
    </x:row>
    <x:row r="355" ht="15" hidden="0" customHeight="1">
      <x:c r="A355" s="13" t="str">
        <x:v>2022-09-19</x:v>
      </x:c>
      <x:c r="B355" s="13" t="n">
        <x:v>0</x:v>
      </x:c>
      <x:c r="C355" s="13" t="n">
        <x:v>0</x:v>
      </x:c>
      <x:c r="D355" s="16" t="n">
        <x:v>0</x:v>
      </x:c>
      <x:c r="E355" s="16" t="n">
        <x:v>0</x:v>
      </x:c>
      <x:c r="F355" s="16" t="n">
        <x:v>0</x:v>
      </x:c>
      <x:c r="G355" s="16" t="n">
        <x:v>0</x:v>
      </x:c>
      <x:c r="H355" s="16" t="n">
        <x:v>0</x:v>
      </x:c>
      <x:c r="I355" s="16" t="n">
        <x:v>1027398.9697808772</x:v>
      </x:c>
      <x:c r="J355" s="16" t="n">
        <x:v>1031177.8893490636</x:v>
      </x:c>
      <x:c r="K355" s="16" t="n">
        <x:v>-3778.919568186393</x:v>
      </x:c>
      <x:c r="L355" s="18" t="n">
        <x:v>-0.0036646631073246</x:v>
      </x:c>
      <x:c r="M355" s="18" t="n">
        <x:v>0</x:v>
      </x:c>
      <x:c r="O355" t="str">
        <x:v>2022-09-19</x:v>
      </x:c>
      <x:c r="P355" t="n">
        <x:v>1027398.9697808772</x:v>
      </x:c>
    </x:row>
    <x:row r="356" ht="15" hidden="0" customHeight="1">
      <x:c r="A356" s="13" t="str">
        <x:v>2022-09-20</x:v>
      </x:c>
      <x:c r="B356" s="13" t="n">
        <x:v>0</x:v>
      </x:c>
      <x:c r="C356" s="13" t="n">
        <x:v>0</x:v>
      </x:c>
      <x:c r="D356" s="16" t="n">
        <x:v>0</x:v>
      </x:c>
      <x:c r="E356" s="16" t="n">
        <x:v>0</x:v>
      </x:c>
      <x:c r="F356" s="16" t="n">
        <x:v>0</x:v>
      </x:c>
      <x:c r="G356" s="16" t="n">
        <x:v>0</x:v>
      </x:c>
      <x:c r="H356" s="16" t="n">
        <x:v>0</x:v>
      </x:c>
      <x:c r="I356" s="16" t="n">
        <x:v>1027398.9697808772</x:v>
      </x:c>
      <x:c r="J356" s="16" t="n">
        <x:v>1031177.8893490636</x:v>
      </x:c>
      <x:c r="K356" s="16" t="n">
        <x:v>-3778.919568186393</x:v>
      </x:c>
      <x:c r="L356" s="18" t="n">
        <x:v>-0.0036646631073246</x:v>
      </x:c>
      <x:c r="M356" s="18" t="n">
        <x:v>0</x:v>
      </x:c>
      <x:c r="O356" t="str">
        <x:v>2022-09-20</x:v>
      </x:c>
      <x:c r="P356" t="n">
        <x:v>1027398.9697808772</x:v>
      </x:c>
    </x:row>
    <x:row r="357" ht="15" hidden="0" customHeight="1">
      <x:c r="A357" s="13" t="str">
        <x:v>2022-09-21</x:v>
      </x:c>
      <x:c r="B357" s="13" t="n">
        <x:v>0</x:v>
      </x:c>
      <x:c r="C357" s="13" t="n">
        <x:v>0</x:v>
      </x:c>
      <x:c r="D357" s="16" t="n">
        <x:v>0</x:v>
      </x:c>
      <x:c r="E357" s="16" t="n">
        <x:v>0</x:v>
      </x:c>
      <x:c r="F357" s="16" t="n">
        <x:v>0</x:v>
      </x:c>
      <x:c r="G357" s="16" t="n">
        <x:v>0</x:v>
      </x:c>
      <x:c r="H357" s="16" t="n">
        <x:v>0</x:v>
      </x:c>
      <x:c r="I357" s="16" t="n">
        <x:v>1027398.9697808772</x:v>
      </x:c>
      <x:c r="J357" s="16" t="n">
        <x:v>1031177.8893490636</x:v>
      </x:c>
      <x:c r="K357" s="16" t="n">
        <x:v>-3778.919568186393</x:v>
      </x:c>
      <x:c r="L357" s="18" t="n">
        <x:v>-0.0036646631073246</x:v>
      </x:c>
      <x:c r="M357" s="18" t="n">
        <x:v>0</x:v>
      </x:c>
      <x:c r="O357" t="str">
        <x:v>2022-09-21</x:v>
      </x:c>
      <x:c r="P357" t="n">
        <x:v>1027398.9697808772</x:v>
      </x:c>
    </x:row>
    <x:row r="358" ht="15" hidden="0" customHeight="1">
      <x:c r="A358" s="13" t="str">
        <x:v>2022-09-22</x:v>
      </x:c>
      <x:c r="B358" s="13" t="n">
        <x:v>0</x:v>
      </x:c>
      <x:c r="C358" s="13" t="n">
        <x:v>0</x:v>
      </x:c>
      <x:c r="D358" s="16" t="n">
        <x:v>0</x:v>
      </x:c>
      <x:c r="E358" s="16" t="n">
        <x:v>0</x:v>
      </x:c>
      <x:c r="F358" s="16" t="n">
        <x:v>0</x:v>
      </x:c>
      <x:c r="G358" s="16" t="n">
        <x:v>0</x:v>
      </x:c>
      <x:c r="H358" s="16" t="n">
        <x:v>0</x:v>
      </x:c>
      <x:c r="I358" s="16" t="n">
        <x:v>1027398.9697808772</x:v>
      </x:c>
      <x:c r="J358" s="16" t="n">
        <x:v>1031177.8893490636</x:v>
      </x:c>
      <x:c r="K358" s="16" t="n">
        <x:v>-3778.919568186393</x:v>
      </x:c>
      <x:c r="L358" s="18" t="n">
        <x:v>-0.0036646631073246</x:v>
      </x:c>
      <x:c r="M358" s="18" t="n">
        <x:v>0</x:v>
      </x:c>
      <x:c r="O358" t="str">
        <x:v>2022-09-22</x:v>
      </x:c>
      <x:c r="P358" t="n">
        <x:v>1027398.9697808772</x:v>
      </x:c>
    </x:row>
    <x:row r="359" ht="15" hidden="0" customHeight="1">
      <x:c r="A359" s="13" t="str">
        <x:v>2022-09-23</x:v>
      </x:c>
      <x:c r="B359" s="13" t="n">
        <x:v>0</x:v>
      </x:c>
      <x:c r="C359" s="13" t="n">
        <x:v>0</x:v>
      </x:c>
      <x:c r="D359" s="16" t="n">
        <x:v>0</x:v>
      </x:c>
      <x:c r="E359" s="16" t="n">
        <x:v>0</x:v>
      </x:c>
      <x:c r="F359" s="16" t="n">
        <x:v>0</x:v>
      </x:c>
      <x:c r="G359" s="16" t="n">
        <x:v>0</x:v>
      </x:c>
      <x:c r="H359" s="16" t="n">
        <x:v>0</x:v>
      </x:c>
      <x:c r="I359" s="16" t="n">
        <x:v>1027398.9697808772</x:v>
      </x:c>
      <x:c r="J359" s="16" t="n">
        <x:v>1031177.8893490636</x:v>
      </x:c>
      <x:c r="K359" s="16" t="n">
        <x:v>-3778.919568186393</x:v>
      </x:c>
      <x:c r="L359" s="18" t="n">
        <x:v>-0.0036646631073246</x:v>
      </x:c>
      <x:c r="M359" s="18" t="n">
        <x:v>0</x:v>
      </x:c>
      <x:c r="O359" t="str">
        <x:v>2022-09-23</x:v>
      </x:c>
      <x:c r="P359" t="n">
        <x:v>1027398.9697808772</x:v>
      </x:c>
    </x:row>
    <x:row r="360" ht="15" hidden="0" customHeight="1">
      <x:c r="A360" s="13" t="str">
        <x:v>2022-09-26</x:v>
      </x:c>
      <x:c r="B360" s="13" t="n">
        <x:v>0</x:v>
      </x:c>
      <x:c r="C360" s="13" t="n">
        <x:v>0</x:v>
      </x:c>
      <x:c r="D360" s="16" t="n">
        <x:v>0</x:v>
      </x:c>
      <x:c r="E360" s="16" t="n">
        <x:v>0</x:v>
      </x:c>
      <x:c r="F360" s="16" t="n">
        <x:v>0</x:v>
      </x:c>
      <x:c r="G360" s="16" t="n">
        <x:v>0</x:v>
      </x:c>
      <x:c r="H360" s="16" t="n">
        <x:v>0</x:v>
      </x:c>
      <x:c r="I360" s="16" t="n">
        <x:v>1027398.9697808772</x:v>
      </x:c>
      <x:c r="J360" s="16" t="n">
        <x:v>1031177.8893490636</x:v>
      </x:c>
      <x:c r="K360" s="16" t="n">
        <x:v>-3778.919568186393</x:v>
      </x:c>
      <x:c r="L360" s="18" t="n">
        <x:v>-0.0036646631073246</x:v>
      </x:c>
      <x:c r="M360" s="18" t="n">
        <x:v>0</x:v>
      </x:c>
      <x:c r="O360" t="str">
        <x:v>2022-09-26</x:v>
      </x:c>
      <x:c r="P360" t="n">
        <x:v>1027398.9697808772</x:v>
      </x:c>
    </x:row>
    <x:row r="361" ht="15" hidden="0" customHeight="1">
      <x:c r="A361" s="13" t="str">
        <x:v>2022-09-27</x:v>
      </x:c>
      <x:c r="B361" s="13" t="n">
        <x:v>0</x:v>
      </x:c>
      <x:c r="C361" s="13" t="n">
        <x:v>0</x:v>
      </x:c>
      <x:c r="D361" s="16" t="n">
        <x:v>0</x:v>
      </x:c>
      <x:c r="E361" s="16" t="n">
        <x:v>0</x:v>
      </x:c>
      <x:c r="F361" s="16" t="n">
        <x:v>0</x:v>
      </x:c>
      <x:c r="G361" s="16" t="n">
        <x:v>0</x:v>
      </x:c>
      <x:c r="H361" s="16" t="n">
        <x:v>0</x:v>
      </x:c>
      <x:c r="I361" s="16" t="n">
        <x:v>1027398.9697808772</x:v>
      </x:c>
      <x:c r="J361" s="16" t="n">
        <x:v>1031177.8893490636</x:v>
      </x:c>
      <x:c r="K361" s="16" t="n">
        <x:v>-3778.919568186393</x:v>
      </x:c>
      <x:c r="L361" s="18" t="n">
        <x:v>-0.0036646631073246</x:v>
      </x:c>
      <x:c r="M361" s="18" t="n">
        <x:v>0</x:v>
      </x:c>
      <x:c r="O361" t="str">
        <x:v>2022-09-27</x:v>
      </x:c>
      <x:c r="P361" t="n">
        <x:v>1027398.9697808772</x:v>
      </x:c>
    </x:row>
    <x:row r="362" ht="15" hidden="0" customHeight="1">
      <x:c r="A362" s="13" t="str">
        <x:v>2022-09-28</x:v>
      </x:c>
      <x:c r="B362" s="13" t="n">
        <x:v>0</x:v>
      </x:c>
      <x:c r="C362" s="13" t="n">
        <x:v>0</x:v>
      </x:c>
      <x:c r="D362" s="16" t="n">
        <x:v>0</x:v>
      </x:c>
      <x:c r="E362" s="16" t="n">
        <x:v>0</x:v>
      </x:c>
      <x:c r="F362" s="16" t="n">
        <x:v>0</x:v>
      </x:c>
      <x:c r="G362" s="16" t="n">
        <x:v>0</x:v>
      </x:c>
      <x:c r="H362" s="16" t="n">
        <x:v>0</x:v>
      </x:c>
      <x:c r="I362" s="16" t="n">
        <x:v>1027398.9697808772</x:v>
      </x:c>
      <x:c r="J362" s="16" t="n">
        <x:v>1031177.8893490636</x:v>
      </x:c>
      <x:c r="K362" s="16" t="n">
        <x:v>-3778.919568186393</x:v>
      </x:c>
      <x:c r="L362" s="18" t="n">
        <x:v>-0.0036646631073246</x:v>
      </x:c>
      <x:c r="M362" s="18" t="n">
        <x:v>0</x:v>
      </x:c>
      <x:c r="O362" t="str">
        <x:v>2022-09-28</x:v>
      </x:c>
      <x:c r="P362" t="n">
        <x:v>1027398.9697808772</x:v>
      </x:c>
    </x:row>
    <x:row r="363" ht="15" hidden="0" customHeight="1">
      <x:c r="A363" s="13" t="str">
        <x:v>2022-09-29</x:v>
      </x:c>
      <x:c r="B363" s="13" t="n">
        <x:v>0</x:v>
      </x:c>
      <x:c r="C363" s="13" t="n">
        <x:v>0</x:v>
      </x:c>
      <x:c r="D363" s="16" t="n">
        <x:v>0</x:v>
      </x:c>
      <x:c r="E363" s="16" t="n">
        <x:v>0</x:v>
      </x:c>
      <x:c r="F363" s="16" t="n">
        <x:v>0</x:v>
      </x:c>
      <x:c r="G363" s="16" t="n">
        <x:v>0</x:v>
      </x:c>
      <x:c r="H363" s="16" t="n">
        <x:v>0</x:v>
      </x:c>
      <x:c r="I363" s="16" t="n">
        <x:v>1027398.9697808772</x:v>
      </x:c>
      <x:c r="J363" s="16" t="n">
        <x:v>1031177.8893490636</x:v>
      </x:c>
      <x:c r="K363" s="16" t="n">
        <x:v>-3778.919568186393</x:v>
      </x:c>
      <x:c r="L363" s="18" t="n">
        <x:v>-0.0036646631073246</x:v>
      </x:c>
      <x:c r="M363" s="18" t="n">
        <x:v>0</x:v>
      </x:c>
      <x:c r="O363" t="str">
        <x:v>2022-09-29</x:v>
      </x:c>
      <x:c r="P363" t="n">
        <x:v>1027398.9697808772</x:v>
      </x:c>
    </x:row>
    <x:row r="364" ht="15" hidden="0" customHeight="1">
      <x:c r="A364" s="13" t="str">
        <x:v>2022-09-30</x:v>
      </x:c>
      <x:c r="B364" s="13" t="n">
        <x:v>0</x:v>
      </x:c>
      <x:c r="C364" s="13" t="n">
        <x:v>0</x:v>
      </x:c>
      <x:c r="D364" s="16" t="n">
        <x:v>0</x:v>
      </x:c>
      <x:c r="E364" s="16" t="n">
        <x:v>0</x:v>
      </x:c>
      <x:c r="F364" s="16" t="n">
        <x:v>0</x:v>
      </x:c>
      <x:c r="G364" s="16" t="n">
        <x:v>0</x:v>
      </x:c>
      <x:c r="H364" s="16" t="n">
        <x:v>0</x:v>
      </x:c>
      <x:c r="I364" s="16" t="n">
        <x:v>1027398.9697808772</x:v>
      </x:c>
      <x:c r="J364" s="16" t="n">
        <x:v>1031177.8893490636</x:v>
      </x:c>
      <x:c r="K364" s="16" t="n">
        <x:v>-3778.919568186393</x:v>
      </x:c>
      <x:c r="L364" s="18" t="n">
        <x:v>-0.0036646631073246</x:v>
      </x:c>
      <x:c r="M364" s="18" t="n">
        <x:v>0</x:v>
      </x:c>
      <x:c r="O364" t="str">
        <x:v>2022-09-30</x:v>
      </x:c>
      <x:c r="P364" t="n">
        <x:v>1027398.9697808772</x:v>
      </x:c>
    </x:row>
    <x:row r="365" ht="15" hidden="0" customHeight="1">
      <x:c r="A365" s="13" t="str">
        <x:v>2022-10-03</x:v>
      </x:c>
      <x:c r="B365" s="13" t="n">
        <x:v>0</x:v>
      </x:c>
      <x:c r="C365" s="13" t="n">
        <x:v>0</x:v>
      </x:c>
      <x:c r="D365" s="16" t="n">
        <x:v>0</x:v>
      </x:c>
      <x:c r="E365" s="16" t="n">
        <x:v>0</x:v>
      </x:c>
      <x:c r="F365" s="16" t="n">
        <x:v>0</x:v>
      </x:c>
      <x:c r="G365" s="16" t="n">
        <x:v>0</x:v>
      </x:c>
      <x:c r="H365" s="16" t="n">
        <x:v>0</x:v>
      </x:c>
      <x:c r="I365" s="16" t="n">
        <x:v>1027398.9697808772</x:v>
      </x:c>
      <x:c r="J365" s="16" t="n">
        <x:v>1031177.8893490636</x:v>
      </x:c>
      <x:c r="K365" s="16" t="n">
        <x:v>-3778.919568186393</x:v>
      </x:c>
      <x:c r="L365" s="18" t="n">
        <x:v>-0.0036646631073246</x:v>
      </x:c>
      <x:c r="M365" s="18" t="n">
        <x:v>0</x:v>
      </x:c>
      <x:c r="O365" t="str">
        <x:v>2022-10-03</x:v>
      </x:c>
      <x:c r="P365" t="n">
        <x:v>1027398.9697808772</x:v>
      </x:c>
    </x:row>
    <x:row r="366" ht="15" hidden="0" customHeight="1">
      <x:c r="A366" s="13" t="str">
        <x:v>2022-10-04</x:v>
      </x:c>
      <x:c r="B366" s="13" t="n">
        <x:v>0</x:v>
      </x:c>
      <x:c r="C366" s="13" t="n">
        <x:v>0</x:v>
      </x:c>
      <x:c r="D366" s="16" t="n">
        <x:v>0</x:v>
      </x:c>
      <x:c r="E366" s="16" t="n">
        <x:v>0</x:v>
      </x:c>
      <x:c r="F366" s="16" t="n">
        <x:v>0</x:v>
      </x:c>
      <x:c r="G366" s="16" t="n">
        <x:v>0</x:v>
      </x:c>
      <x:c r="H366" s="16" t="n">
        <x:v>0</x:v>
      </x:c>
      <x:c r="I366" s="16" t="n">
        <x:v>1027398.9697808772</x:v>
      </x:c>
      <x:c r="J366" s="16" t="n">
        <x:v>1031177.8893490636</x:v>
      </x:c>
      <x:c r="K366" s="16" t="n">
        <x:v>-3778.919568186393</x:v>
      </x:c>
      <x:c r="L366" s="18" t="n">
        <x:v>-0.0036646631073246</x:v>
      </x:c>
      <x:c r="M366" s="18" t="n">
        <x:v>0</x:v>
      </x:c>
      <x:c r="O366" t="str">
        <x:v>2022-10-04</x:v>
      </x:c>
      <x:c r="P366" t="n">
        <x:v>1027398.9697808772</x:v>
      </x:c>
    </x:row>
    <x:row r="367" ht="15" hidden="0" customHeight="1">
      <x:c r="A367" s="13" t="str">
        <x:v>2022-10-05</x:v>
      </x:c>
      <x:c r="B367" s="13" t="n">
        <x:v>0</x:v>
      </x:c>
      <x:c r="C367" s="13" t="n">
        <x:v>0</x:v>
      </x:c>
      <x:c r="D367" s="16" t="n">
        <x:v>0</x:v>
      </x:c>
      <x:c r="E367" s="16" t="n">
        <x:v>0</x:v>
      </x:c>
      <x:c r="F367" s="16" t="n">
        <x:v>0</x:v>
      </x:c>
      <x:c r="G367" s="16" t="n">
        <x:v>0</x:v>
      </x:c>
      <x:c r="H367" s="16" t="n">
        <x:v>0</x:v>
      </x:c>
      <x:c r="I367" s="16" t="n">
        <x:v>1027398.9697808772</x:v>
      </x:c>
      <x:c r="J367" s="16" t="n">
        <x:v>1031177.8893490636</x:v>
      </x:c>
      <x:c r="K367" s="16" t="n">
        <x:v>-3778.919568186393</x:v>
      </x:c>
      <x:c r="L367" s="18" t="n">
        <x:v>-0.0036646631073246</x:v>
      </x:c>
      <x:c r="M367" s="18" t="n">
        <x:v>0</x:v>
      </x:c>
      <x:c r="O367" t="str">
        <x:v>2022-10-05</x:v>
      </x:c>
      <x:c r="P367" t="n">
        <x:v>1027398.9697808772</x:v>
      </x:c>
    </x:row>
    <x:row r="368" ht="15" hidden="0" customHeight="1">
      <x:c r="A368" s="13" t="str">
        <x:v>2022-10-06</x:v>
      </x:c>
      <x:c r="B368" s="13" t="n">
        <x:v>1</x:v>
      </x:c>
      <x:c r="C368" s="13" t="n">
        <x:v>8</x:v>
      </x:c>
      <x:c r="D368" s="16" t="n">
        <x:v>859.9999999999994</x:v>
      </x:c>
      <x:c r="E368" s="16" t="n">
        <x:v>551.3209653108572</x:v>
      </x:c>
      <x:c r="F368" s="16" t="n">
        <x:v>308.6790346891422</x:v>
      </x:c>
      <x:c r="G368" s="16" t="n">
        <x:v>77898.36473599325</x:v>
      </x:c>
      <x:c r="H368" s="16" t="n">
        <x:v>342779.99582660454</x:v>
      </x:c>
      <x:c r="I368" s="16" t="n">
        <x:v>1027707.6488155664</x:v>
      </x:c>
      <x:c r="J368" s="16" t="n">
        <x:v>1031177.8893490636</x:v>
      </x:c>
      <x:c r="K368" s="16" t="n">
        <x:v>-3470.240533497301</x:v>
      </x:c>
      <x:c r="L368" s="18" t="n">
        <x:v>-0.003365317050861</x:v>
      </x:c>
      <x:c r="M368" s="18" t="n">
        <x:v>0.0003004470938441</x:v>
      </x:c>
      <x:c r="O368" t="str">
        <x:v>2022-10-06</x:v>
      </x:c>
      <x:c r="P368" t="n">
        <x:v>1027707.6488155664</x:v>
      </x:c>
    </x:row>
    <x:row r="369" ht="15" hidden="0" customHeight="1">
      <x:c r="A369" s="13" t="str">
        <x:v>2022-10-07</x:v>
      </x:c>
      <x:c r="B369" s="13" t="n">
        <x:v>0</x:v>
      </x:c>
      <x:c r="C369" s="13" t="n">
        <x:v>0</x:v>
      </x:c>
      <x:c r="D369" s="16" t="n">
        <x:v>0</x:v>
      </x:c>
      <x:c r="E369" s="16" t="n">
        <x:v>0</x:v>
      </x:c>
      <x:c r="F369" s="16" t="n">
        <x:v>0</x:v>
      </x:c>
      <x:c r="G369" s="16" t="n">
        <x:v>0</x:v>
      </x:c>
      <x:c r="H369" s="16" t="n">
        <x:v>0</x:v>
      </x:c>
      <x:c r="I369" s="16" t="n">
        <x:v>1027707.6488155664</x:v>
      </x:c>
      <x:c r="J369" s="16" t="n">
        <x:v>1031177.8893490636</x:v>
      </x:c>
      <x:c r="K369" s="16" t="n">
        <x:v>-3470.240533497301</x:v>
      </x:c>
      <x:c r="L369" s="18" t="n">
        <x:v>-0.003365317050861</x:v>
      </x:c>
      <x:c r="M369" s="18" t="n">
        <x:v>0</x:v>
      </x:c>
      <x:c r="O369" t="str">
        <x:v>2022-10-07</x:v>
      </x:c>
      <x:c r="P369" t="n">
        <x:v>1027707.6488155664</x:v>
      </x:c>
    </x:row>
    <x:row r="370" ht="15" hidden="0" customHeight="1">
      <x:c r="A370" s="13" t="str">
        <x:v>2022-10-10</x:v>
      </x:c>
      <x:c r="B370" s="13" t="n">
        <x:v>0</x:v>
      </x:c>
      <x:c r="C370" s="13" t="n">
        <x:v>0</x:v>
      </x:c>
      <x:c r="D370" s="16" t="n">
        <x:v>0</x:v>
      </x:c>
      <x:c r="E370" s="16" t="n">
        <x:v>0</x:v>
      </x:c>
      <x:c r="F370" s="16" t="n">
        <x:v>0</x:v>
      </x:c>
      <x:c r="G370" s="16" t="n">
        <x:v>0</x:v>
      </x:c>
      <x:c r="H370" s="16" t="n">
        <x:v>0</x:v>
      </x:c>
      <x:c r="I370" s="16" t="n">
        <x:v>1027707.6488155664</x:v>
      </x:c>
      <x:c r="J370" s="16" t="n">
        <x:v>1031177.8893490636</x:v>
      </x:c>
      <x:c r="K370" s="16" t="n">
        <x:v>-3470.240533497301</x:v>
      </x:c>
      <x:c r="L370" s="18" t="n">
        <x:v>-0.003365317050861</x:v>
      </x:c>
      <x:c r="M370" s="18" t="n">
        <x:v>0</x:v>
      </x:c>
      <x:c r="O370" t="str">
        <x:v>2022-10-10</x:v>
      </x:c>
      <x:c r="P370" t="n">
        <x:v>1027707.6488155664</x:v>
      </x:c>
    </x:row>
    <x:row r="371" ht="15" hidden="0" customHeight="1">
      <x:c r="A371" s="13" t="str">
        <x:v>2022-10-11</x:v>
      </x:c>
      <x:c r="B371" s="13" t="n">
        <x:v>0</x:v>
      </x:c>
      <x:c r="C371" s="13" t="n">
        <x:v>0</x:v>
      </x:c>
      <x:c r="D371" s="16" t="n">
        <x:v>0</x:v>
      </x:c>
      <x:c r="E371" s="16" t="n">
        <x:v>0</x:v>
      </x:c>
      <x:c r="F371" s="16" t="n">
        <x:v>0</x:v>
      </x:c>
      <x:c r="G371" s="16" t="n">
        <x:v>0</x:v>
      </x:c>
      <x:c r="H371" s="16" t="n">
        <x:v>0</x:v>
      </x:c>
      <x:c r="I371" s="16" t="n">
        <x:v>1027707.6488155664</x:v>
      </x:c>
      <x:c r="J371" s="16" t="n">
        <x:v>1031177.8893490636</x:v>
      </x:c>
      <x:c r="K371" s="16" t="n">
        <x:v>-3470.240533497301</x:v>
      </x:c>
      <x:c r="L371" s="18" t="n">
        <x:v>-0.003365317050861</x:v>
      </x:c>
      <x:c r="M371" s="18" t="n">
        <x:v>0</x:v>
      </x:c>
      <x:c r="O371" t="str">
        <x:v>2022-10-11</x:v>
      </x:c>
      <x:c r="P371" t="n">
        <x:v>1027707.6488155664</x:v>
      </x:c>
    </x:row>
    <x:row r="372" ht="15" hidden="0" customHeight="1">
      <x:c r="A372" s="13" t="str">
        <x:v>2022-10-12</x:v>
      </x:c>
      <x:c r="B372" s="13" t="n">
        <x:v>0</x:v>
      </x:c>
      <x:c r="C372" s="13" t="n">
        <x:v>0</x:v>
      </x:c>
      <x:c r="D372" s="16" t="n">
        <x:v>0</x:v>
      </x:c>
      <x:c r="E372" s="16" t="n">
        <x:v>0</x:v>
      </x:c>
      <x:c r="F372" s="16" t="n">
        <x:v>0</x:v>
      </x:c>
      <x:c r="G372" s="16" t="n">
        <x:v>0</x:v>
      </x:c>
      <x:c r="H372" s="16" t="n">
        <x:v>0</x:v>
      </x:c>
      <x:c r="I372" s="16" t="n">
        <x:v>1027707.6488155664</x:v>
      </x:c>
      <x:c r="J372" s="16" t="n">
        <x:v>1031177.8893490636</x:v>
      </x:c>
      <x:c r="K372" s="16" t="n">
        <x:v>-3470.240533497301</x:v>
      </x:c>
      <x:c r="L372" s="18" t="n">
        <x:v>-0.003365317050861</x:v>
      </x:c>
      <x:c r="M372" s="18" t="n">
        <x:v>0</x:v>
      </x:c>
      <x:c r="O372" t="str">
        <x:v>2022-10-12</x:v>
      </x:c>
      <x:c r="P372" t="n">
        <x:v>1027707.6488155664</x:v>
      </x:c>
    </x:row>
    <x:row r="373" ht="15" hidden="0" customHeight="1">
      <x:c r="A373" s="13" t="str">
        <x:v>2022-10-13</x:v>
      </x:c>
      <x:c r="B373" s="13" t="n">
        <x:v>0</x:v>
      </x:c>
      <x:c r="C373" s="13" t="n">
        <x:v>0</x:v>
      </x:c>
      <x:c r="D373" s="16" t="n">
        <x:v>0</x:v>
      </x:c>
      <x:c r="E373" s="16" t="n">
        <x:v>0</x:v>
      </x:c>
      <x:c r="F373" s="16" t="n">
        <x:v>0</x:v>
      </x:c>
      <x:c r="G373" s="16" t="n">
        <x:v>0</x:v>
      </x:c>
      <x:c r="H373" s="16" t="n">
        <x:v>0</x:v>
      </x:c>
      <x:c r="I373" s="16" t="n">
        <x:v>1027707.6488155664</x:v>
      </x:c>
      <x:c r="J373" s="16" t="n">
        <x:v>1031177.8893490636</x:v>
      </x:c>
      <x:c r="K373" s="16" t="n">
        <x:v>-3470.240533497301</x:v>
      </x:c>
      <x:c r="L373" s="18" t="n">
        <x:v>-0.003365317050861</x:v>
      </x:c>
      <x:c r="M373" s="18" t="n">
        <x:v>0</x:v>
      </x:c>
      <x:c r="O373" t="str">
        <x:v>2022-10-13</x:v>
      </x:c>
      <x:c r="P373" t="n">
        <x:v>1027707.6488155664</x:v>
      </x:c>
    </x:row>
    <x:row r="374" ht="15" hidden="0" customHeight="1">
      <x:c r="A374" s="13" t="str">
        <x:v>2022-10-14</x:v>
      </x:c>
      <x:c r="B374" s="13" t="n">
        <x:v>0</x:v>
      </x:c>
      <x:c r="C374" s="13" t="n">
        <x:v>0</x:v>
      </x:c>
      <x:c r="D374" s="16" t="n">
        <x:v>0</x:v>
      </x:c>
      <x:c r="E374" s="16" t="n">
        <x:v>0</x:v>
      </x:c>
      <x:c r="F374" s="16" t="n">
        <x:v>0</x:v>
      </x:c>
      <x:c r="G374" s="16" t="n">
        <x:v>0</x:v>
      </x:c>
      <x:c r="H374" s="16" t="n">
        <x:v>0</x:v>
      </x:c>
      <x:c r="I374" s="16" t="n">
        <x:v>1027707.6488155664</x:v>
      </x:c>
      <x:c r="J374" s="16" t="n">
        <x:v>1031177.8893490636</x:v>
      </x:c>
      <x:c r="K374" s="16" t="n">
        <x:v>-3470.240533497301</x:v>
      </x:c>
      <x:c r="L374" s="18" t="n">
        <x:v>-0.003365317050861</x:v>
      </x:c>
      <x:c r="M374" s="18" t="n">
        <x:v>0</x:v>
      </x:c>
      <x:c r="O374" t="str">
        <x:v>2022-10-14</x:v>
      </x:c>
      <x:c r="P374" t="n">
        <x:v>1027707.6488155664</x:v>
      </x:c>
    </x:row>
    <x:row r="375" ht="15" hidden="0" customHeight="1">
      <x:c r="A375" s="13" t="str">
        <x:v>2022-10-17</x:v>
      </x:c>
      <x:c r="B375" s="13" t="n">
        <x:v>0</x:v>
      </x:c>
      <x:c r="C375" s="13" t="n">
        <x:v>0</x:v>
      </x:c>
      <x:c r="D375" s="16" t="n">
        <x:v>0</x:v>
      </x:c>
      <x:c r="E375" s="16" t="n">
        <x:v>0</x:v>
      </x:c>
      <x:c r="F375" s="16" t="n">
        <x:v>0</x:v>
      </x:c>
      <x:c r="G375" s="16" t="n">
        <x:v>0</x:v>
      </x:c>
      <x:c r="H375" s="16" t="n">
        <x:v>0</x:v>
      </x:c>
      <x:c r="I375" s="16" t="n">
        <x:v>1027707.6488155664</x:v>
      </x:c>
      <x:c r="J375" s="16" t="n">
        <x:v>1031177.8893490636</x:v>
      </x:c>
      <x:c r="K375" s="16" t="n">
        <x:v>-3470.240533497301</x:v>
      </x:c>
      <x:c r="L375" s="18" t="n">
        <x:v>-0.003365317050861</x:v>
      </x:c>
      <x:c r="M375" s="18" t="n">
        <x:v>0</x:v>
      </x:c>
      <x:c r="O375" t="str">
        <x:v>2022-10-17</x:v>
      </x:c>
      <x:c r="P375" t="n">
        <x:v>1027707.6488155664</x:v>
      </x:c>
    </x:row>
    <x:row r="376" ht="15" hidden="0" customHeight="1">
      <x:c r="A376" s="13" t="str">
        <x:v>2022-10-18</x:v>
      </x:c>
      <x:c r="B376" s="13" t="n">
        <x:v>0</x:v>
      </x:c>
      <x:c r="C376" s="13" t="n">
        <x:v>0</x:v>
      </x:c>
      <x:c r="D376" s="16" t="n">
        <x:v>0</x:v>
      </x:c>
      <x:c r="E376" s="16" t="n">
        <x:v>0</x:v>
      </x:c>
      <x:c r="F376" s="16" t="n">
        <x:v>0</x:v>
      </x:c>
      <x:c r="G376" s="16" t="n">
        <x:v>0</x:v>
      </x:c>
      <x:c r="H376" s="16" t="n">
        <x:v>0</x:v>
      </x:c>
      <x:c r="I376" s="16" t="n">
        <x:v>1027707.6488155664</x:v>
      </x:c>
      <x:c r="J376" s="16" t="n">
        <x:v>1031177.8893490636</x:v>
      </x:c>
      <x:c r="K376" s="16" t="n">
        <x:v>-3470.240533497301</x:v>
      </x:c>
      <x:c r="L376" s="18" t="n">
        <x:v>-0.003365317050861</x:v>
      </x:c>
      <x:c r="M376" s="18" t="n">
        <x:v>0</x:v>
      </x:c>
      <x:c r="O376" t="str">
        <x:v>2022-10-18</x:v>
      </x:c>
      <x:c r="P376" t="n">
        <x:v>1027707.6488155664</x:v>
      </x:c>
    </x:row>
    <x:row r="377" ht="15" hidden="0" customHeight="1">
      <x:c r="A377" s="13" t="str">
        <x:v>2022-10-19</x:v>
      </x:c>
      <x:c r="B377" s="13" t="n">
        <x:v>0</x:v>
      </x:c>
      <x:c r="C377" s="13" t="n">
        <x:v>0</x:v>
      </x:c>
      <x:c r="D377" s="16" t="n">
        <x:v>0</x:v>
      </x:c>
      <x:c r="E377" s="16" t="n">
        <x:v>0</x:v>
      </x:c>
      <x:c r="F377" s="16" t="n">
        <x:v>0</x:v>
      </x:c>
      <x:c r="G377" s="16" t="n">
        <x:v>0</x:v>
      </x:c>
      <x:c r="H377" s="16" t="n">
        <x:v>0</x:v>
      </x:c>
      <x:c r="I377" s="16" t="n">
        <x:v>1027707.6488155664</x:v>
      </x:c>
      <x:c r="J377" s="16" t="n">
        <x:v>1031177.8893490636</x:v>
      </x:c>
      <x:c r="K377" s="16" t="n">
        <x:v>-3470.240533497301</x:v>
      </x:c>
      <x:c r="L377" s="18" t="n">
        <x:v>-0.003365317050861</x:v>
      </x:c>
      <x:c r="M377" s="18" t="n">
        <x:v>0</x:v>
      </x:c>
      <x:c r="O377" t="str">
        <x:v>2022-10-19</x:v>
      </x:c>
      <x:c r="P377" t="n">
        <x:v>1027707.6488155664</x:v>
      </x:c>
    </x:row>
    <x:row r="378" ht="15" hidden="0" customHeight="1">
      <x:c r="A378" s="13" t="str">
        <x:v>2022-10-20</x:v>
      </x:c>
      <x:c r="B378" s="13" t="n">
        <x:v>0</x:v>
      </x:c>
      <x:c r="C378" s="13" t="n">
        <x:v>0</x:v>
      </x:c>
      <x:c r="D378" s="16" t="n">
        <x:v>0</x:v>
      </x:c>
      <x:c r="E378" s="16" t="n">
        <x:v>0</x:v>
      </x:c>
      <x:c r="F378" s="16" t="n">
        <x:v>0</x:v>
      </x:c>
      <x:c r="G378" s="16" t="n">
        <x:v>0</x:v>
      </x:c>
      <x:c r="H378" s="16" t="n">
        <x:v>0</x:v>
      </x:c>
      <x:c r="I378" s="16" t="n">
        <x:v>1027707.6488155664</x:v>
      </x:c>
      <x:c r="J378" s="16" t="n">
        <x:v>1031177.8893490636</x:v>
      </x:c>
      <x:c r="K378" s="16" t="n">
        <x:v>-3470.240533497301</x:v>
      </x:c>
      <x:c r="L378" s="18" t="n">
        <x:v>-0.003365317050861</x:v>
      </x:c>
      <x:c r="M378" s="18" t="n">
        <x:v>0</x:v>
      </x:c>
      <x:c r="O378" t="str">
        <x:v>2022-10-20</x:v>
      </x:c>
      <x:c r="P378" t="n">
        <x:v>1027707.6488155664</x:v>
      </x:c>
    </x:row>
    <x:row r="379" ht="15" hidden="0" customHeight="1">
      <x:c r="A379" s="13" t="str">
        <x:v>2022-10-21</x:v>
      </x:c>
      <x:c r="B379" s="13" t="n">
        <x:v>0</x:v>
      </x:c>
      <x:c r="C379" s="13" t="n">
        <x:v>0</x:v>
      </x:c>
      <x:c r="D379" s="16" t="n">
        <x:v>0</x:v>
      </x:c>
      <x:c r="E379" s="16" t="n">
        <x:v>0</x:v>
      </x:c>
      <x:c r="F379" s="16" t="n">
        <x:v>0</x:v>
      </x:c>
      <x:c r="G379" s="16" t="n">
        <x:v>0</x:v>
      </x:c>
      <x:c r="H379" s="16" t="n">
        <x:v>0</x:v>
      </x:c>
      <x:c r="I379" s="16" t="n">
        <x:v>1027707.6488155664</x:v>
      </x:c>
      <x:c r="J379" s="16" t="n">
        <x:v>1031177.8893490636</x:v>
      </x:c>
      <x:c r="K379" s="16" t="n">
        <x:v>-3470.240533497301</x:v>
      </x:c>
      <x:c r="L379" s="18" t="n">
        <x:v>-0.003365317050861</x:v>
      </x:c>
      <x:c r="M379" s="18" t="n">
        <x:v>0</x:v>
      </x:c>
      <x:c r="O379" t="str">
        <x:v>2022-10-21</x:v>
      </x:c>
      <x:c r="P379" t="n">
        <x:v>1027707.6488155664</x:v>
      </x:c>
    </x:row>
    <x:row r="380" ht="15" hidden="0" customHeight="1">
      <x:c r="A380" s="13" t="str">
        <x:v>2022-10-24</x:v>
      </x:c>
      <x:c r="B380" s="13" t="n">
        <x:v>0</x:v>
      </x:c>
      <x:c r="C380" s="13" t="n">
        <x:v>0</x:v>
      </x:c>
      <x:c r="D380" s="16" t="n">
        <x:v>0</x:v>
      </x:c>
      <x:c r="E380" s="16" t="n">
        <x:v>0</x:v>
      </x:c>
      <x:c r="F380" s="16" t="n">
        <x:v>0</x:v>
      </x:c>
      <x:c r="G380" s="16" t="n">
        <x:v>0</x:v>
      </x:c>
      <x:c r="H380" s="16" t="n">
        <x:v>0</x:v>
      </x:c>
      <x:c r="I380" s="16" t="n">
        <x:v>1027707.6488155664</x:v>
      </x:c>
      <x:c r="J380" s="16" t="n">
        <x:v>1031177.8893490636</x:v>
      </x:c>
      <x:c r="K380" s="16" t="n">
        <x:v>-3470.240533497301</x:v>
      </x:c>
      <x:c r="L380" s="18" t="n">
        <x:v>-0.003365317050861</x:v>
      </x:c>
      <x:c r="M380" s="18" t="n">
        <x:v>0</x:v>
      </x:c>
      <x:c r="O380" t="str">
        <x:v>2022-10-24</x:v>
      </x:c>
      <x:c r="P380" t="n">
        <x:v>1027707.6488155664</x:v>
      </x:c>
    </x:row>
    <x:row r="381" ht="15" hidden="0" customHeight="1">
      <x:c r="A381" s="13" t="str">
        <x:v>2022-10-25</x:v>
      </x:c>
      <x:c r="B381" s="13" t="n">
        <x:v>0</x:v>
      </x:c>
      <x:c r="C381" s="13" t="n">
        <x:v>0</x:v>
      </x:c>
      <x:c r="D381" s="16" t="n">
        <x:v>0</x:v>
      </x:c>
      <x:c r="E381" s="16" t="n">
        <x:v>0</x:v>
      </x:c>
      <x:c r="F381" s="16" t="n">
        <x:v>0</x:v>
      </x:c>
      <x:c r="G381" s="16" t="n">
        <x:v>0</x:v>
      </x:c>
      <x:c r="H381" s="16" t="n">
        <x:v>0</x:v>
      </x:c>
      <x:c r="I381" s="16" t="n">
        <x:v>1027707.6488155664</x:v>
      </x:c>
      <x:c r="J381" s="16" t="n">
        <x:v>1031177.8893490636</x:v>
      </x:c>
      <x:c r="K381" s="16" t="n">
        <x:v>-3470.240533497301</x:v>
      </x:c>
      <x:c r="L381" s="18" t="n">
        <x:v>-0.003365317050861</x:v>
      </x:c>
      <x:c r="M381" s="18" t="n">
        <x:v>0</x:v>
      </x:c>
      <x:c r="O381" t="str">
        <x:v>2022-10-25</x:v>
      </x:c>
      <x:c r="P381" t="n">
        <x:v>1027707.6488155664</x:v>
      </x:c>
    </x:row>
    <x:row r="382" ht="15" hidden="0" customHeight="1">
      <x:c r="A382" s="13" t="str">
        <x:v>2022-10-26</x:v>
      </x:c>
      <x:c r="B382" s="13" t="n">
        <x:v>0</x:v>
      </x:c>
      <x:c r="C382" s="13" t="n">
        <x:v>0</x:v>
      </x:c>
      <x:c r="D382" s="16" t="n">
        <x:v>0</x:v>
      </x:c>
      <x:c r="E382" s="16" t="n">
        <x:v>0</x:v>
      </x:c>
      <x:c r="F382" s="16" t="n">
        <x:v>0</x:v>
      </x:c>
      <x:c r="G382" s="16" t="n">
        <x:v>0</x:v>
      </x:c>
      <x:c r="H382" s="16" t="n">
        <x:v>0</x:v>
      </x:c>
      <x:c r="I382" s="16" t="n">
        <x:v>1027707.6488155664</x:v>
      </x:c>
      <x:c r="J382" s="16" t="n">
        <x:v>1031177.8893490636</x:v>
      </x:c>
      <x:c r="K382" s="16" t="n">
        <x:v>-3470.240533497301</x:v>
      </x:c>
      <x:c r="L382" s="18" t="n">
        <x:v>-0.003365317050861</x:v>
      </x:c>
      <x:c r="M382" s="18" t="n">
        <x:v>0</x:v>
      </x:c>
      <x:c r="O382" t="str">
        <x:v>2022-10-26</x:v>
      </x:c>
      <x:c r="P382" t="n">
        <x:v>1027707.6488155664</x:v>
      </x:c>
    </x:row>
    <x:row r="383" ht="15" hidden="0" customHeight="1">
      <x:c r="A383" s="13" t="str">
        <x:v>2022-10-27</x:v>
      </x:c>
      <x:c r="B383" s="13" t="n">
        <x:v>0</x:v>
      </x:c>
      <x:c r="C383" s="13" t="n">
        <x:v>0</x:v>
      </x:c>
      <x:c r="D383" s="16" t="n">
        <x:v>0</x:v>
      </x:c>
      <x:c r="E383" s="16" t="n">
        <x:v>0</x:v>
      </x:c>
      <x:c r="F383" s="16" t="n">
        <x:v>0</x:v>
      </x:c>
      <x:c r="G383" s="16" t="n">
        <x:v>0</x:v>
      </x:c>
      <x:c r="H383" s="16" t="n">
        <x:v>0</x:v>
      </x:c>
      <x:c r="I383" s="16" t="n">
        <x:v>1027707.6488155664</x:v>
      </x:c>
      <x:c r="J383" s="16" t="n">
        <x:v>1031177.8893490636</x:v>
      </x:c>
      <x:c r="K383" s="16" t="n">
        <x:v>-3470.240533497301</x:v>
      </x:c>
      <x:c r="L383" s="18" t="n">
        <x:v>-0.003365317050861</x:v>
      </x:c>
      <x:c r="M383" s="18" t="n">
        <x:v>0</x:v>
      </x:c>
      <x:c r="O383" t="str">
        <x:v>2022-10-27</x:v>
      </x:c>
      <x:c r="P383" t="n">
        <x:v>1027707.6488155664</x:v>
      </x:c>
    </x:row>
    <x:row r="384" ht="15" hidden="0" customHeight="1">
      <x:c r="A384" s="13" t="str">
        <x:v>2022-10-28</x:v>
      </x:c>
      <x:c r="B384" s="13" t="n">
        <x:v>0</x:v>
      </x:c>
      <x:c r="C384" s="13" t="n">
        <x:v>0</x:v>
      </x:c>
      <x:c r="D384" s="16" t="n">
        <x:v>0</x:v>
      </x:c>
      <x:c r="E384" s="16" t="n">
        <x:v>0</x:v>
      </x:c>
      <x:c r="F384" s="16" t="n">
        <x:v>0</x:v>
      </x:c>
      <x:c r="G384" s="16" t="n">
        <x:v>0</x:v>
      </x:c>
      <x:c r="H384" s="16" t="n">
        <x:v>0</x:v>
      </x:c>
      <x:c r="I384" s="16" t="n">
        <x:v>1027707.6488155664</x:v>
      </x:c>
      <x:c r="J384" s="16" t="n">
        <x:v>1031177.8893490636</x:v>
      </x:c>
      <x:c r="K384" s="16" t="n">
        <x:v>-3470.240533497301</x:v>
      </x:c>
      <x:c r="L384" s="18" t="n">
        <x:v>-0.003365317050861</x:v>
      </x:c>
      <x:c r="M384" s="18" t="n">
        <x:v>0</x:v>
      </x:c>
      <x:c r="O384" t="str">
        <x:v>2022-10-28</x:v>
      </x:c>
      <x:c r="P384" t="n">
        <x:v>1027707.6488155664</x:v>
      </x:c>
    </x:row>
    <x:row r="385" ht="15" hidden="0" customHeight="1">
      <x:c r="A385" s="13" t="str">
        <x:v>2022-10-31</x:v>
      </x:c>
      <x:c r="B385" s="13" t="n">
        <x:v>0</x:v>
      </x:c>
      <x:c r="C385" s="13" t="n">
        <x:v>0</x:v>
      </x:c>
      <x:c r="D385" s="16" t="n">
        <x:v>0</x:v>
      </x:c>
      <x:c r="E385" s="16" t="n">
        <x:v>0</x:v>
      </x:c>
      <x:c r="F385" s="16" t="n">
        <x:v>0</x:v>
      </x:c>
      <x:c r="G385" s="16" t="n">
        <x:v>0</x:v>
      </x:c>
      <x:c r="H385" s="16" t="n">
        <x:v>0</x:v>
      </x:c>
      <x:c r="I385" s="16" t="n">
        <x:v>1027707.6488155664</x:v>
      </x:c>
      <x:c r="J385" s="16" t="n">
        <x:v>1031177.8893490636</x:v>
      </x:c>
      <x:c r="K385" s="16" t="n">
        <x:v>-3470.240533497301</x:v>
      </x:c>
      <x:c r="L385" s="18" t="n">
        <x:v>-0.003365317050861</x:v>
      </x:c>
      <x:c r="M385" s="18" t="n">
        <x:v>0</x:v>
      </x:c>
      <x:c r="O385" t="str">
        <x:v>2022-10-31</x:v>
      </x:c>
      <x:c r="P385" t="n">
        <x:v>1027707.6488155664</x:v>
      </x:c>
    </x:row>
    <x:row r="386" ht="15" hidden="0" customHeight="1">
      <x:c r="A386" s="13" t="str">
        <x:v>2022-11-01</x:v>
      </x:c>
      <x:c r="B386" s="13" t="n">
        <x:v>0</x:v>
      </x:c>
      <x:c r="C386" s="13" t="n">
        <x:v>0</x:v>
      </x:c>
      <x:c r="D386" s="16" t="n">
        <x:v>0</x:v>
      </x:c>
      <x:c r="E386" s="16" t="n">
        <x:v>0</x:v>
      </x:c>
      <x:c r="F386" s="16" t="n">
        <x:v>0</x:v>
      </x:c>
      <x:c r="G386" s="16" t="n">
        <x:v>0</x:v>
      </x:c>
      <x:c r="H386" s="16" t="n">
        <x:v>0</x:v>
      </x:c>
      <x:c r="I386" s="16" t="n">
        <x:v>1027707.6488155664</x:v>
      </x:c>
      <x:c r="J386" s="16" t="n">
        <x:v>1031177.8893490636</x:v>
      </x:c>
      <x:c r="K386" s="16" t="n">
        <x:v>-3470.240533497301</x:v>
      </x:c>
      <x:c r="L386" s="18" t="n">
        <x:v>-0.003365317050861</x:v>
      </x:c>
      <x:c r="M386" s="18" t="n">
        <x:v>0</x:v>
      </x:c>
      <x:c r="O386" t="str">
        <x:v>2022-11-01</x:v>
      </x:c>
      <x:c r="P386" t="n">
        <x:v>1027707.6488155664</x:v>
      </x:c>
    </x:row>
    <x:row r="387" ht="15" hidden="0" customHeight="1">
      <x:c r="A387" s="13" t="str">
        <x:v>2022-11-02</x:v>
      </x:c>
      <x:c r="B387" s="13" t="n">
        <x:v>1</x:v>
      </x:c>
      <x:c r="C387" s="13" t="n">
        <x:v>7</x:v>
      </x:c>
      <x:c r="D387" s="16" t="n">
        <x:v>-245.00000000000347</x:v>
      </x:c>
      <x:c r="E387" s="16" t="n">
        <x:v>675.864681596968</x:v>
      </x:c>
      <x:c r="F387" s="16" t="n">
        <x:v>-920.8646815969714</x:v>
      </x:c>
      <x:c r="G387" s="16" t="n">
        <x:v>157013.36499320876</x:v>
      </x:c>
      <x:c r="H387" s="16" t="n">
        <x:v>327318.7284100634</x:v>
      </x:c>
      <x:c r="I387" s="16" t="n">
        <x:v>1026786.7841339692</x:v>
      </x:c>
      <x:c r="J387" s="16" t="n">
        <x:v>1031177.8893490636</x:v>
      </x:c>
      <x:c r="K387" s="16" t="n">
        <x:v>-4391.105215094285</x:v>
      </x:c>
      <x:c r="L387" s="18" t="n">
        <x:v>-0.0042583391871078</x:v>
      </x:c>
      <x:c r="M387" s="18" t="n">
        <x:v>-0.0008960375868158</x:v>
      </x:c>
      <x:c r="O387" t="str">
        <x:v>2022-11-02</x:v>
      </x:c>
      <x:c r="P387" t="n">
        <x:v>1026786.7841339692</x:v>
      </x:c>
    </x:row>
    <x:row r="388" ht="15" hidden="0" customHeight="1">
      <x:c r="A388" s="13" t="str">
        <x:v>2022-11-03</x:v>
      </x:c>
      <x:c r="B388" s="13" t="n">
        <x:v>1</x:v>
      </x:c>
      <x:c r="C388" s="13" t="n">
        <x:v>8</x:v>
      </x:c>
      <x:c r="D388" s="16" t="n">
        <x:v>4519.999999999997</x:v>
      </x:c>
      <x:c r="E388" s="16" t="n">
        <x:v>473.0956081096822</x:v>
      </x:c>
      <x:c r="F388" s="16" t="n">
        <x:v>4046.9043918903153</x:v>
      </x:c>
      <x:c r="G388" s="16" t="n">
        <x:v>64506.06753834232</x:v>
      </x:c>
      <x:c r="H388" s="16" t="n">
        <x:v>354060.6496066319</x:v>
      </x:c>
      <x:c r="I388" s="16" t="n">
        <x:v>1030833.6885258596</x:v>
      </x:c>
      <x:c r="J388" s="16" t="n">
        <x:v>1031177.8893490636</x:v>
      </x:c>
      <x:c r="K388" s="16" t="n">
        <x:v>-344.2008232038934</x:v>
      </x:c>
      <x:c r="L388" s="18" t="n">
        <x:v>-0.0003337938359221</x:v>
      </x:c>
      <x:c r="M388" s="18" t="n">
        <x:v>0.0039413288663465</x:v>
      </x:c>
      <x:c r="O388" t="str">
        <x:v>2022-11-03</x:v>
      </x:c>
      <x:c r="P388" t="n">
        <x:v>1030833.6885258596</x:v>
      </x:c>
    </x:row>
    <x:row r="389" ht="15" hidden="0" customHeight="1">
      <x:c r="A389" s="13" t="str">
        <x:v>2022-11-04</x:v>
      </x:c>
      <x:c r="B389" s="13" t="n">
        <x:v>0</x:v>
      </x:c>
      <x:c r="C389" s="13" t="n">
        <x:v>0</x:v>
      </x:c>
      <x:c r="D389" s="16" t="n">
        <x:v>0</x:v>
      </x:c>
      <x:c r="E389" s="16" t="n">
        <x:v>0</x:v>
      </x:c>
      <x:c r="F389" s="16" t="n">
        <x:v>0</x:v>
      </x:c>
      <x:c r="G389" s="16" t="n">
        <x:v>0</x:v>
      </x:c>
      <x:c r="H389" s="16" t="n">
        <x:v>0</x:v>
      </x:c>
      <x:c r="I389" s="16" t="n">
        <x:v>1030833.6885258596</x:v>
      </x:c>
      <x:c r="J389" s="16" t="n">
        <x:v>1031177.8893490636</x:v>
      </x:c>
      <x:c r="K389" s="16" t="n">
        <x:v>-344.2008232038934</x:v>
      </x:c>
      <x:c r="L389" s="18" t="n">
        <x:v>-0.0003337938359221</x:v>
      </x:c>
      <x:c r="M389" s="18" t="n">
        <x:v>0</x:v>
      </x:c>
      <x:c r="O389" t="str">
        <x:v>2022-11-04</x:v>
      </x:c>
      <x:c r="P389" t="n">
        <x:v>1030833.6885258596</x:v>
      </x:c>
    </x:row>
    <x:row r="390" ht="15" hidden="0" customHeight="1">
      <x:c r="A390" s="13" t="str">
        <x:v>2022-11-07</x:v>
      </x:c>
      <x:c r="B390" s="13" t="n">
        <x:v>0</x:v>
      </x:c>
      <x:c r="C390" s="13" t="n">
        <x:v>0</x:v>
      </x:c>
      <x:c r="D390" s="16" t="n">
        <x:v>0</x:v>
      </x:c>
      <x:c r="E390" s="16" t="n">
        <x:v>0</x:v>
      </x:c>
      <x:c r="F390" s="16" t="n">
        <x:v>0</x:v>
      </x:c>
      <x:c r="G390" s="16" t="n">
        <x:v>0</x:v>
      </x:c>
      <x:c r="H390" s="16" t="n">
        <x:v>0</x:v>
      </x:c>
      <x:c r="I390" s="16" t="n">
        <x:v>1030833.6885258596</x:v>
      </x:c>
      <x:c r="J390" s="16" t="n">
        <x:v>1031177.8893490636</x:v>
      </x:c>
      <x:c r="K390" s="16" t="n">
        <x:v>-344.2008232038934</x:v>
      </x:c>
      <x:c r="L390" s="18" t="n">
        <x:v>-0.0003337938359221</x:v>
      </x:c>
      <x:c r="M390" s="18" t="n">
        <x:v>0</x:v>
      </x:c>
      <x:c r="O390" t="str">
        <x:v>2022-11-07</x:v>
      </x:c>
      <x:c r="P390" t="n">
        <x:v>1030833.6885258596</x:v>
      </x:c>
    </x:row>
    <x:row r="391" ht="15" hidden="0" customHeight="1">
      <x:c r="A391" s="13" t="str">
        <x:v>2022-11-08</x:v>
      </x:c>
      <x:c r="B391" s="13" t="n">
        <x:v>0</x:v>
      </x:c>
      <x:c r="C391" s="13" t="n">
        <x:v>0</x:v>
      </x:c>
      <x:c r="D391" s="16" t="n">
        <x:v>0</x:v>
      </x:c>
      <x:c r="E391" s="16" t="n">
        <x:v>0</x:v>
      </x:c>
      <x:c r="F391" s="16" t="n">
        <x:v>0</x:v>
      </x:c>
      <x:c r="G391" s="16" t="n">
        <x:v>0</x:v>
      </x:c>
      <x:c r="H391" s="16" t="n">
        <x:v>0</x:v>
      </x:c>
      <x:c r="I391" s="16" t="n">
        <x:v>1030833.6885258596</x:v>
      </x:c>
      <x:c r="J391" s="16" t="n">
        <x:v>1031177.8893490636</x:v>
      </x:c>
      <x:c r="K391" s="16" t="n">
        <x:v>-344.2008232038934</x:v>
      </x:c>
      <x:c r="L391" s="18" t="n">
        <x:v>-0.0003337938359221</x:v>
      </x:c>
      <x:c r="M391" s="18" t="n">
        <x:v>0</x:v>
      </x:c>
      <x:c r="O391" t="str">
        <x:v>2022-11-08</x:v>
      </x:c>
      <x:c r="P391" t="n">
        <x:v>1030833.6885258596</x:v>
      </x:c>
    </x:row>
    <x:row r="392" ht="15" hidden="0" customHeight="1">
      <x:c r="A392" s="13" t="str">
        <x:v>2022-11-09</x:v>
      </x:c>
      <x:c r="B392" s="13" t="n">
        <x:v>0</x:v>
      </x:c>
      <x:c r="C392" s="13" t="n">
        <x:v>0</x:v>
      </x:c>
      <x:c r="D392" s="16" t="n">
        <x:v>0</x:v>
      </x:c>
      <x:c r="E392" s="16" t="n">
        <x:v>0</x:v>
      </x:c>
      <x:c r="F392" s="16" t="n">
        <x:v>0</x:v>
      </x:c>
      <x:c r="G392" s="16" t="n">
        <x:v>0</x:v>
      </x:c>
      <x:c r="H392" s="16" t="n">
        <x:v>0</x:v>
      </x:c>
      <x:c r="I392" s="16" t="n">
        <x:v>1030833.6885258596</x:v>
      </x:c>
      <x:c r="J392" s="16" t="n">
        <x:v>1031177.8893490636</x:v>
      </x:c>
      <x:c r="K392" s="16" t="n">
        <x:v>-344.2008232038934</x:v>
      </x:c>
      <x:c r="L392" s="18" t="n">
        <x:v>-0.0003337938359221</x:v>
      </x:c>
      <x:c r="M392" s="18" t="n">
        <x:v>0</x:v>
      </x:c>
      <x:c r="O392" t="str">
        <x:v>2022-11-09</x:v>
      </x:c>
      <x:c r="P392" t="n">
        <x:v>1030833.6885258596</x:v>
      </x:c>
    </x:row>
    <x:row r="393" ht="15" hidden="0" customHeight="1">
      <x:c r="A393" s="13" t="str">
        <x:v>2022-11-10</x:v>
      </x:c>
      <x:c r="B393" s="13" t="n">
        <x:v>1</x:v>
      </x:c>
      <x:c r="C393" s="13" t="n">
        <x:v>7</x:v>
      </x:c>
      <x:c r="D393" s="16" t="n">
        <x:v>4830</x:v>
      </x:c>
      <x:c r="E393" s="16" t="n">
        <x:v>382.968184895777</x:v>
      </x:c>
      <x:c r="F393" s="16" t="n">
        <x:v>4447.031815104223</x:v>
      </x:c>
      <x:c r="G393" s="16" t="n">
        <x:v>26709.2674725084</x:v>
      </x:c>
      <x:c r="H393" s="16" t="n">
        <x:v>305598.97940672975</x:v>
      </x:c>
      <x:c r="I393" s="16" t="n">
        <x:v>1035280.720340964</x:v>
      </x:c>
      <x:c r="J393" s="16" t="n">
        <x:v>1035280.720340964</x:v>
      </x:c>
      <x:c r="K393" s="16" t="n">
        <x:v>0</x:v>
      </x:c>
      <x:c r="L393" s="18" t="n">
        <x:v>0</x:v>
      </x:c>
      <x:c r="M393" s="18" t="n">
        <x:v>0.0043140148256735</x:v>
      </x:c>
      <x:c r="O393" t="str">
        <x:v>2022-11-10</x:v>
      </x:c>
      <x:c r="P393" t="n">
        <x:v>1035280.720340964</x:v>
      </x:c>
    </x:row>
    <x:row r="394" ht="15" hidden="0" customHeight="1">
      <x:c r="A394" s="13" t="str">
        <x:v>2022-11-11</x:v>
      </x:c>
      <x:c r="B394" s="13" t="n">
        <x:v>0</x:v>
      </x:c>
      <x:c r="C394" s="13" t="n">
        <x:v>0</x:v>
      </x:c>
      <x:c r="D394" s="16" t="n">
        <x:v>0</x:v>
      </x:c>
      <x:c r="E394" s="16" t="n">
        <x:v>0</x:v>
      </x:c>
      <x:c r="F394" s="16" t="n">
        <x:v>0</x:v>
      </x:c>
      <x:c r="G394" s="16" t="n">
        <x:v>0</x:v>
      </x:c>
      <x:c r="H394" s="16" t="n">
        <x:v>0</x:v>
      </x:c>
      <x:c r="I394" s="16" t="n">
        <x:v>1035280.720340964</x:v>
      </x:c>
      <x:c r="J394" s="16" t="n">
        <x:v>1035280.720340964</x:v>
      </x:c>
      <x:c r="K394" s="16" t="n">
        <x:v>0</x:v>
      </x:c>
      <x:c r="L394" s="18" t="n">
        <x:v>0</x:v>
      </x:c>
      <x:c r="M394" s="18" t="n">
        <x:v>0</x:v>
      </x:c>
      <x:c r="O394" t="str">
        <x:v>2022-11-11</x:v>
      </x:c>
      <x:c r="P394" t="n">
        <x:v>1035280.720340964</x:v>
      </x:c>
    </x:row>
    <x:row r="395" ht="15" hidden="0" customHeight="1">
      <x:c r="A395" s="13" t="str">
        <x:v>2022-11-14</x:v>
      </x:c>
      <x:c r="B395" s="13" t="n">
        <x:v>0</x:v>
      </x:c>
      <x:c r="C395" s="13" t="n">
        <x:v>0</x:v>
      </x:c>
      <x:c r="D395" s="16" t="n">
        <x:v>0</x:v>
      </x:c>
      <x:c r="E395" s="16" t="n">
        <x:v>0</x:v>
      </x:c>
      <x:c r="F395" s="16" t="n">
        <x:v>0</x:v>
      </x:c>
      <x:c r="G395" s="16" t="n">
        <x:v>0</x:v>
      </x:c>
      <x:c r="H395" s="16" t="n">
        <x:v>0</x:v>
      </x:c>
      <x:c r="I395" s="16" t="n">
        <x:v>1035280.720340964</x:v>
      </x:c>
      <x:c r="J395" s="16" t="n">
        <x:v>1035280.720340964</x:v>
      </x:c>
      <x:c r="K395" s="16" t="n">
        <x:v>0</x:v>
      </x:c>
      <x:c r="L395" s="18" t="n">
        <x:v>0</x:v>
      </x:c>
      <x:c r="M395" s="18" t="n">
        <x:v>0</x:v>
      </x:c>
      <x:c r="O395" t="str">
        <x:v>2022-11-14</x:v>
      </x:c>
      <x:c r="P395" t="n">
        <x:v>1035280.720340964</x:v>
      </x:c>
    </x:row>
    <x:row r="396" ht="15" hidden="0" customHeight="1">
      <x:c r="A396" s="13" t="str">
        <x:v>2022-11-15</x:v>
      </x:c>
      <x:c r="B396" s="13" t="n">
        <x:v>0</x:v>
      </x:c>
      <x:c r="C396" s="13" t="n">
        <x:v>0</x:v>
      </x:c>
      <x:c r="D396" s="16" t="n">
        <x:v>0</x:v>
      </x:c>
      <x:c r="E396" s="16" t="n">
        <x:v>0</x:v>
      </x:c>
      <x:c r="F396" s="16" t="n">
        <x:v>0</x:v>
      </x:c>
      <x:c r="G396" s="16" t="n">
        <x:v>0</x:v>
      </x:c>
      <x:c r="H396" s="16" t="n">
        <x:v>0</x:v>
      </x:c>
      <x:c r="I396" s="16" t="n">
        <x:v>1035280.720340964</x:v>
      </x:c>
      <x:c r="J396" s="16" t="n">
        <x:v>1035280.720340964</x:v>
      </x:c>
      <x:c r="K396" s="16" t="n">
        <x:v>0</x:v>
      </x:c>
      <x:c r="L396" s="18" t="n">
        <x:v>0</x:v>
      </x:c>
      <x:c r="M396" s="18" t="n">
        <x:v>0</x:v>
      </x:c>
      <x:c r="O396" t="str">
        <x:v>2022-11-15</x:v>
      </x:c>
      <x:c r="P396" t="n">
        <x:v>1035280.720340964</x:v>
      </x:c>
    </x:row>
    <x:row r="397" ht="15" hidden="0" customHeight="1">
      <x:c r="A397" s="13" t="str">
        <x:v>2022-11-16</x:v>
      </x:c>
      <x:c r="B397" s="13" t="n">
        <x:v>0</x:v>
      </x:c>
      <x:c r="C397" s="13" t="n">
        <x:v>0</x:v>
      </x:c>
      <x:c r="D397" s="16" t="n">
        <x:v>0</x:v>
      </x:c>
      <x:c r="E397" s="16" t="n">
        <x:v>0</x:v>
      </x:c>
      <x:c r="F397" s="16" t="n">
        <x:v>0</x:v>
      </x:c>
      <x:c r="G397" s="16" t="n">
        <x:v>0</x:v>
      </x:c>
      <x:c r="H397" s="16" t="n">
        <x:v>0</x:v>
      </x:c>
      <x:c r="I397" s="16" t="n">
        <x:v>1035280.720340964</x:v>
      </x:c>
      <x:c r="J397" s="16" t="n">
        <x:v>1035280.720340964</x:v>
      </x:c>
      <x:c r="K397" s="16" t="n">
        <x:v>0</x:v>
      </x:c>
      <x:c r="L397" s="18" t="n">
        <x:v>0</x:v>
      </x:c>
      <x:c r="M397" s="18" t="n">
        <x:v>0</x:v>
      </x:c>
      <x:c r="O397" t="str">
        <x:v>2022-11-16</x:v>
      </x:c>
      <x:c r="P397" t="n">
        <x:v>1035280.720340964</x:v>
      </x:c>
    </x:row>
    <x:row r="398" ht="15" hidden="0" customHeight="1">
      <x:c r="A398" s="13" t="str">
        <x:v>2022-11-17</x:v>
      </x:c>
      <x:c r="B398" s="13" t="n">
        <x:v>1</x:v>
      </x:c>
      <x:c r="C398" s="13" t="n">
        <x:v>7</x:v>
      </x:c>
      <x:c r="D398" s="16" t="n">
        <x:v>4585</x:v>
      </x:c>
      <x:c r="E398" s="16" t="n">
        <x:v>380.7206391669586</x:v>
      </x:c>
      <x:c r="F398" s="16" t="n">
        <x:v>4204.279360833041</x:v>
      </x:c>
      <x:c r="G398" s="16" t="n">
        <x:v>22785.762302299994</x:v>
      </x:c>
      <x:c r="H398" s="16" t="n">
        <x:v>314188.6680510025</x:v>
      </x:c>
      <x:c r="I398" s="16" t="n">
        <x:v>1039484.999701797</x:v>
      </x:c>
      <x:c r="J398" s="16" t="n">
        <x:v>1039484.999701797</x:v>
      </x:c>
      <x:c r="K398" s="16" t="n">
        <x:v>0</x:v>
      </x:c>
      <x:c r="L398" s="18" t="n">
        <x:v>0</x:v>
      </x:c>
      <x:c r="M398" s="18" t="n">
        <x:v>0.0040610042070989</x:v>
      </x:c>
      <x:c r="O398" t="str">
        <x:v>2022-11-17</x:v>
      </x:c>
      <x:c r="P398" t="n">
        <x:v>1039484.999701797</x:v>
      </x:c>
    </x:row>
    <x:row r="399" ht="15" hidden="0" customHeight="1">
      <x:c r="A399" s="13" t="str">
        <x:v>2022-11-18</x:v>
      </x:c>
      <x:c r="B399" s="13" t="n">
        <x:v>0</x:v>
      </x:c>
      <x:c r="C399" s="13" t="n">
        <x:v>0</x:v>
      </x:c>
      <x:c r="D399" s="16" t="n">
        <x:v>0</x:v>
      </x:c>
      <x:c r="E399" s="16" t="n">
        <x:v>0</x:v>
      </x:c>
      <x:c r="F399" s="16" t="n">
        <x:v>0</x:v>
      </x:c>
      <x:c r="G399" s="16" t="n">
        <x:v>0</x:v>
      </x:c>
      <x:c r="H399" s="16" t="n">
        <x:v>0</x:v>
      </x:c>
      <x:c r="I399" s="16" t="n">
        <x:v>1039484.999701797</x:v>
      </x:c>
      <x:c r="J399" s="16" t="n">
        <x:v>1039484.999701797</x:v>
      </x:c>
      <x:c r="K399" s="16" t="n">
        <x:v>0</x:v>
      </x:c>
      <x:c r="L399" s="18" t="n">
        <x:v>0</x:v>
      </x:c>
      <x:c r="M399" s="18" t="n">
        <x:v>0</x:v>
      </x:c>
      <x:c r="O399" t="str">
        <x:v>2022-11-18</x:v>
      </x:c>
      <x:c r="P399" t="n">
        <x:v>1039484.999701797</x:v>
      </x:c>
    </x:row>
    <x:row r="400" ht="15" hidden="0" customHeight="1">
      <x:c r="A400" s="13" t="str">
        <x:v>2022-11-21</x:v>
      </x:c>
      <x:c r="B400" s="13" t="n">
        <x:v>0</x:v>
      </x:c>
      <x:c r="C400" s="13" t="n">
        <x:v>0</x:v>
      </x:c>
      <x:c r="D400" s="16" t="n">
        <x:v>0</x:v>
      </x:c>
      <x:c r="E400" s="16" t="n">
        <x:v>0</x:v>
      </x:c>
      <x:c r="F400" s="16" t="n">
        <x:v>0</x:v>
      </x:c>
      <x:c r="G400" s="16" t="n">
        <x:v>0</x:v>
      </x:c>
      <x:c r="H400" s="16" t="n">
        <x:v>0</x:v>
      </x:c>
      <x:c r="I400" s="16" t="n">
        <x:v>1039484.999701797</x:v>
      </x:c>
      <x:c r="J400" s="16" t="n">
        <x:v>1039484.999701797</x:v>
      </x:c>
      <x:c r="K400" s="16" t="n">
        <x:v>0</x:v>
      </x:c>
      <x:c r="L400" s="18" t="n">
        <x:v>0</x:v>
      </x:c>
      <x:c r="M400" s="18" t="n">
        <x:v>0</x:v>
      </x:c>
      <x:c r="O400" t="str">
        <x:v>2022-11-21</x:v>
      </x:c>
      <x:c r="P400" t="n">
        <x:v>1039484.999701797</x:v>
      </x:c>
    </x:row>
    <x:row r="401" ht="15" hidden="0" customHeight="1">
      <x:c r="A401" s="13" t="str">
        <x:v>2022-11-22</x:v>
      </x:c>
      <x:c r="B401" s="13" t="n">
        <x:v>0</x:v>
      </x:c>
      <x:c r="C401" s="13" t="n">
        <x:v>0</x:v>
      </x:c>
      <x:c r="D401" s="16" t="n">
        <x:v>0</x:v>
      </x:c>
      <x:c r="E401" s="16" t="n">
        <x:v>0</x:v>
      </x:c>
      <x:c r="F401" s="16" t="n">
        <x:v>0</x:v>
      </x:c>
      <x:c r="G401" s="16" t="n">
        <x:v>0</x:v>
      </x:c>
      <x:c r="H401" s="16" t="n">
        <x:v>0</x:v>
      </x:c>
      <x:c r="I401" s="16" t="n">
        <x:v>1039484.999701797</x:v>
      </x:c>
      <x:c r="J401" s="16" t="n">
        <x:v>1039484.999701797</x:v>
      </x:c>
      <x:c r="K401" s="16" t="n">
        <x:v>0</x:v>
      </x:c>
      <x:c r="L401" s="18" t="n">
        <x:v>0</x:v>
      </x:c>
      <x:c r="M401" s="18" t="n">
        <x:v>0</x:v>
      </x:c>
      <x:c r="O401" t="str">
        <x:v>2022-11-22</x:v>
      </x:c>
      <x:c r="P401" t="n">
        <x:v>1039484.999701797</x:v>
      </x:c>
    </x:row>
    <x:row r="402" ht="15" hidden="0" customHeight="1">
      <x:c r="A402" s="13" t="str">
        <x:v>2022-11-23</x:v>
      </x:c>
      <x:c r="B402" s="13" t="n">
        <x:v>0</x:v>
      </x:c>
      <x:c r="C402" s="13" t="n">
        <x:v>0</x:v>
      </x:c>
      <x:c r="D402" s="16" t="n">
        <x:v>0</x:v>
      </x:c>
      <x:c r="E402" s="16" t="n">
        <x:v>0</x:v>
      </x:c>
      <x:c r="F402" s="16" t="n">
        <x:v>0</x:v>
      </x:c>
      <x:c r="G402" s="16" t="n">
        <x:v>0</x:v>
      </x:c>
      <x:c r="H402" s="16" t="n">
        <x:v>0</x:v>
      </x:c>
      <x:c r="I402" s="16" t="n">
        <x:v>1039484.999701797</x:v>
      </x:c>
      <x:c r="J402" s="16" t="n">
        <x:v>1039484.999701797</x:v>
      </x:c>
      <x:c r="K402" s="16" t="n">
        <x:v>0</x:v>
      </x:c>
      <x:c r="L402" s="18" t="n">
        <x:v>0</x:v>
      </x:c>
      <x:c r="M402" s="18" t="n">
        <x:v>0</x:v>
      </x:c>
      <x:c r="O402" t="str">
        <x:v>2022-11-23</x:v>
      </x:c>
      <x:c r="P402" t="n">
        <x:v>1039484.999701797</x:v>
      </x:c>
    </x:row>
    <x:row r="403" ht="15" hidden="0" customHeight="1">
      <x:c r="A403" s="13" t="str">
        <x:v>2022-11-24</x:v>
      </x:c>
      <x:c r="B403" s="13" t="n">
        <x:v>0</x:v>
      </x:c>
      <x:c r="C403" s="13" t="n">
        <x:v>0</x:v>
      </x:c>
      <x:c r="D403" s="16" t="n">
        <x:v>0</x:v>
      </x:c>
      <x:c r="E403" s="16" t="n">
        <x:v>0</x:v>
      </x:c>
      <x:c r="F403" s="16" t="n">
        <x:v>0</x:v>
      </x:c>
      <x:c r="G403" s="16" t="n">
        <x:v>0</x:v>
      </x:c>
      <x:c r="H403" s="16" t="n">
        <x:v>0</x:v>
      </x:c>
      <x:c r="I403" s="16" t="n">
        <x:v>1039484.999701797</x:v>
      </x:c>
      <x:c r="J403" s="16" t="n">
        <x:v>1039484.999701797</x:v>
      </x:c>
      <x:c r="K403" s="16" t="n">
        <x:v>0</x:v>
      </x:c>
      <x:c r="L403" s="18" t="n">
        <x:v>0</x:v>
      </x:c>
      <x:c r="M403" s="18" t="n">
        <x:v>0</x:v>
      </x:c>
      <x:c r="O403" t="str">
        <x:v>2022-11-24</x:v>
      </x:c>
      <x:c r="P403" t="n">
        <x:v>1039484.999701797</x:v>
      </x:c>
    </x:row>
    <x:row r="404" ht="15" hidden="0" customHeight="1">
      <x:c r="A404" s="13" t="str">
        <x:v>2022-11-25</x:v>
      </x:c>
      <x:c r="B404" s="13" t="n">
        <x:v>0</x:v>
      </x:c>
      <x:c r="C404" s="13" t="n">
        <x:v>0</x:v>
      </x:c>
      <x:c r="D404" s="16" t="n">
        <x:v>0</x:v>
      </x:c>
      <x:c r="E404" s="16" t="n">
        <x:v>0</x:v>
      </x:c>
      <x:c r="F404" s="16" t="n">
        <x:v>0</x:v>
      </x:c>
      <x:c r="G404" s="16" t="n">
        <x:v>0</x:v>
      </x:c>
      <x:c r="H404" s="16" t="n">
        <x:v>0</x:v>
      </x:c>
      <x:c r="I404" s="16" t="n">
        <x:v>1039484.999701797</x:v>
      </x:c>
      <x:c r="J404" s="16" t="n">
        <x:v>1039484.999701797</x:v>
      </x:c>
      <x:c r="K404" s="16" t="n">
        <x:v>0</x:v>
      </x:c>
      <x:c r="L404" s="18" t="n">
        <x:v>0</x:v>
      </x:c>
      <x:c r="M404" s="18" t="n">
        <x:v>0</x:v>
      </x:c>
      <x:c r="O404" t="str">
        <x:v>2022-11-25</x:v>
      </x:c>
      <x:c r="P404" t="n">
        <x:v>1039484.999701797</x:v>
      </x:c>
    </x:row>
    <x:row r="405" ht="15" hidden="0" customHeight="1">
      <x:c r="A405" s="13" t="str">
        <x:v>2022-11-28</x:v>
      </x:c>
      <x:c r="B405" s="13" t="n">
        <x:v>0</x:v>
      </x:c>
      <x:c r="C405" s="13" t="n">
        <x:v>0</x:v>
      </x:c>
      <x:c r="D405" s="16" t="n">
        <x:v>0</x:v>
      </x:c>
      <x:c r="E405" s="16" t="n">
        <x:v>0</x:v>
      </x:c>
      <x:c r="F405" s="16" t="n">
        <x:v>0</x:v>
      </x:c>
      <x:c r="G405" s="16" t="n">
        <x:v>0</x:v>
      </x:c>
      <x:c r="H405" s="16" t="n">
        <x:v>0</x:v>
      </x:c>
      <x:c r="I405" s="16" t="n">
        <x:v>1039484.999701797</x:v>
      </x:c>
      <x:c r="J405" s="16" t="n">
        <x:v>1039484.999701797</x:v>
      </x:c>
      <x:c r="K405" s="16" t="n">
        <x:v>0</x:v>
      </x:c>
      <x:c r="L405" s="18" t="n">
        <x:v>0</x:v>
      </x:c>
      <x:c r="M405" s="18" t="n">
        <x:v>0</x:v>
      </x:c>
      <x:c r="O405" t="str">
        <x:v>2022-11-28</x:v>
      </x:c>
      <x:c r="P405" t="n">
        <x:v>1039484.999701797</x:v>
      </x:c>
    </x:row>
    <x:row r="406" ht="15" hidden="0" customHeight="1">
      <x:c r="A406" s="13" t="str">
        <x:v>2022-11-29</x:v>
      </x:c>
      <x:c r="B406" s="13" t="n">
        <x:v>0</x:v>
      </x:c>
      <x:c r="C406" s="13" t="n">
        <x:v>0</x:v>
      </x:c>
      <x:c r="D406" s="16" t="n">
        <x:v>0</x:v>
      </x:c>
      <x:c r="E406" s="16" t="n">
        <x:v>0</x:v>
      </x:c>
      <x:c r="F406" s="16" t="n">
        <x:v>0</x:v>
      </x:c>
      <x:c r="G406" s="16" t="n">
        <x:v>0</x:v>
      </x:c>
      <x:c r="H406" s="16" t="n">
        <x:v>0</x:v>
      </x:c>
      <x:c r="I406" s="16" t="n">
        <x:v>1039484.999701797</x:v>
      </x:c>
      <x:c r="J406" s="16" t="n">
        <x:v>1039484.999701797</x:v>
      </x:c>
      <x:c r="K406" s="16" t="n">
        <x:v>0</x:v>
      </x:c>
      <x:c r="L406" s="18" t="n">
        <x:v>0</x:v>
      </x:c>
      <x:c r="M406" s="18" t="n">
        <x:v>0</x:v>
      </x:c>
      <x:c r="O406" t="str">
        <x:v>2022-11-29</x:v>
      </x:c>
      <x:c r="P406" t="n">
        <x:v>1039484.999701797</x:v>
      </x:c>
    </x:row>
    <x:row r="407" ht="15" hidden="0" customHeight="1">
      <x:c r="A407" s="13" t="str">
        <x:v>2022-11-30</x:v>
      </x:c>
      <x:c r="B407" s="13" t="n">
        <x:v>0</x:v>
      </x:c>
      <x:c r="C407" s="13" t="n">
        <x:v>0</x:v>
      </x:c>
      <x:c r="D407" s="16" t="n">
        <x:v>0</x:v>
      </x:c>
      <x:c r="E407" s="16" t="n">
        <x:v>0</x:v>
      </x:c>
      <x:c r="F407" s="16" t="n">
        <x:v>0</x:v>
      </x:c>
      <x:c r="G407" s="16" t="n">
        <x:v>0</x:v>
      </x:c>
      <x:c r="H407" s="16" t="n">
        <x:v>0</x:v>
      </x:c>
      <x:c r="I407" s="16" t="n">
        <x:v>1039484.999701797</x:v>
      </x:c>
      <x:c r="J407" s="16" t="n">
        <x:v>1039484.999701797</x:v>
      </x:c>
      <x:c r="K407" s="16" t="n">
        <x:v>0</x:v>
      </x:c>
      <x:c r="L407" s="18" t="n">
        <x:v>0</x:v>
      </x:c>
      <x:c r="M407" s="18" t="n">
        <x:v>0</x:v>
      </x:c>
      <x:c r="O407" t="str">
        <x:v>2022-11-30</x:v>
      </x:c>
      <x:c r="P407" t="n">
        <x:v>1039484.999701797</x:v>
      </x:c>
    </x:row>
    <x:row r="408" ht="15" hidden="0" customHeight="1">
      <x:c r="A408" s="13" t="str">
        <x:v>2022-12-01</x:v>
      </x:c>
      <x:c r="B408" s="13" t="n">
        <x:v>0</x:v>
      </x:c>
      <x:c r="C408" s="13" t="n">
        <x:v>0</x:v>
      </x:c>
      <x:c r="D408" s="16" t="n">
        <x:v>0</x:v>
      </x:c>
      <x:c r="E408" s="16" t="n">
        <x:v>0</x:v>
      </x:c>
      <x:c r="F408" s="16" t="n">
        <x:v>0</x:v>
      </x:c>
      <x:c r="G408" s="16" t="n">
        <x:v>0</x:v>
      </x:c>
      <x:c r="H408" s="16" t="n">
        <x:v>0</x:v>
      </x:c>
      <x:c r="I408" s="16" t="n">
        <x:v>1039484.999701797</x:v>
      </x:c>
      <x:c r="J408" s="16" t="n">
        <x:v>1039484.999701797</x:v>
      </x:c>
      <x:c r="K408" s="16" t="n">
        <x:v>0</x:v>
      </x:c>
      <x:c r="L408" s="18" t="n">
        <x:v>0</x:v>
      </x:c>
      <x:c r="M408" s="18" t="n">
        <x:v>0</x:v>
      </x:c>
      <x:c r="O408" t="str">
        <x:v>2022-12-01</x:v>
      </x:c>
      <x:c r="P408" t="n">
        <x:v>1039484.999701797</x:v>
      </x:c>
    </x:row>
    <x:row r="409" ht="15" hidden="0" customHeight="1">
      <x:c r="A409" s="13" t="str">
        <x:v>2022-12-02</x:v>
      </x:c>
      <x:c r="B409" s="13" t="n">
        <x:v>0</x:v>
      </x:c>
      <x:c r="C409" s="13" t="n">
        <x:v>0</x:v>
      </x:c>
      <x:c r="D409" s="16" t="n">
        <x:v>0</x:v>
      </x:c>
      <x:c r="E409" s="16" t="n">
        <x:v>0</x:v>
      </x:c>
      <x:c r="F409" s="16" t="n">
        <x:v>0</x:v>
      </x:c>
      <x:c r="G409" s="16" t="n">
        <x:v>0</x:v>
      </x:c>
      <x:c r="H409" s="16" t="n">
        <x:v>0</x:v>
      </x:c>
      <x:c r="I409" s="16" t="n">
        <x:v>1039484.999701797</x:v>
      </x:c>
      <x:c r="J409" s="16" t="n">
        <x:v>1039484.999701797</x:v>
      </x:c>
      <x:c r="K409" s="16" t="n">
        <x:v>0</x:v>
      </x:c>
      <x:c r="L409" s="18" t="n">
        <x:v>0</x:v>
      </x:c>
      <x:c r="M409" s="18" t="n">
        <x:v>0</x:v>
      </x:c>
      <x:c r="O409" t="str">
        <x:v>2022-12-02</x:v>
      </x:c>
      <x:c r="P409" t="n">
        <x:v>1039484.999701797</x:v>
      </x:c>
    </x:row>
    <x:row r="410" ht="15" hidden="0" customHeight="1">
      <x:c r="A410" s="13" t="str">
        <x:v>2022-12-05</x:v>
      </x:c>
      <x:c r="B410" s="13" t="n">
        <x:v>0</x:v>
      </x:c>
      <x:c r="C410" s="13" t="n">
        <x:v>0</x:v>
      </x:c>
      <x:c r="D410" s="16" t="n">
        <x:v>0</x:v>
      </x:c>
      <x:c r="E410" s="16" t="n">
        <x:v>0</x:v>
      </x:c>
      <x:c r="F410" s="16" t="n">
        <x:v>0</x:v>
      </x:c>
      <x:c r="G410" s="16" t="n">
        <x:v>0</x:v>
      </x:c>
      <x:c r="H410" s="16" t="n">
        <x:v>0</x:v>
      </x:c>
      <x:c r="I410" s="16" t="n">
        <x:v>1039484.999701797</x:v>
      </x:c>
      <x:c r="J410" s="16" t="n">
        <x:v>1039484.999701797</x:v>
      </x:c>
      <x:c r="K410" s="16" t="n">
        <x:v>0</x:v>
      </x:c>
      <x:c r="L410" s="18" t="n">
        <x:v>0</x:v>
      </x:c>
      <x:c r="M410" s="18" t="n">
        <x:v>0</x:v>
      </x:c>
      <x:c r="O410" t="str">
        <x:v>2022-12-05</x:v>
      </x:c>
      <x:c r="P410" t="n">
        <x:v>1039484.999701797</x:v>
      </x:c>
    </x:row>
    <x:row r="411" ht="15" hidden="0" customHeight="1">
      <x:c r="A411" s="13" t="str">
        <x:v>2022-12-06</x:v>
      </x:c>
      <x:c r="B411" s="13" t="n">
        <x:v>0</x:v>
      </x:c>
      <x:c r="C411" s="13" t="n">
        <x:v>0</x:v>
      </x:c>
      <x:c r="D411" s="16" t="n">
        <x:v>0</x:v>
      </x:c>
      <x:c r="E411" s="16" t="n">
        <x:v>0</x:v>
      </x:c>
      <x:c r="F411" s="16" t="n">
        <x:v>0</x:v>
      </x:c>
      <x:c r="G411" s="16" t="n">
        <x:v>0</x:v>
      </x:c>
      <x:c r="H411" s="16" t="n">
        <x:v>0</x:v>
      </x:c>
      <x:c r="I411" s="16" t="n">
        <x:v>1039484.999701797</x:v>
      </x:c>
      <x:c r="J411" s="16" t="n">
        <x:v>1039484.999701797</x:v>
      </x:c>
      <x:c r="K411" s="16" t="n">
        <x:v>0</x:v>
      </x:c>
      <x:c r="L411" s="18" t="n">
        <x:v>0</x:v>
      </x:c>
      <x:c r="M411" s="18" t="n">
        <x:v>0</x:v>
      </x:c>
      <x:c r="O411" t="str">
        <x:v>2022-12-06</x:v>
      </x:c>
      <x:c r="P411" t="n">
        <x:v>1039484.999701797</x:v>
      </x:c>
    </x:row>
    <x:row r="412" ht="15" hidden="0" customHeight="1">
      <x:c r="A412" s="13" t="str">
        <x:v>2022-12-07</x:v>
      </x:c>
      <x:c r="B412" s="13" t="n">
        <x:v>0</x:v>
      </x:c>
      <x:c r="C412" s="13" t="n">
        <x:v>0</x:v>
      </x:c>
      <x:c r="D412" s="16" t="n">
        <x:v>0</x:v>
      </x:c>
      <x:c r="E412" s="16" t="n">
        <x:v>0</x:v>
      </x:c>
      <x:c r="F412" s="16" t="n">
        <x:v>0</x:v>
      </x:c>
      <x:c r="G412" s="16" t="n">
        <x:v>0</x:v>
      </x:c>
      <x:c r="H412" s="16" t="n">
        <x:v>0</x:v>
      </x:c>
      <x:c r="I412" s="16" t="n">
        <x:v>1039484.999701797</x:v>
      </x:c>
      <x:c r="J412" s="16" t="n">
        <x:v>1039484.999701797</x:v>
      </x:c>
      <x:c r="K412" s="16" t="n">
        <x:v>0</x:v>
      </x:c>
      <x:c r="L412" s="18" t="n">
        <x:v>0</x:v>
      </x:c>
      <x:c r="M412" s="18" t="n">
        <x:v>0</x:v>
      </x:c>
      <x:c r="O412" t="str">
        <x:v>2022-12-07</x:v>
      </x:c>
      <x:c r="P412" t="n">
        <x:v>1039484.999701797</x:v>
      </x:c>
    </x:row>
    <x:row r="413" ht="15" hidden="0" customHeight="1">
      <x:c r="A413" s="13" t="str">
        <x:v>2022-12-08</x:v>
      </x:c>
      <x:c r="B413" s="13" t="n">
        <x:v>1</x:v>
      </x:c>
      <x:c r="C413" s="13" t="n">
        <x:v>7</x:v>
      </x:c>
      <x:c r="D413" s="16" t="n">
        <x:v>1925.000000000001</x:v>
      </x:c>
      <x:c r="E413" s="16" t="n">
        <x:v>385.53799932813297</x:v>
      </x:c>
      <x:c r="F413" s="16" t="n">
        <x:v>1539.4620006718678</x:v>
      </x:c>
      <x:c r="G413" s="16" t="n">
        <x:v>33530.33574350082</x:v>
      </x:c>
      <x:c r="H413" s="16" t="n">
        <x:v>312700.4571041132</x:v>
      </x:c>
      <x:c r="I413" s="16" t="n">
        <x:v>1041024.4617024688</x:v>
      </x:c>
      <x:c r="J413" s="16" t="n">
        <x:v>1041024.4617024688</x:v>
      </x:c>
      <x:c r="K413" s="16" t="n">
        <x:v>0</x:v>
      </x:c>
      <x:c r="L413" s="18" t="n">
        <x:v>0</x:v>
      </x:c>
      <x:c r="M413" s="18" t="n">
        <x:v>0.0014809852966741</x:v>
      </x:c>
      <x:c r="O413" t="str">
        <x:v>2022-12-08</x:v>
      </x:c>
      <x:c r="P413" t="n">
        <x:v>1041024.4617024688</x:v>
      </x:c>
    </x:row>
    <x:row r="414" ht="15" hidden="0" customHeight="1">
      <x:c r="A414" s="13" t="str">
        <x:v>2022-12-09</x:v>
      </x:c>
      <x:c r="B414" s="13" t="n">
        <x:v>0</x:v>
      </x:c>
      <x:c r="C414" s="13" t="n">
        <x:v>0</x:v>
      </x:c>
      <x:c r="D414" s="16" t="n">
        <x:v>0</x:v>
      </x:c>
      <x:c r="E414" s="16" t="n">
        <x:v>0</x:v>
      </x:c>
      <x:c r="F414" s="16" t="n">
        <x:v>0</x:v>
      </x:c>
      <x:c r="G414" s="16" t="n">
        <x:v>0</x:v>
      </x:c>
      <x:c r="H414" s="16" t="n">
        <x:v>0</x:v>
      </x:c>
      <x:c r="I414" s="16" t="n">
        <x:v>1041024.4617024688</x:v>
      </x:c>
      <x:c r="J414" s="16" t="n">
        <x:v>1041024.4617024688</x:v>
      </x:c>
      <x:c r="K414" s="16" t="n">
        <x:v>0</x:v>
      </x:c>
      <x:c r="L414" s="18" t="n">
        <x:v>0</x:v>
      </x:c>
      <x:c r="M414" s="18" t="n">
        <x:v>0</x:v>
      </x:c>
      <x:c r="O414" t="str">
        <x:v>2022-12-09</x:v>
      </x:c>
      <x:c r="P414" t="n">
        <x:v>1041024.4617024688</x:v>
      </x:c>
    </x:row>
    <x:row r="415" ht="15" hidden="0" customHeight="1">
      <x:c r="A415" s="13" t="str">
        <x:v>2022-12-12</x:v>
      </x:c>
      <x:c r="B415" s="13" t="n">
        <x:v>0</x:v>
      </x:c>
      <x:c r="C415" s="13" t="n">
        <x:v>0</x:v>
      </x:c>
      <x:c r="D415" s="16" t="n">
        <x:v>0</x:v>
      </x:c>
      <x:c r="E415" s="16" t="n">
        <x:v>0</x:v>
      </x:c>
      <x:c r="F415" s="16" t="n">
        <x:v>0</x:v>
      </x:c>
      <x:c r="G415" s="16" t="n">
        <x:v>0</x:v>
      </x:c>
      <x:c r="H415" s="16" t="n">
        <x:v>0</x:v>
      </x:c>
      <x:c r="I415" s="16" t="n">
        <x:v>1041024.4617024688</x:v>
      </x:c>
      <x:c r="J415" s="16" t="n">
        <x:v>1041024.4617024688</x:v>
      </x:c>
      <x:c r="K415" s="16" t="n">
        <x:v>0</x:v>
      </x:c>
      <x:c r="L415" s="18" t="n">
        <x:v>0</x:v>
      </x:c>
      <x:c r="M415" s="18" t="n">
        <x:v>0</x:v>
      </x:c>
      <x:c r="O415" t="str">
        <x:v>2022-12-12</x:v>
      </x:c>
      <x:c r="P415" t="n">
        <x:v>1041024.4617024688</x:v>
      </x:c>
    </x:row>
    <x:row r="416" ht="15" hidden="0" customHeight="1">
      <x:c r="A416" s="13" t="str">
        <x:v>2022-12-13</x:v>
      </x:c>
      <x:c r="B416" s="13" t="n">
        <x:v>0</x:v>
      </x:c>
      <x:c r="C416" s="13" t="n">
        <x:v>0</x:v>
      </x:c>
      <x:c r="D416" s="16" t="n">
        <x:v>0</x:v>
      </x:c>
      <x:c r="E416" s="16" t="n">
        <x:v>0</x:v>
      </x:c>
      <x:c r="F416" s="16" t="n">
        <x:v>0</x:v>
      </x:c>
      <x:c r="G416" s="16" t="n">
        <x:v>0</x:v>
      </x:c>
      <x:c r="H416" s="16" t="n">
        <x:v>0</x:v>
      </x:c>
      <x:c r="I416" s="16" t="n">
        <x:v>1041024.4617024688</x:v>
      </x:c>
      <x:c r="J416" s="16" t="n">
        <x:v>1041024.4617024688</x:v>
      </x:c>
      <x:c r="K416" s="16" t="n">
        <x:v>0</x:v>
      </x:c>
      <x:c r="L416" s="18" t="n">
        <x:v>0</x:v>
      </x:c>
      <x:c r="M416" s="18" t="n">
        <x:v>0</x:v>
      </x:c>
      <x:c r="O416" t="str">
        <x:v>2022-12-13</x:v>
      </x:c>
      <x:c r="P416" t="n">
        <x:v>1041024.4617024688</x:v>
      </x:c>
    </x:row>
    <x:row r="417" ht="15" hidden="0" customHeight="1">
      <x:c r="A417" s="13" t="str">
        <x:v>2022-12-14</x:v>
      </x:c>
      <x:c r="B417" s="13" t="n">
        <x:v>0</x:v>
      </x:c>
      <x:c r="C417" s="13" t="n">
        <x:v>0</x:v>
      </x:c>
      <x:c r="D417" s="16" t="n">
        <x:v>0</x:v>
      </x:c>
      <x:c r="E417" s="16" t="n">
        <x:v>0</x:v>
      </x:c>
      <x:c r="F417" s="16" t="n">
        <x:v>0</x:v>
      </x:c>
      <x:c r="G417" s="16" t="n">
        <x:v>0</x:v>
      </x:c>
      <x:c r="H417" s="16" t="n">
        <x:v>0</x:v>
      </x:c>
      <x:c r="I417" s="16" t="n">
        <x:v>1041024.4617024688</x:v>
      </x:c>
      <x:c r="J417" s="16" t="n">
        <x:v>1041024.4617024688</x:v>
      </x:c>
      <x:c r="K417" s="16" t="n">
        <x:v>0</x:v>
      </x:c>
      <x:c r="L417" s="18" t="n">
        <x:v>0</x:v>
      </x:c>
      <x:c r="M417" s="18" t="n">
        <x:v>0</x:v>
      </x:c>
      <x:c r="O417" t="str">
        <x:v>2022-12-14</x:v>
      </x:c>
      <x:c r="P417" t="n">
        <x:v>1041024.4617024688</x:v>
      </x:c>
    </x:row>
    <x:row r="418" ht="15" hidden="0" customHeight="1">
      <x:c r="A418" s="13" t="str">
        <x:v>2022-12-15</x:v>
      </x:c>
      <x:c r="B418" s="13" t="n">
        <x:v>1</x:v>
      </x:c>
      <x:c r="C418" s="13" t="n">
        <x:v>8</x:v>
      </x:c>
      <x:c r="D418" s="16" t="n">
        <x:v>3580.000000000001</x:v>
      </x:c>
      <x:c r="E418" s="16" t="n">
        <x:v>424.0844523932967</x:v>
      </x:c>
      <x:c r="F418" s="16" t="n">
        <x:v>3155.9155476067044</x:v>
      </x:c>
      <x:c r="G418" s="16" t="n">
        <x:v>43617.10498856931</x:v>
      </x:c>
      <x:c r="H418" s="16" t="n">
        <x:v>358992.8072722229</x:v>
      </x:c>
      <x:c r="I418" s="16" t="n">
        <x:v>1044180.3772500756</x:v>
      </x:c>
      <x:c r="J418" s="16" t="n">
        <x:v>1044180.3772500756</x:v>
      </x:c>
      <x:c r="K418" s="16" t="n">
        <x:v>0</x:v>
      </x:c>
      <x:c r="L418" s="18" t="n">
        <x:v>0</x:v>
      </x:c>
      <x:c r="M418" s="18" t="n">
        <x:v>0.0030315479258244</x:v>
      </x:c>
      <x:c r="O418" t="str">
        <x:v>2022-12-15</x:v>
      </x:c>
      <x:c r="P418" t="n">
        <x:v>1044180.3772500756</x:v>
      </x:c>
    </x:row>
    <x:row r="419" ht="15" hidden="0" customHeight="1">
      <x:c r="A419" s="13" t="str">
        <x:v>2022-12-16</x:v>
      </x:c>
      <x:c r="B419" s="13" t="n">
        <x:v>0</x:v>
      </x:c>
      <x:c r="C419" s="13" t="n">
        <x:v>0</x:v>
      </x:c>
      <x:c r="D419" s="16" t="n">
        <x:v>0</x:v>
      </x:c>
      <x:c r="E419" s="16" t="n">
        <x:v>0</x:v>
      </x:c>
      <x:c r="F419" s="16" t="n">
        <x:v>0</x:v>
      </x:c>
      <x:c r="G419" s="16" t="n">
        <x:v>0</x:v>
      </x:c>
      <x:c r="H419" s="16" t="n">
        <x:v>0</x:v>
      </x:c>
      <x:c r="I419" s="16" t="n">
        <x:v>1044180.3772500756</x:v>
      </x:c>
      <x:c r="J419" s="16" t="n">
        <x:v>1044180.3772500756</x:v>
      </x:c>
      <x:c r="K419" s="16" t="n">
        <x:v>0</x:v>
      </x:c>
      <x:c r="L419" s="18" t="n">
        <x:v>0</x:v>
      </x:c>
      <x:c r="M419" s="18" t="n">
        <x:v>0</x:v>
      </x:c>
      <x:c r="O419" t="str">
        <x:v>2022-12-16</x:v>
      </x:c>
      <x:c r="P419" t="n">
        <x:v>1044180.3772500756</x:v>
      </x:c>
    </x:row>
    <x:row r="420" ht="15" hidden="0" customHeight="1">
      <x:c r="A420" s="13" t="str">
        <x:v>2022-12-19</x:v>
      </x:c>
      <x:c r="B420" s="13" t="n">
        <x:v>0</x:v>
      </x:c>
      <x:c r="C420" s="13" t="n">
        <x:v>0</x:v>
      </x:c>
      <x:c r="D420" s="16" t="n">
        <x:v>0</x:v>
      </x:c>
      <x:c r="E420" s="16" t="n">
        <x:v>0</x:v>
      </x:c>
      <x:c r="F420" s="16" t="n">
        <x:v>0</x:v>
      </x:c>
      <x:c r="G420" s="16" t="n">
        <x:v>0</x:v>
      </x:c>
      <x:c r="H420" s="16" t="n">
        <x:v>0</x:v>
      </x:c>
      <x:c r="I420" s="16" t="n">
        <x:v>1044180.3772500756</x:v>
      </x:c>
      <x:c r="J420" s="16" t="n">
        <x:v>1044180.3772500756</x:v>
      </x:c>
      <x:c r="K420" s="16" t="n">
        <x:v>0</x:v>
      </x:c>
      <x:c r="L420" s="18" t="n">
        <x:v>0</x:v>
      </x:c>
      <x:c r="M420" s="18" t="n">
        <x:v>0</x:v>
      </x:c>
      <x:c r="O420" t="str">
        <x:v>2022-12-19</x:v>
      </x:c>
      <x:c r="P420" t="n">
        <x:v>1044180.3772500756</x:v>
      </x:c>
    </x:row>
    <x:row r="421" ht="15" hidden="0" customHeight="1">
      <x:c r="A421" s="13" t="str">
        <x:v>2022-12-20</x:v>
      </x:c>
      <x:c r="B421" s="13" t="n">
        <x:v>0</x:v>
      </x:c>
      <x:c r="C421" s="13" t="n">
        <x:v>0</x:v>
      </x:c>
      <x:c r="D421" s="16" t="n">
        <x:v>0</x:v>
      </x:c>
      <x:c r="E421" s="16" t="n">
        <x:v>0</x:v>
      </x:c>
      <x:c r="F421" s="16" t="n">
        <x:v>0</x:v>
      </x:c>
      <x:c r="G421" s="16" t="n">
        <x:v>0</x:v>
      </x:c>
      <x:c r="H421" s="16" t="n">
        <x:v>0</x:v>
      </x:c>
      <x:c r="I421" s="16" t="n">
        <x:v>1044180.3772500756</x:v>
      </x:c>
      <x:c r="J421" s="16" t="n">
        <x:v>1044180.3772500756</x:v>
      </x:c>
      <x:c r="K421" s="16" t="n">
        <x:v>0</x:v>
      </x:c>
      <x:c r="L421" s="18" t="n">
        <x:v>0</x:v>
      </x:c>
      <x:c r="M421" s="18" t="n">
        <x:v>0</x:v>
      </x:c>
      <x:c r="O421" t="str">
        <x:v>2022-12-20</x:v>
      </x:c>
      <x:c r="P421" t="n">
        <x:v>1044180.3772500756</x:v>
      </x:c>
    </x:row>
    <x:row r="422" ht="15" hidden="0" customHeight="1">
      <x:c r="A422" s="13" t="str">
        <x:v>2022-12-21</x:v>
      </x:c>
      <x:c r="B422" s="13" t="n">
        <x:v>0</x:v>
      </x:c>
      <x:c r="C422" s="13" t="n">
        <x:v>0</x:v>
      </x:c>
      <x:c r="D422" s="16" t="n">
        <x:v>0</x:v>
      </x:c>
      <x:c r="E422" s="16" t="n">
        <x:v>0</x:v>
      </x:c>
      <x:c r="F422" s="16" t="n">
        <x:v>0</x:v>
      </x:c>
      <x:c r="G422" s="16" t="n">
        <x:v>0</x:v>
      </x:c>
      <x:c r="H422" s="16" t="n">
        <x:v>0</x:v>
      </x:c>
      <x:c r="I422" s="16" t="n">
        <x:v>1044180.3772500756</x:v>
      </x:c>
      <x:c r="J422" s="16" t="n">
        <x:v>1044180.3772500756</x:v>
      </x:c>
      <x:c r="K422" s="16" t="n">
        <x:v>0</x:v>
      </x:c>
      <x:c r="L422" s="18" t="n">
        <x:v>0</x:v>
      </x:c>
      <x:c r="M422" s="18" t="n">
        <x:v>0</x:v>
      </x:c>
      <x:c r="O422" t="str">
        <x:v>2022-12-21</x:v>
      </x:c>
      <x:c r="P422" t="n">
        <x:v>1044180.3772500756</x:v>
      </x:c>
    </x:row>
    <x:row r="423" ht="15" hidden="0" customHeight="1">
      <x:c r="A423" s="13" t="str">
        <x:v>2022-12-22</x:v>
      </x:c>
      <x:c r="B423" s="13" t="n">
        <x:v>1</x:v>
      </x:c>
      <x:c r="C423" s="13" t="n">
        <x:v>8</x:v>
      </x:c>
      <x:c r="D423" s="16" t="n">
        <x:v>3560.000000000001</x:v>
      </x:c>
      <x:c r="E423" s="16" t="n">
        <x:v>490.2488146442344</x:v>
      </x:c>
      <x:c r="F423" s="16" t="n">
        <x:v>3069.7511853557667</x:v>
      </x:c>
      <x:c r="G423" s="16" t="n">
        <x:v>76225.35314144478</x:v>
      </x:c>
      <x:c r="H423" s="16" t="n">
        <x:v>359636.81273169874</x:v>
      </x:c>
      <x:c r="I423" s="16" t="n">
        <x:v>1047250.1284354312</x:v>
      </x:c>
      <x:c r="J423" s="16" t="n">
        <x:v>1047250.1284354312</x:v>
      </x:c>
      <x:c r="K423" s="16" t="n">
        <x:v>0</x:v>
      </x:c>
      <x:c r="L423" s="18" t="n">
        <x:v>0</x:v>
      </x:c>
      <x:c r="M423" s="18" t="n">
        <x:v>0.002939866762714</x:v>
      </x:c>
      <x:c r="O423" t="str">
        <x:v>2022-12-22</x:v>
      </x:c>
      <x:c r="P423" t="n">
        <x:v>1047250.1284354312</x:v>
      </x:c>
    </x:row>
    <x:row r="424" ht="15" hidden="0" customHeight="1">
      <x:c r="A424" s="13" t="str">
        <x:v>2022-12-23</x:v>
      </x:c>
      <x:c r="B424" s="13" t="n">
        <x:v>0</x:v>
      </x:c>
      <x:c r="C424" s="13" t="n">
        <x:v>0</x:v>
      </x:c>
      <x:c r="D424" s="16" t="n">
        <x:v>0</x:v>
      </x:c>
      <x:c r="E424" s="16" t="n">
        <x:v>0</x:v>
      </x:c>
      <x:c r="F424" s="16" t="n">
        <x:v>0</x:v>
      </x:c>
      <x:c r="G424" s="16" t="n">
        <x:v>0</x:v>
      </x:c>
      <x:c r="H424" s="16" t="n">
        <x:v>0</x:v>
      </x:c>
      <x:c r="I424" s="16" t="n">
        <x:v>1047250.1284354312</x:v>
      </x:c>
      <x:c r="J424" s="16" t="n">
        <x:v>1047250.1284354312</x:v>
      </x:c>
      <x:c r="K424" s="16" t="n">
        <x:v>0</x:v>
      </x:c>
      <x:c r="L424" s="18" t="n">
        <x:v>0</x:v>
      </x:c>
      <x:c r="M424" s="18" t="n">
        <x:v>0</x:v>
      </x:c>
      <x:c r="O424" t="str">
        <x:v>2022-12-23</x:v>
      </x:c>
      <x:c r="P424" t="n">
        <x:v>1047250.1284354312</x:v>
      </x:c>
    </x:row>
    <x:row r="425" ht="15" hidden="0" customHeight="1">
      <x:c r="A425" s="13" t="str">
        <x:v>2022-12-26</x:v>
      </x:c>
      <x:c r="B425" s="13" t="n">
        <x:v>0</x:v>
      </x:c>
      <x:c r="C425" s="13" t="n">
        <x:v>0</x:v>
      </x:c>
      <x:c r="D425" s="16" t="n">
        <x:v>0</x:v>
      </x:c>
      <x:c r="E425" s="16" t="n">
        <x:v>0</x:v>
      </x:c>
      <x:c r="F425" s="16" t="n">
        <x:v>0</x:v>
      </x:c>
      <x:c r="G425" s="16" t="n">
        <x:v>0</x:v>
      </x:c>
      <x:c r="H425" s="16" t="n">
        <x:v>0</x:v>
      </x:c>
      <x:c r="I425" s="16" t="n">
        <x:v>1047250.1284354312</x:v>
      </x:c>
      <x:c r="J425" s="16" t="n">
        <x:v>1047250.1284354312</x:v>
      </x:c>
      <x:c r="K425" s="16" t="n">
        <x:v>0</x:v>
      </x:c>
      <x:c r="L425" s="18" t="n">
        <x:v>0</x:v>
      </x:c>
      <x:c r="M425" s="18" t="n">
        <x:v>0</x:v>
      </x:c>
      <x:c r="O425" t="str">
        <x:v>2022-12-26</x:v>
      </x:c>
      <x:c r="P425" t="n">
        <x:v>1047250.1284354312</x:v>
      </x:c>
    </x:row>
    <x:row r="426" ht="15" hidden="0" customHeight="1">
      <x:c r="A426" s="13" t="str">
        <x:v>2022-12-27</x:v>
      </x:c>
      <x:c r="B426" s="13" t="n">
        <x:v>0</x:v>
      </x:c>
      <x:c r="C426" s="13" t="n">
        <x:v>0</x:v>
      </x:c>
      <x:c r="D426" s="16" t="n">
        <x:v>0</x:v>
      </x:c>
      <x:c r="E426" s="16" t="n">
        <x:v>0</x:v>
      </x:c>
      <x:c r="F426" s="16" t="n">
        <x:v>0</x:v>
      </x:c>
      <x:c r="G426" s="16" t="n">
        <x:v>0</x:v>
      </x:c>
      <x:c r="H426" s="16" t="n">
        <x:v>0</x:v>
      </x:c>
      <x:c r="I426" s="16" t="n">
        <x:v>1047250.1284354312</x:v>
      </x:c>
      <x:c r="J426" s="16" t="n">
        <x:v>1047250.1284354312</x:v>
      </x:c>
      <x:c r="K426" s="16" t="n">
        <x:v>0</x:v>
      </x:c>
      <x:c r="L426" s="18" t="n">
        <x:v>0</x:v>
      </x:c>
      <x:c r="M426" s="18" t="n">
        <x:v>0</x:v>
      </x:c>
      <x:c r="O426" t="str">
        <x:v>2022-12-27</x:v>
      </x:c>
      <x:c r="P426" t="n">
        <x:v>1047250.1284354312</x:v>
      </x:c>
    </x:row>
    <x:row r="427" ht="15" hidden="0" customHeight="1">
      <x:c r="A427" s="13" t="str">
        <x:v>2022-12-28</x:v>
      </x:c>
      <x:c r="B427" s="13" t="n">
        <x:v>0</x:v>
      </x:c>
      <x:c r="C427" s="13" t="n">
        <x:v>0</x:v>
      </x:c>
      <x:c r="D427" s="16" t="n">
        <x:v>0</x:v>
      </x:c>
      <x:c r="E427" s="16" t="n">
        <x:v>0</x:v>
      </x:c>
      <x:c r="F427" s="16" t="n">
        <x:v>0</x:v>
      </x:c>
      <x:c r="G427" s="16" t="n">
        <x:v>0</x:v>
      </x:c>
      <x:c r="H427" s="16" t="n">
        <x:v>0</x:v>
      </x:c>
      <x:c r="I427" s="16" t="n">
        <x:v>1047250.1284354312</x:v>
      </x:c>
      <x:c r="J427" s="16" t="n">
        <x:v>1047250.1284354312</x:v>
      </x:c>
      <x:c r="K427" s="16" t="n">
        <x:v>0</x:v>
      </x:c>
      <x:c r="L427" s="18" t="n">
        <x:v>0</x:v>
      </x:c>
      <x:c r="M427" s="18" t="n">
        <x:v>0</x:v>
      </x:c>
      <x:c r="O427" t="str">
        <x:v>2022-12-28</x:v>
      </x:c>
      <x:c r="P427" t="n">
        <x:v>1047250.1284354312</x:v>
      </x:c>
    </x:row>
    <x:row r="428" ht="15" hidden="0" customHeight="1">
      <x:c r="A428" s="13" t="str">
        <x:v>2022-12-29</x:v>
      </x:c>
      <x:c r="B428" s="13" t="n">
        <x:v>0</x:v>
      </x:c>
      <x:c r="C428" s="13" t="n">
        <x:v>0</x:v>
      </x:c>
      <x:c r="D428" s="16" t="n">
        <x:v>0</x:v>
      </x:c>
      <x:c r="E428" s="16" t="n">
        <x:v>0</x:v>
      </x:c>
      <x:c r="F428" s="16" t="n">
        <x:v>0</x:v>
      </x:c>
      <x:c r="G428" s="16" t="n">
        <x:v>0</x:v>
      </x:c>
      <x:c r="H428" s="16" t="n">
        <x:v>0</x:v>
      </x:c>
      <x:c r="I428" s="16" t="n">
        <x:v>1047250.1284354312</x:v>
      </x:c>
      <x:c r="J428" s="16" t="n">
        <x:v>1047250.1284354312</x:v>
      </x:c>
      <x:c r="K428" s="16" t="n">
        <x:v>0</x:v>
      </x:c>
      <x:c r="L428" s="18" t="n">
        <x:v>0</x:v>
      </x:c>
      <x:c r="M428" s="18" t="n">
        <x:v>0</x:v>
      </x:c>
      <x:c r="O428" t="str">
        <x:v>2022-12-29</x:v>
      </x:c>
      <x:c r="P428" t="n">
        <x:v>1047250.1284354312</x:v>
      </x:c>
    </x:row>
    <x:row r="429" ht="15" hidden="0" customHeight="1">
      <x:c r="A429" s="13" t="str">
        <x:v>2022-12-30</x:v>
      </x:c>
      <x:c r="B429" s="13" t="n">
        <x:v>0</x:v>
      </x:c>
      <x:c r="C429" s="13" t="n">
        <x:v>0</x:v>
      </x:c>
      <x:c r="D429" s="16" t="n">
        <x:v>0</x:v>
      </x:c>
      <x:c r="E429" s="16" t="n">
        <x:v>0</x:v>
      </x:c>
      <x:c r="F429" s="16" t="n">
        <x:v>0</x:v>
      </x:c>
      <x:c r="G429" s="16" t="n">
        <x:v>0</x:v>
      </x:c>
      <x:c r="H429" s="16" t="n">
        <x:v>0</x:v>
      </x:c>
      <x:c r="I429" s="16" t="n">
        <x:v>1047250.1284354312</x:v>
      </x:c>
      <x:c r="J429" s="16" t="n">
        <x:v>1047250.1284354312</x:v>
      </x:c>
      <x:c r="K429" s="16" t="n">
        <x:v>0</x:v>
      </x:c>
      <x:c r="L429" s="18" t="n">
        <x:v>0</x:v>
      </x:c>
      <x:c r="M429" s="18" t="n">
        <x:v>0</x:v>
      </x:c>
      <x:c r="O429" t="str">
        <x:v>2022-12-30</x:v>
      </x:c>
      <x:c r="P429" t="n">
        <x:v>1047250.1284354312</x:v>
      </x:c>
    </x:row>
    <x:row r="430" ht="15" hidden="0" customHeight="1">
      <x:c r="A430" s="13" t="str">
        <x:v>2023-01-02</x:v>
      </x:c>
      <x:c r="B430" s="13" t="n">
        <x:v>0</x:v>
      </x:c>
      <x:c r="C430" s="13" t="n">
        <x:v>0</x:v>
      </x:c>
      <x:c r="D430" s="16" t="n">
        <x:v>0</x:v>
      </x:c>
      <x:c r="E430" s="16" t="n">
        <x:v>0</x:v>
      </x:c>
      <x:c r="F430" s="16" t="n">
        <x:v>0</x:v>
      </x:c>
      <x:c r="G430" s="16" t="n">
        <x:v>0</x:v>
      </x:c>
      <x:c r="H430" s="16" t="n">
        <x:v>0</x:v>
      </x:c>
      <x:c r="I430" s="16" t="n">
        <x:v>1047250.1284354312</x:v>
      </x:c>
      <x:c r="J430" s="16" t="n">
        <x:v>1047250.1284354312</x:v>
      </x:c>
      <x:c r="K430" s="16" t="n">
        <x:v>0</x:v>
      </x:c>
      <x:c r="L430" s="18" t="n">
        <x:v>0</x:v>
      </x:c>
      <x:c r="M430" s="18" t="n">
        <x:v>0</x:v>
      </x:c>
      <x:c r="O430" t="str">
        <x:v>2023-01-02</x:v>
      </x:c>
      <x:c r="P430" t="n">
        <x:v>1047250.1284354312</x:v>
      </x:c>
    </x:row>
    <x:row r="431" ht="15" hidden="0" customHeight="1">
      <x:c r="A431" s="13" t="str">
        <x:v>2023-01-03</x:v>
      </x:c>
      <x:c r="B431" s="13" t="n">
        <x:v>0</x:v>
      </x:c>
      <x:c r="C431" s="13" t="n">
        <x:v>0</x:v>
      </x:c>
      <x:c r="D431" s="16" t="n">
        <x:v>0</x:v>
      </x:c>
      <x:c r="E431" s="16" t="n">
        <x:v>0</x:v>
      </x:c>
      <x:c r="F431" s="16" t="n">
        <x:v>0</x:v>
      </x:c>
      <x:c r="G431" s="16" t="n">
        <x:v>0</x:v>
      </x:c>
      <x:c r="H431" s="16" t="n">
        <x:v>0</x:v>
      </x:c>
      <x:c r="I431" s="16" t="n">
        <x:v>1047250.1284354312</x:v>
      </x:c>
      <x:c r="J431" s="16" t="n">
        <x:v>1047250.1284354312</x:v>
      </x:c>
      <x:c r="K431" s="16" t="n">
        <x:v>0</x:v>
      </x:c>
      <x:c r="L431" s="18" t="n">
        <x:v>0</x:v>
      </x:c>
      <x:c r="M431" s="18" t="n">
        <x:v>0</x:v>
      </x:c>
      <x:c r="O431" t="str">
        <x:v>2023-01-03</x:v>
      </x:c>
      <x:c r="P431" t="n">
        <x:v>1047250.1284354312</x:v>
      </x:c>
    </x:row>
    <x:row r="432" ht="15" hidden="0" customHeight="1">
      <x:c r="A432" s="13" t="str">
        <x:v>2023-01-04</x:v>
      </x:c>
      <x:c r="B432" s="13" t="n">
        <x:v>0</x:v>
      </x:c>
      <x:c r="C432" s="13" t="n">
        <x:v>0</x:v>
      </x:c>
      <x:c r="D432" s="16" t="n">
        <x:v>0</x:v>
      </x:c>
      <x:c r="E432" s="16" t="n">
        <x:v>0</x:v>
      </x:c>
      <x:c r="F432" s="16" t="n">
        <x:v>0</x:v>
      </x:c>
      <x:c r="G432" s="16" t="n">
        <x:v>0</x:v>
      </x:c>
      <x:c r="H432" s="16" t="n">
        <x:v>0</x:v>
      </x:c>
      <x:c r="I432" s="16" t="n">
        <x:v>1047250.1284354312</x:v>
      </x:c>
      <x:c r="J432" s="16" t="n">
        <x:v>1047250.1284354312</x:v>
      </x:c>
      <x:c r="K432" s="16" t="n">
        <x:v>0</x:v>
      </x:c>
      <x:c r="L432" s="18" t="n">
        <x:v>0</x:v>
      </x:c>
      <x:c r="M432" s="18" t="n">
        <x:v>0</x:v>
      </x:c>
      <x:c r="O432" t="str">
        <x:v>2023-01-04</x:v>
      </x:c>
      <x:c r="P432" t="n">
        <x:v>1047250.1284354312</x:v>
      </x:c>
    </x:row>
    <x:row r="433" ht="15" hidden="0" customHeight="1">
      <x:c r="A433" s="13" t="str">
        <x:v>2023-01-05</x:v>
      </x:c>
      <x:c r="B433" s="13" t="n">
        <x:v>0</x:v>
      </x:c>
      <x:c r="C433" s="13" t="n">
        <x:v>0</x:v>
      </x:c>
      <x:c r="D433" s="16" t="n">
        <x:v>0</x:v>
      </x:c>
      <x:c r="E433" s="16" t="n">
        <x:v>0</x:v>
      </x:c>
      <x:c r="F433" s="16" t="n">
        <x:v>0</x:v>
      </x:c>
      <x:c r="G433" s="16" t="n">
        <x:v>0</x:v>
      </x:c>
      <x:c r="H433" s="16" t="n">
        <x:v>0</x:v>
      </x:c>
      <x:c r="I433" s="16" t="n">
        <x:v>1047250.1284354312</x:v>
      </x:c>
      <x:c r="J433" s="16" t="n">
        <x:v>1047250.1284354312</x:v>
      </x:c>
      <x:c r="K433" s="16" t="n">
        <x:v>0</x:v>
      </x:c>
      <x:c r="L433" s="18" t="n">
        <x:v>0</x:v>
      </x:c>
      <x:c r="M433" s="18" t="n">
        <x:v>0</x:v>
      </x:c>
      <x:c r="O433" t="str">
        <x:v>2023-01-05</x:v>
      </x:c>
      <x:c r="P433" t="n">
        <x:v>1047250.1284354312</x:v>
      </x:c>
    </x:row>
    <x:row r="434" ht="15" hidden="0" customHeight="1">
      <x:c r="A434" s="13" t="str">
        <x:v>2023-01-06</x:v>
      </x:c>
      <x:c r="B434" s="13" t="n">
        <x:v>0</x:v>
      </x:c>
      <x:c r="C434" s="13" t="n">
        <x:v>0</x:v>
      </x:c>
      <x:c r="D434" s="16" t="n">
        <x:v>0</x:v>
      </x:c>
      <x:c r="E434" s="16" t="n">
        <x:v>0</x:v>
      </x:c>
      <x:c r="F434" s="16" t="n">
        <x:v>0</x:v>
      </x:c>
      <x:c r="G434" s="16" t="n">
        <x:v>0</x:v>
      </x:c>
      <x:c r="H434" s="16" t="n">
        <x:v>0</x:v>
      </x:c>
      <x:c r="I434" s="16" t="n">
        <x:v>1047250.1284354312</x:v>
      </x:c>
      <x:c r="J434" s="16" t="n">
        <x:v>1047250.1284354312</x:v>
      </x:c>
      <x:c r="K434" s="16" t="n">
        <x:v>0</x:v>
      </x:c>
      <x:c r="L434" s="18" t="n">
        <x:v>0</x:v>
      </x:c>
      <x:c r="M434" s="18" t="n">
        <x:v>0</x:v>
      </x:c>
      <x:c r="O434" t="str">
        <x:v>2023-01-06</x:v>
      </x:c>
      <x:c r="P434" t="n">
        <x:v>1047250.1284354312</x:v>
      </x:c>
    </x:row>
    <x:row r="435" ht="15" hidden="0" customHeight="1">
      <x:c r="A435" s="13" t="str">
        <x:v>2023-01-09</x:v>
      </x:c>
      <x:c r="B435" s="13" t="n">
        <x:v>0</x:v>
      </x:c>
      <x:c r="C435" s="13" t="n">
        <x:v>0</x:v>
      </x:c>
      <x:c r="D435" s="16" t="n">
        <x:v>0</x:v>
      </x:c>
      <x:c r="E435" s="16" t="n">
        <x:v>0</x:v>
      </x:c>
      <x:c r="F435" s="16" t="n">
        <x:v>0</x:v>
      </x:c>
      <x:c r="G435" s="16" t="n">
        <x:v>0</x:v>
      </x:c>
      <x:c r="H435" s="16" t="n">
        <x:v>0</x:v>
      </x:c>
      <x:c r="I435" s="16" t="n">
        <x:v>1047250.1284354312</x:v>
      </x:c>
      <x:c r="J435" s="16" t="n">
        <x:v>1047250.1284354312</x:v>
      </x:c>
      <x:c r="K435" s="16" t="n">
        <x:v>0</x:v>
      </x:c>
      <x:c r="L435" s="18" t="n">
        <x:v>0</x:v>
      </x:c>
      <x:c r="M435" s="18" t="n">
        <x:v>0</x:v>
      </x:c>
      <x:c r="O435" t="str">
        <x:v>2023-01-09</x:v>
      </x:c>
      <x:c r="P435" t="n">
        <x:v>1047250.1284354312</x:v>
      </x:c>
    </x:row>
    <x:row r="436" ht="15" hidden="0" customHeight="1">
      <x:c r="A436" s="13" t="str">
        <x:v>2023-01-10</x:v>
      </x:c>
      <x:c r="B436" s="13" t="n">
        <x:v>0</x:v>
      </x:c>
      <x:c r="C436" s="13" t="n">
        <x:v>0</x:v>
      </x:c>
      <x:c r="D436" s="16" t="n">
        <x:v>0</x:v>
      </x:c>
      <x:c r="E436" s="16" t="n">
        <x:v>0</x:v>
      </x:c>
      <x:c r="F436" s="16" t="n">
        <x:v>0</x:v>
      </x:c>
      <x:c r="G436" s="16" t="n">
        <x:v>0</x:v>
      </x:c>
      <x:c r="H436" s="16" t="n">
        <x:v>0</x:v>
      </x:c>
      <x:c r="I436" s="16" t="n">
        <x:v>1047250.1284354312</x:v>
      </x:c>
      <x:c r="J436" s="16" t="n">
        <x:v>1047250.1284354312</x:v>
      </x:c>
      <x:c r="K436" s="16" t="n">
        <x:v>0</x:v>
      </x:c>
      <x:c r="L436" s="18" t="n">
        <x:v>0</x:v>
      </x:c>
      <x:c r="M436" s="18" t="n">
        <x:v>0</x:v>
      </x:c>
      <x:c r="O436" t="str">
        <x:v>2023-01-10</x:v>
      </x:c>
      <x:c r="P436" t="n">
        <x:v>1047250.1284354312</x:v>
      </x:c>
    </x:row>
    <x:row r="437" ht="15" hidden="0" customHeight="1">
      <x:c r="A437" s="13" t="str">
        <x:v>2023-01-11</x:v>
      </x:c>
      <x:c r="B437" s="13" t="n">
        <x:v>0</x:v>
      </x:c>
      <x:c r="C437" s="13" t="n">
        <x:v>0</x:v>
      </x:c>
      <x:c r="D437" s="16" t="n">
        <x:v>0</x:v>
      </x:c>
      <x:c r="E437" s="16" t="n">
        <x:v>0</x:v>
      </x:c>
      <x:c r="F437" s="16" t="n">
        <x:v>0</x:v>
      </x:c>
      <x:c r="G437" s="16" t="n">
        <x:v>0</x:v>
      </x:c>
      <x:c r="H437" s="16" t="n">
        <x:v>0</x:v>
      </x:c>
      <x:c r="I437" s="16" t="n">
        <x:v>1047250.1284354312</x:v>
      </x:c>
      <x:c r="J437" s="16" t="n">
        <x:v>1047250.1284354312</x:v>
      </x:c>
      <x:c r="K437" s="16" t="n">
        <x:v>0</x:v>
      </x:c>
      <x:c r="L437" s="18" t="n">
        <x:v>0</x:v>
      </x:c>
      <x:c r="M437" s="18" t="n">
        <x:v>0</x:v>
      </x:c>
      <x:c r="O437" t="str">
        <x:v>2023-01-11</x:v>
      </x:c>
      <x:c r="P437" t="n">
        <x:v>1047250.1284354312</x:v>
      </x:c>
    </x:row>
    <x:row r="438" ht="15" hidden="0" customHeight="1">
      <x:c r="A438" s="13" t="str">
        <x:v>2023-01-12</x:v>
      </x:c>
      <x:c r="B438" s="13" t="n">
        <x:v>0</x:v>
      </x:c>
      <x:c r="C438" s="13" t="n">
        <x:v>0</x:v>
      </x:c>
      <x:c r="D438" s="16" t="n">
        <x:v>0</x:v>
      </x:c>
      <x:c r="E438" s="16" t="n">
        <x:v>0</x:v>
      </x:c>
      <x:c r="F438" s="16" t="n">
        <x:v>0</x:v>
      </x:c>
      <x:c r="G438" s="16" t="n">
        <x:v>0</x:v>
      </x:c>
      <x:c r="H438" s="16" t="n">
        <x:v>0</x:v>
      </x:c>
      <x:c r="I438" s="16" t="n">
        <x:v>1047250.1284354312</x:v>
      </x:c>
      <x:c r="J438" s="16" t="n">
        <x:v>1047250.1284354312</x:v>
      </x:c>
      <x:c r="K438" s="16" t="n">
        <x:v>0</x:v>
      </x:c>
      <x:c r="L438" s="18" t="n">
        <x:v>0</x:v>
      </x:c>
      <x:c r="M438" s="18" t="n">
        <x:v>0</x:v>
      </x:c>
      <x:c r="O438" t="str">
        <x:v>2023-01-12</x:v>
      </x:c>
      <x:c r="P438" t="n">
        <x:v>1047250.1284354312</x:v>
      </x:c>
    </x:row>
    <x:row r="439" ht="15" hidden="0" customHeight="1">
      <x:c r="A439" s="13" t="str">
        <x:v>2023-01-13</x:v>
      </x:c>
      <x:c r="B439" s="13" t="n">
        <x:v>0</x:v>
      </x:c>
      <x:c r="C439" s="13" t="n">
        <x:v>0</x:v>
      </x:c>
      <x:c r="D439" s="16" t="n">
        <x:v>0</x:v>
      </x:c>
      <x:c r="E439" s="16" t="n">
        <x:v>0</x:v>
      </x:c>
      <x:c r="F439" s="16" t="n">
        <x:v>0</x:v>
      </x:c>
      <x:c r="G439" s="16" t="n">
        <x:v>0</x:v>
      </x:c>
      <x:c r="H439" s="16" t="n">
        <x:v>0</x:v>
      </x:c>
      <x:c r="I439" s="16" t="n">
        <x:v>1047250.1284354312</x:v>
      </x:c>
      <x:c r="J439" s="16" t="n">
        <x:v>1047250.1284354312</x:v>
      </x:c>
      <x:c r="K439" s="16" t="n">
        <x:v>0</x:v>
      </x:c>
      <x:c r="L439" s="18" t="n">
        <x:v>0</x:v>
      </x:c>
      <x:c r="M439" s="18" t="n">
        <x:v>0</x:v>
      </x:c>
      <x:c r="O439" t="str">
        <x:v>2023-01-13</x:v>
      </x:c>
      <x:c r="P439" t="n">
        <x:v>1047250.1284354312</x:v>
      </x:c>
    </x:row>
    <x:row r="440" ht="15" hidden="0" customHeight="1">
      <x:c r="A440" s="13" t="str">
        <x:v>2023-01-16</x:v>
      </x:c>
      <x:c r="B440" s="13" t="n">
        <x:v>0</x:v>
      </x:c>
      <x:c r="C440" s="13" t="n">
        <x:v>0</x:v>
      </x:c>
      <x:c r="D440" s="16" t="n">
        <x:v>0</x:v>
      </x:c>
      <x:c r="E440" s="16" t="n">
        <x:v>0</x:v>
      </x:c>
      <x:c r="F440" s="16" t="n">
        <x:v>0</x:v>
      </x:c>
      <x:c r="G440" s="16" t="n">
        <x:v>0</x:v>
      </x:c>
      <x:c r="H440" s="16" t="n">
        <x:v>0</x:v>
      </x:c>
      <x:c r="I440" s="16" t="n">
        <x:v>1047250.1284354312</x:v>
      </x:c>
      <x:c r="J440" s="16" t="n">
        <x:v>1047250.1284354312</x:v>
      </x:c>
      <x:c r="K440" s="16" t="n">
        <x:v>0</x:v>
      </x:c>
      <x:c r="L440" s="18" t="n">
        <x:v>0</x:v>
      </x:c>
      <x:c r="M440" s="18" t="n">
        <x:v>0</x:v>
      </x:c>
      <x:c r="O440" t="str">
        <x:v>2023-01-16</x:v>
      </x:c>
      <x:c r="P440" t="n">
        <x:v>1047250.1284354312</x:v>
      </x:c>
    </x:row>
    <x:row r="441" ht="15" hidden="0" customHeight="1">
      <x:c r="A441" s="13" t="str">
        <x:v>2023-01-17</x:v>
      </x:c>
      <x:c r="B441" s="13" t="n">
        <x:v>0</x:v>
      </x:c>
      <x:c r="C441" s="13" t="n">
        <x:v>0</x:v>
      </x:c>
      <x:c r="D441" s="16" t="n">
        <x:v>0</x:v>
      </x:c>
      <x:c r="E441" s="16" t="n">
        <x:v>0</x:v>
      </x:c>
      <x:c r="F441" s="16" t="n">
        <x:v>0</x:v>
      </x:c>
      <x:c r="G441" s="16" t="n">
        <x:v>0</x:v>
      </x:c>
      <x:c r="H441" s="16" t="n">
        <x:v>0</x:v>
      </x:c>
      <x:c r="I441" s="16" t="n">
        <x:v>1047250.1284354312</x:v>
      </x:c>
      <x:c r="J441" s="16" t="n">
        <x:v>1047250.1284354312</x:v>
      </x:c>
      <x:c r="K441" s="16" t="n">
        <x:v>0</x:v>
      </x:c>
      <x:c r="L441" s="18" t="n">
        <x:v>0</x:v>
      </x:c>
      <x:c r="M441" s="18" t="n">
        <x:v>0</x:v>
      </x:c>
      <x:c r="O441" t="str">
        <x:v>2023-01-17</x:v>
      </x:c>
      <x:c r="P441" t="n">
        <x:v>1047250.1284354312</x:v>
      </x:c>
    </x:row>
    <x:row r="442" ht="15" hidden="0" customHeight="1">
      <x:c r="A442" s="13" t="str">
        <x:v>2023-01-18</x:v>
      </x:c>
      <x:c r="B442" s="13" t="n">
        <x:v>0</x:v>
      </x:c>
      <x:c r="C442" s="13" t="n">
        <x:v>0</x:v>
      </x:c>
      <x:c r="D442" s="16" t="n">
        <x:v>0</x:v>
      </x:c>
      <x:c r="E442" s="16" t="n">
        <x:v>0</x:v>
      </x:c>
      <x:c r="F442" s="16" t="n">
        <x:v>0</x:v>
      </x:c>
      <x:c r="G442" s="16" t="n">
        <x:v>0</x:v>
      </x:c>
      <x:c r="H442" s="16" t="n">
        <x:v>0</x:v>
      </x:c>
      <x:c r="I442" s="16" t="n">
        <x:v>1047250.1284354312</x:v>
      </x:c>
      <x:c r="J442" s="16" t="n">
        <x:v>1047250.1284354312</x:v>
      </x:c>
      <x:c r="K442" s="16" t="n">
        <x:v>0</x:v>
      </x:c>
      <x:c r="L442" s="18" t="n">
        <x:v>0</x:v>
      </x:c>
      <x:c r="M442" s="18" t="n">
        <x:v>0</x:v>
      </x:c>
      <x:c r="O442" t="str">
        <x:v>2023-01-18</x:v>
      </x:c>
      <x:c r="P442" t="n">
        <x:v>1047250.1284354312</x:v>
      </x:c>
    </x:row>
    <x:row r="443" ht="15" hidden="0" customHeight="1">
      <x:c r="A443" s="13" t="str">
        <x:v>2023-01-19</x:v>
      </x:c>
      <x:c r="B443" s="13" t="n">
        <x:v>1</x:v>
      </x:c>
      <x:c r="C443" s="13" t="n">
        <x:v>8</x:v>
      </x:c>
      <x:c r="D443" s="16" t="n">
        <x:v>2540</x:v>
      </x:c>
      <x:c r="E443" s="16" t="n">
        <x:v>452.9042315129281</x:v>
      </x:c>
      <x:c r="F443" s="16" t="n">
        <x:v>2087.095768487072</x:v>
      </x:c>
      <x:c r="G443" s="16" t="n">
        <x:v>61656.75594720015</x:v>
      </x:c>
      <x:c r="H443" s="16" t="n">
        <x:v>356776.71298375493</x:v>
      </x:c>
      <x:c r="I443" s="16" t="n">
        <x:v>1049337.2242039184</x:v>
      </x:c>
      <x:c r="J443" s="16" t="n">
        <x:v>1049337.2242039184</x:v>
      </x:c>
      <x:c r="K443" s="16" t="n">
        <x:v>0</x:v>
      </x:c>
      <x:c r="L443" s="18" t="n">
        <x:v>0</x:v>
      </x:c>
      <x:c r="M443" s="18" t="n">
        <x:v>0.001992929589424</x:v>
      </x:c>
      <x:c r="O443" t="str">
        <x:v>2023-01-19</x:v>
      </x:c>
      <x:c r="P443" t="n">
        <x:v>1049337.2242039184</x:v>
      </x:c>
    </x:row>
    <x:row r="444" ht="15" hidden="0" customHeight="1">
      <x:c r="A444" s="13" t="str">
        <x:v>2023-01-20</x:v>
      </x:c>
      <x:c r="B444" s="13" t="n">
        <x:v>0</x:v>
      </x:c>
      <x:c r="C444" s="13" t="n">
        <x:v>0</x:v>
      </x:c>
      <x:c r="D444" s="16" t="n">
        <x:v>0</x:v>
      </x:c>
      <x:c r="E444" s="16" t="n">
        <x:v>0</x:v>
      </x:c>
      <x:c r="F444" s="16" t="n">
        <x:v>0</x:v>
      </x:c>
      <x:c r="G444" s="16" t="n">
        <x:v>0</x:v>
      </x:c>
      <x:c r="H444" s="16" t="n">
        <x:v>0</x:v>
      </x:c>
      <x:c r="I444" s="16" t="n">
        <x:v>1049337.2242039184</x:v>
      </x:c>
      <x:c r="J444" s="16" t="n">
        <x:v>1049337.2242039184</x:v>
      </x:c>
      <x:c r="K444" s="16" t="n">
        <x:v>0</x:v>
      </x:c>
      <x:c r="L444" s="18" t="n">
        <x:v>0</x:v>
      </x:c>
      <x:c r="M444" s="18" t="n">
        <x:v>0</x:v>
      </x:c>
      <x:c r="O444" t="str">
        <x:v>2023-01-20</x:v>
      </x:c>
      <x:c r="P444" t="n">
        <x:v>1049337.2242039184</x:v>
      </x:c>
    </x:row>
    <x:row r="445" ht="15" hidden="0" customHeight="1">
      <x:c r="A445" s="13" t="str">
        <x:v>2023-01-23</x:v>
      </x:c>
      <x:c r="B445" s="13" t="n">
        <x:v>0</x:v>
      </x:c>
      <x:c r="C445" s="13" t="n">
        <x:v>0</x:v>
      </x:c>
      <x:c r="D445" s="16" t="n">
        <x:v>0</x:v>
      </x:c>
      <x:c r="E445" s="16" t="n">
        <x:v>0</x:v>
      </x:c>
      <x:c r="F445" s="16" t="n">
        <x:v>0</x:v>
      </x:c>
      <x:c r="G445" s="16" t="n">
        <x:v>0</x:v>
      </x:c>
      <x:c r="H445" s="16" t="n">
        <x:v>0</x:v>
      </x:c>
      <x:c r="I445" s="16" t="n">
        <x:v>1049337.2242039184</x:v>
      </x:c>
      <x:c r="J445" s="16" t="n">
        <x:v>1049337.2242039184</x:v>
      </x:c>
      <x:c r="K445" s="16" t="n">
        <x:v>0</x:v>
      </x:c>
      <x:c r="L445" s="18" t="n">
        <x:v>0</x:v>
      </x:c>
      <x:c r="M445" s="18" t="n">
        <x:v>0</x:v>
      </x:c>
      <x:c r="O445" t="str">
        <x:v>2023-01-23</x:v>
      </x:c>
      <x:c r="P445" t="n">
        <x:v>1049337.2242039184</x:v>
      </x:c>
    </x:row>
    <x:row r="446" ht="15" hidden="0" customHeight="1">
      <x:c r="A446" s="13" t="str">
        <x:v>2023-01-24</x:v>
      </x:c>
      <x:c r="B446" s="13" t="n">
        <x:v>0</x:v>
      </x:c>
      <x:c r="C446" s="13" t="n">
        <x:v>0</x:v>
      </x:c>
      <x:c r="D446" s="16" t="n">
        <x:v>0</x:v>
      </x:c>
      <x:c r="E446" s="16" t="n">
        <x:v>0</x:v>
      </x:c>
      <x:c r="F446" s="16" t="n">
        <x:v>0</x:v>
      </x:c>
      <x:c r="G446" s="16" t="n">
        <x:v>0</x:v>
      </x:c>
      <x:c r="H446" s="16" t="n">
        <x:v>0</x:v>
      </x:c>
      <x:c r="I446" s="16" t="n">
        <x:v>1049337.2242039184</x:v>
      </x:c>
      <x:c r="J446" s="16" t="n">
        <x:v>1049337.2242039184</x:v>
      </x:c>
      <x:c r="K446" s="16" t="n">
        <x:v>0</x:v>
      </x:c>
      <x:c r="L446" s="18" t="n">
        <x:v>0</x:v>
      </x:c>
      <x:c r="M446" s="18" t="n">
        <x:v>0</x:v>
      </x:c>
      <x:c r="O446" t="str">
        <x:v>2023-01-24</x:v>
      </x:c>
      <x:c r="P446" t="n">
        <x:v>1049337.2242039184</x:v>
      </x:c>
    </x:row>
    <x:row r="447" ht="15" hidden="0" customHeight="1">
      <x:c r="A447" s="13" t="str">
        <x:v>2023-01-25</x:v>
      </x:c>
      <x:c r="B447" s="13" t="n">
        <x:v>0</x:v>
      </x:c>
      <x:c r="C447" s="13" t="n">
        <x:v>0</x:v>
      </x:c>
      <x:c r="D447" s="16" t="n">
        <x:v>0</x:v>
      </x:c>
      <x:c r="E447" s="16" t="n">
        <x:v>0</x:v>
      </x:c>
      <x:c r="F447" s="16" t="n">
        <x:v>0</x:v>
      </x:c>
      <x:c r="G447" s="16" t="n">
        <x:v>0</x:v>
      </x:c>
      <x:c r="H447" s="16" t="n">
        <x:v>0</x:v>
      </x:c>
      <x:c r="I447" s="16" t="n">
        <x:v>1049337.2242039184</x:v>
      </x:c>
      <x:c r="J447" s="16" t="n">
        <x:v>1049337.2242039184</x:v>
      </x:c>
      <x:c r="K447" s="16" t="n">
        <x:v>0</x:v>
      </x:c>
      <x:c r="L447" s="18" t="n">
        <x:v>0</x:v>
      </x:c>
      <x:c r="M447" s="18" t="n">
        <x:v>0</x:v>
      </x:c>
      <x:c r="O447" t="str">
        <x:v>2023-01-25</x:v>
      </x:c>
      <x:c r="P447" t="n">
        <x:v>1049337.2242039184</x:v>
      </x:c>
    </x:row>
    <x:row r="448" ht="15" hidden="0" customHeight="1">
      <x:c r="A448" s="13" t="str">
        <x:v>2023-01-26</x:v>
      </x:c>
      <x:c r="B448" s="13" t="n">
        <x:v>0</x:v>
      </x:c>
      <x:c r="C448" s="13" t="n">
        <x:v>0</x:v>
      </x:c>
      <x:c r="D448" s="16" t="n">
        <x:v>0</x:v>
      </x:c>
      <x:c r="E448" s="16" t="n">
        <x:v>0</x:v>
      </x:c>
      <x:c r="F448" s="16" t="n">
        <x:v>0</x:v>
      </x:c>
      <x:c r="G448" s="16" t="n">
        <x:v>0</x:v>
      </x:c>
      <x:c r="H448" s="16" t="n">
        <x:v>0</x:v>
      </x:c>
      <x:c r="I448" s="16" t="n">
        <x:v>1049337.2242039184</x:v>
      </x:c>
      <x:c r="J448" s="16" t="n">
        <x:v>1049337.2242039184</x:v>
      </x:c>
      <x:c r="K448" s="16" t="n">
        <x:v>0</x:v>
      </x:c>
      <x:c r="L448" s="18" t="n">
        <x:v>0</x:v>
      </x:c>
      <x:c r="M448" s="18" t="n">
        <x:v>0</x:v>
      </x:c>
      <x:c r="O448" t="str">
        <x:v>2023-01-26</x:v>
      </x:c>
      <x:c r="P448" t="n">
        <x:v>1049337.2242039184</x:v>
      </x:c>
    </x:row>
    <x:row r="449" ht="15" hidden="0" customHeight="1">
      <x:c r="A449" s="13" t="str">
        <x:v>2023-01-27</x:v>
      </x:c>
      <x:c r="B449" s="13" t="n">
        <x:v>0</x:v>
      </x:c>
      <x:c r="C449" s="13" t="n">
        <x:v>0</x:v>
      </x:c>
      <x:c r="D449" s="16" t="n">
        <x:v>0</x:v>
      </x:c>
      <x:c r="E449" s="16" t="n">
        <x:v>0</x:v>
      </x:c>
      <x:c r="F449" s="16" t="n">
        <x:v>0</x:v>
      </x:c>
      <x:c r="G449" s="16" t="n">
        <x:v>0</x:v>
      </x:c>
      <x:c r="H449" s="16" t="n">
        <x:v>0</x:v>
      </x:c>
      <x:c r="I449" s="16" t="n">
        <x:v>1049337.2242039184</x:v>
      </x:c>
      <x:c r="J449" s="16" t="n">
        <x:v>1049337.2242039184</x:v>
      </x:c>
      <x:c r="K449" s="16" t="n">
        <x:v>0</x:v>
      </x:c>
      <x:c r="L449" s="18" t="n">
        <x:v>0</x:v>
      </x:c>
      <x:c r="M449" s="18" t="n">
        <x:v>0</x:v>
      </x:c>
      <x:c r="O449" t="str">
        <x:v>2023-01-27</x:v>
      </x:c>
      <x:c r="P449" t="n">
        <x:v>1049337.2242039184</x:v>
      </x:c>
    </x:row>
    <x:row r="450" ht="15" hidden="0" customHeight="1">
      <x:c r="A450" s="13" t="str">
        <x:v>2023-01-30</x:v>
      </x:c>
      <x:c r="B450" s="13" t="n">
        <x:v>0</x:v>
      </x:c>
      <x:c r="C450" s="13" t="n">
        <x:v>0</x:v>
      </x:c>
      <x:c r="D450" s="16" t="n">
        <x:v>0</x:v>
      </x:c>
      <x:c r="E450" s="16" t="n">
        <x:v>0</x:v>
      </x:c>
      <x:c r="F450" s="16" t="n">
        <x:v>0</x:v>
      </x:c>
      <x:c r="G450" s="16" t="n">
        <x:v>0</x:v>
      </x:c>
      <x:c r="H450" s="16" t="n">
        <x:v>0</x:v>
      </x:c>
      <x:c r="I450" s="16" t="n">
        <x:v>1049337.2242039184</x:v>
      </x:c>
      <x:c r="J450" s="16" t="n">
        <x:v>1049337.2242039184</x:v>
      </x:c>
      <x:c r="K450" s="16" t="n">
        <x:v>0</x:v>
      </x:c>
      <x:c r="L450" s="18" t="n">
        <x:v>0</x:v>
      </x:c>
      <x:c r="M450" s="18" t="n">
        <x:v>0</x:v>
      </x:c>
      <x:c r="O450" t="str">
        <x:v>2023-01-30</x:v>
      </x:c>
      <x:c r="P450" t="n">
        <x:v>1049337.2242039184</x:v>
      </x:c>
    </x:row>
    <x:row r="451" ht="15" hidden="0" customHeight="1">
      <x:c r="A451" s="13" t="str">
        <x:v>2023-01-31</x:v>
      </x:c>
      <x:c r="B451" s="13" t="n">
        <x:v>0</x:v>
      </x:c>
      <x:c r="C451" s="13" t="n">
        <x:v>0</x:v>
      </x:c>
      <x:c r="D451" s="16" t="n">
        <x:v>0</x:v>
      </x:c>
      <x:c r="E451" s="16" t="n">
        <x:v>0</x:v>
      </x:c>
      <x:c r="F451" s="16" t="n">
        <x:v>0</x:v>
      </x:c>
      <x:c r="G451" s="16" t="n">
        <x:v>0</x:v>
      </x:c>
      <x:c r="H451" s="16" t="n">
        <x:v>0</x:v>
      </x:c>
      <x:c r="I451" s="16" t="n">
        <x:v>1049337.2242039184</x:v>
      </x:c>
      <x:c r="J451" s="16" t="n">
        <x:v>1049337.2242039184</x:v>
      </x:c>
      <x:c r="K451" s="16" t="n">
        <x:v>0</x:v>
      </x:c>
      <x:c r="L451" s="18" t="n">
        <x:v>0</x:v>
      </x:c>
      <x:c r="M451" s="18" t="n">
        <x:v>0</x:v>
      </x:c>
      <x:c r="O451" t="str">
        <x:v>2023-01-31</x:v>
      </x:c>
      <x:c r="P451" t="n">
        <x:v>1049337.2242039184</x:v>
      </x:c>
    </x:row>
    <x:row r="452" ht="15" hidden="0" customHeight="1">
      <x:c r="A452" s="13" t="str">
        <x:v>2023-02-01</x:v>
      </x:c>
      <x:c r="B452" s="13" t="n">
        <x:v>0</x:v>
      </x:c>
      <x:c r="C452" s="13" t="n">
        <x:v>0</x:v>
      </x:c>
      <x:c r="D452" s="16" t="n">
        <x:v>0</x:v>
      </x:c>
      <x:c r="E452" s="16" t="n">
        <x:v>0</x:v>
      </x:c>
      <x:c r="F452" s="16" t="n">
        <x:v>0</x:v>
      </x:c>
      <x:c r="G452" s="16" t="n">
        <x:v>0</x:v>
      </x:c>
      <x:c r="H452" s="16" t="n">
        <x:v>0</x:v>
      </x:c>
      <x:c r="I452" s="16" t="n">
        <x:v>1049337.2242039184</x:v>
      </x:c>
      <x:c r="J452" s="16" t="n">
        <x:v>1049337.2242039184</x:v>
      </x:c>
      <x:c r="K452" s="16" t="n">
        <x:v>0</x:v>
      </x:c>
      <x:c r="L452" s="18" t="n">
        <x:v>0</x:v>
      </x:c>
      <x:c r="M452" s="18" t="n">
        <x:v>0</x:v>
      </x:c>
      <x:c r="O452" t="str">
        <x:v>2023-02-01</x:v>
      </x:c>
      <x:c r="P452" t="n">
        <x:v>1049337.2242039184</x:v>
      </x:c>
    </x:row>
    <x:row r="453" ht="15" hidden="0" customHeight="1">
      <x:c r="A453" s="13" t="str">
        <x:v>2023-02-02</x:v>
      </x:c>
      <x:c r="B453" s="13" t="n">
        <x:v>0</x:v>
      </x:c>
      <x:c r="C453" s="13" t="n">
        <x:v>0</x:v>
      </x:c>
      <x:c r="D453" s="16" t="n">
        <x:v>0</x:v>
      </x:c>
      <x:c r="E453" s="16" t="n">
        <x:v>0</x:v>
      </x:c>
      <x:c r="F453" s="16" t="n">
        <x:v>0</x:v>
      </x:c>
      <x:c r="G453" s="16" t="n">
        <x:v>0</x:v>
      </x:c>
      <x:c r="H453" s="16" t="n">
        <x:v>0</x:v>
      </x:c>
      <x:c r="I453" s="16" t="n">
        <x:v>1049337.2242039184</x:v>
      </x:c>
      <x:c r="J453" s="16" t="n">
        <x:v>1049337.2242039184</x:v>
      </x:c>
      <x:c r="K453" s="16" t="n">
        <x:v>0</x:v>
      </x:c>
      <x:c r="L453" s="18" t="n">
        <x:v>0</x:v>
      </x:c>
      <x:c r="M453" s="18" t="n">
        <x:v>0</x:v>
      </x:c>
      <x:c r="O453" t="str">
        <x:v>2023-02-02</x:v>
      </x:c>
      <x:c r="P453" t="n">
        <x:v>1049337.2242039184</x:v>
      </x:c>
    </x:row>
    <x:row r="454" ht="15" hidden="0" customHeight="1">
      <x:c r="A454" s="13" t="str">
        <x:v>2023-02-03</x:v>
      </x:c>
      <x:c r="B454" s="13" t="n">
        <x:v>0</x:v>
      </x:c>
      <x:c r="C454" s="13" t="n">
        <x:v>0</x:v>
      </x:c>
      <x:c r="D454" s="16" t="n">
        <x:v>0</x:v>
      </x:c>
      <x:c r="E454" s="16" t="n">
        <x:v>0</x:v>
      </x:c>
      <x:c r="F454" s="16" t="n">
        <x:v>0</x:v>
      </x:c>
      <x:c r="G454" s="16" t="n">
        <x:v>0</x:v>
      </x:c>
      <x:c r="H454" s="16" t="n">
        <x:v>0</x:v>
      </x:c>
      <x:c r="I454" s="16" t="n">
        <x:v>1049337.2242039184</x:v>
      </x:c>
      <x:c r="J454" s="16" t="n">
        <x:v>1049337.2242039184</x:v>
      </x:c>
      <x:c r="K454" s="16" t="n">
        <x:v>0</x:v>
      </x:c>
      <x:c r="L454" s="18" t="n">
        <x:v>0</x:v>
      </x:c>
      <x:c r="M454" s="18" t="n">
        <x:v>0</x:v>
      </x:c>
      <x:c r="O454" t="str">
        <x:v>2023-02-03</x:v>
      </x:c>
      <x:c r="P454" t="n">
        <x:v>1049337.2242039184</x:v>
      </x:c>
    </x:row>
    <x:row r="455" ht="15" hidden="0" customHeight="1">
      <x:c r="A455" s="13" t="str">
        <x:v>2023-02-06</x:v>
      </x:c>
      <x:c r="B455" s="13" t="n">
        <x:v>0</x:v>
      </x:c>
      <x:c r="C455" s="13" t="n">
        <x:v>0</x:v>
      </x:c>
      <x:c r="D455" s="16" t="n">
        <x:v>0</x:v>
      </x:c>
      <x:c r="E455" s="16" t="n">
        <x:v>0</x:v>
      </x:c>
      <x:c r="F455" s="16" t="n">
        <x:v>0</x:v>
      </x:c>
      <x:c r="G455" s="16" t="n">
        <x:v>0</x:v>
      </x:c>
      <x:c r="H455" s="16" t="n">
        <x:v>0</x:v>
      </x:c>
      <x:c r="I455" s="16" t="n">
        <x:v>1049337.2242039184</x:v>
      </x:c>
      <x:c r="J455" s="16" t="n">
        <x:v>1049337.2242039184</x:v>
      </x:c>
      <x:c r="K455" s="16" t="n">
        <x:v>0</x:v>
      </x:c>
      <x:c r="L455" s="18" t="n">
        <x:v>0</x:v>
      </x:c>
      <x:c r="M455" s="18" t="n">
        <x:v>0</x:v>
      </x:c>
      <x:c r="O455" t="str">
        <x:v>2023-02-06</x:v>
      </x:c>
      <x:c r="P455" t="n">
        <x:v>1049337.2242039184</x:v>
      </x:c>
    </x:row>
    <x:row r="456" ht="15" hidden="0" customHeight="1">
      <x:c r="A456" s="13" t="str">
        <x:v>2023-02-07</x:v>
      </x:c>
      <x:c r="B456" s="13" t="n">
        <x:v>0</x:v>
      </x:c>
      <x:c r="C456" s="13" t="n">
        <x:v>0</x:v>
      </x:c>
      <x:c r="D456" s="16" t="n">
        <x:v>0</x:v>
      </x:c>
      <x:c r="E456" s="16" t="n">
        <x:v>0</x:v>
      </x:c>
      <x:c r="F456" s="16" t="n">
        <x:v>0</x:v>
      </x:c>
      <x:c r="G456" s="16" t="n">
        <x:v>0</x:v>
      </x:c>
      <x:c r="H456" s="16" t="n">
        <x:v>0</x:v>
      </x:c>
      <x:c r="I456" s="16" t="n">
        <x:v>1049337.2242039184</x:v>
      </x:c>
      <x:c r="J456" s="16" t="n">
        <x:v>1049337.2242039184</x:v>
      </x:c>
      <x:c r="K456" s="16" t="n">
        <x:v>0</x:v>
      </x:c>
      <x:c r="L456" s="18" t="n">
        <x:v>0</x:v>
      </x:c>
      <x:c r="M456" s="18" t="n">
        <x:v>0</x:v>
      </x:c>
      <x:c r="O456" t="str">
        <x:v>2023-02-07</x:v>
      </x:c>
      <x:c r="P456" t="n">
        <x:v>1049337.2242039184</x:v>
      </x:c>
    </x:row>
    <x:row r="457" ht="15" hidden="0" customHeight="1">
      <x:c r="A457" s="13" t="str">
        <x:v>2023-02-08</x:v>
      </x:c>
      <x:c r="B457" s="13" t="n">
        <x:v>0</x:v>
      </x:c>
      <x:c r="C457" s="13" t="n">
        <x:v>0</x:v>
      </x:c>
      <x:c r="D457" s="16" t="n">
        <x:v>0</x:v>
      </x:c>
      <x:c r="E457" s="16" t="n">
        <x:v>0</x:v>
      </x:c>
      <x:c r="F457" s="16" t="n">
        <x:v>0</x:v>
      </x:c>
      <x:c r="G457" s="16" t="n">
        <x:v>0</x:v>
      </x:c>
      <x:c r="H457" s="16" t="n">
        <x:v>0</x:v>
      </x:c>
      <x:c r="I457" s="16" t="n">
        <x:v>1049337.2242039184</x:v>
      </x:c>
      <x:c r="J457" s="16" t="n">
        <x:v>1049337.2242039184</x:v>
      </x:c>
      <x:c r="K457" s="16" t="n">
        <x:v>0</x:v>
      </x:c>
      <x:c r="L457" s="18" t="n">
        <x:v>0</x:v>
      </x:c>
      <x:c r="M457" s="18" t="n">
        <x:v>0</x:v>
      </x:c>
      <x:c r="O457" t="str">
        <x:v>2023-02-08</x:v>
      </x:c>
      <x:c r="P457" t="n">
        <x:v>1049337.2242039184</x:v>
      </x:c>
    </x:row>
    <x:row r="458" ht="15" hidden="0" customHeight="1">
      <x:c r="A458" s="13" t="str">
        <x:v>2023-02-09</x:v>
      </x:c>
      <x:c r="B458" s="13" t="n">
        <x:v>0</x:v>
      </x:c>
      <x:c r="C458" s="13" t="n">
        <x:v>0</x:v>
      </x:c>
      <x:c r="D458" s="16" t="n">
        <x:v>0</x:v>
      </x:c>
      <x:c r="E458" s="16" t="n">
        <x:v>0</x:v>
      </x:c>
      <x:c r="F458" s="16" t="n">
        <x:v>0</x:v>
      </x:c>
      <x:c r="G458" s="16" t="n">
        <x:v>0</x:v>
      </x:c>
      <x:c r="H458" s="16" t="n">
        <x:v>0</x:v>
      </x:c>
      <x:c r="I458" s="16" t="n">
        <x:v>1049337.2242039184</x:v>
      </x:c>
      <x:c r="J458" s="16" t="n">
        <x:v>1049337.2242039184</x:v>
      </x:c>
      <x:c r="K458" s="16" t="n">
        <x:v>0</x:v>
      </x:c>
      <x:c r="L458" s="18" t="n">
        <x:v>0</x:v>
      </x:c>
      <x:c r="M458" s="18" t="n">
        <x:v>0</x:v>
      </x:c>
      <x:c r="O458" t="str">
        <x:v>2023-02-09</x:v>
      </x:c>
      <x:c r="P458" t="n">
        <x:v>1049337.2242039184</x:v>
      </x:c>
    </x:row>
    <x:row r="459" ht="15" hidden="0" customHeight="1">
      <x:c r="A459" s="13" t="str">
        <x:v>2023-02-10</x:v>
      </x:c>
      <x:c r="B459" s="13" t="n">
        <x:v>0</x:v>
      </x:c>
      <x:c r="C459" s="13" t="n">
        <x:v>0</x:v>
      </x:c>
      <x:c r="D459" s="16" t="n">
        <x:v>0</x:v>
      </x:c>
      <x:c r="E459" s="16" t="n">
        <x:v>0</x:v>
      </x:c>
      <x:c r="F459" s="16" t="n">
        <x:v>0</x:v>
      </x:c>
      <x:c r="G459" s="16" t="n">
        <x:v>0</x:v>
      </x:c>
      <x:c r="H459" s="16" t="n">
        <x:v>0</x:v>
      </x:c>
      <x:c r="I459" s="16" t="n">
        <x:v>1049337.2242039184</x:v>
      </x:c>
      <x:c r="J459" s="16" t="n">
        <x:v>1049337.2242039184</x:v>
      </x:c>
      <x:c r="K459" s="16" t="n">
        <x:v>0</x:v>
      </x:c>
      <x:c r="L459" s="18" t="n">
        <x:v>0</x:v>
      </x:c>
      <x:c r="M459" s="18" t="n">
        <x:v>0</x:v>
      </x:c>
      <x:c r="O459" t="str">
        <x:v>2023-02-10</x:v>
      </x:c>
      <x:c r="P459" t="n">
        <x:v>1049337.2242039184</x:v>
      </x:c>
    </x:row>
    <x:row r="460" ht="15" hidden="0" customHeight="1">
      <x:c r="A460" s="13" t="str">
        <x:v>2023-02-13</x:v>
      </x:c>
      <x:c r="B460" s="13" t="n">
        <x:v>0</x:v>
      </x:c>
      <x:c r="C460" s="13" t="n">
        <x:v>0</x:v>
      </x:c>
      <x:c r="D460" s="16" t="n">
        <x:v>0</x:v>
      </x:c>
      <x:c r="E460" s="16" t="n">
        <x:v>0</x:v>
      </x:c>
      <x:c r="F460" s="16" t="n">
        <x:v>0</x:v>
      </x:c>
      <x:c r="G460" s="16" t="n">
        <x:v>0</x:v>
      </x:c>
      <x:c r="H460" s="16" t="n">
        <x:v>0</x:v>
      </x:c>
      <x:c r="I460" s="16" t="n">
        <x:v>1049337.2242039184</x:v>
      </x:c>
      <x:c r="J460" s="16" t="n">
        <x:v>1049337.2242039184</x:v>
      </x:c>
      <x:c r="K460" s="16" t="n">
        <x:v>0</x:v>
      </x:c>
      <x:c r="L460" s="18" t="n">
        <x:v>0</x:v>
      </x:c>
      <x:c r="M460" s="18" t="n">
        <x:v>0</x:v>
      </x:c>
      <x:c r="O460" t="str">
        <x:v>2023-02-13</x:v>
      </x:c>
      <x:c r="P460" t="n">
        <x:v>1049337.2242039184</x:v>
      </x:c>
    </x:row>
    <x:row r="461" ht="15" hidden="0" customHeight="1">
      <x:c r="A461" s="13" t="str">
        <x:v>2023-02-14</x:v>
      </x:c>
      <x:c r="B461" s="13" t="n">
        <x:v>0</x:v>
      </x:c>
      <x:c r="C461" s="13" t="n">
        <x:v>0</x:v>
      </x:c>
      <x:c r="D461" s="16" t="n">
        <x:v>0</x:v>
      </x:c>
      <x:c r="E461" s="16" t="n">
        <x:v>0</x:v>
      </x:c>
      <x:c r="F461" s="16" t="n">
        <x:v>0</x:v>
      </x:c>
      <x:c r="G461" s="16" t="n">
        <x:v>0</x:v>
      </x:c>
      <x:c r="H461" s="16" t="n">
        <x:v>0</x:v>
      </x:c>
      <x:c r="I461" s="16" t="n">
        <x:v>1049337.2242039184</x:v>
      </x:c>
      <x:c r="J461" s="16" t="n">
        <x:v>1049337.2242039184</x:v>
      </x:c>
      <x:c r="K461" s="16" t="n">
        <x:v>0</x:v>
      </x:c>
      <x:c r="L461" s="18" t="n">
        <x:v>0</x:v>
      </x:c>
      <x:c r="M461" s="18" t="n">
        <x:v>0</x:v>
      </x:c>
      <x:c r="O461" t="str">
        <x:v>2023-02-14</x:v>
      </x:c>
      <x:c r="P461" t="n">
        <x:v>1049337.2242039184</x:v>
      </x:c>
    </x:row>
    <x:row r="462" ht="15" hidden="0" customHeight="1">
      <x:c r="A462" s="13" t="str">
        <x:v>2023-02-15</x:v>
      </x:c>
      <x:c r="B462" s="13" t="n">
        <x:v>0</x:v>
      </x:c>
      <x:c r="C462" s="13" t="n">
        <x:v>0</x:v>
      </x:c>
      <x:c r="D462" s="16" t="n">
        <x:v>0</x:v>
      </x:c>
      <x:c r="E462" s="16" t="n">
        <x:v>0</x:v>
      </x:c>
      <x:c r="F462" s="16" t="n">
        <x:v>0</x:v>
      </x:c>
      <x:c r="G462" s="16" t="n">
        <x:v>0</x:v>
      </x:c>
      <x:c r="H462" s="16" t="n">
        <x:v>0</x:v>
      </x:c>
      <x:c r="I462" s="16" t="n">
        <x:v>1049337.2242039184</x:v>
      </x:c>
      <x:c r="J462" s="16" t="n">
        <x:v>1049337.2242039184</x:v>
      </x:c>
      <x:c r="K462" s="16" t="n">
        <x:v>0</x:v>
      </x:c>
      <x:c r="L462" s="18" t="n">
        <x:v>0</x:v>
      </x:c>
      <x:c r="M462" s="18" t="n">
        <x:v>0</x:v>
      </x:c>
      <x:c r="O462" t="str">
        <x:v>2023-02-15</x:v>
      </x:c>
      <x:c r="P462" t="n">
        <x:v>1049337.2242039184</x:v>
      </x:c>
    </x:row>
    <x:row r="463" ht="15" hidden="0" customHeight="1">
      <x:c r="A463" s="13" t="str">
        <x:v>2023-02-16</x:v>
      </x:c>
      <x:c r="B463" s="13" t="n">
        <x:v>0</x:v>
      </x:c>
      <x:c r="C463" s="13" t="n">
        <x:v>0</x:v>
      </x:c>
      <x:c r="D463" s="16" t="n">
        <x:v>0</x:v>
      </x:c>
      <x:c r="E463" s="16" t="n">
        <x:v>0</x:v>
      </x:c>
      <x:c r="F463" s="16" t="n">
        <x:v>0</x:v>
      </x:c>
      <x:c r="G463" s="16" t="n">
        <x:v>0</x:v>
      </x:c>
      <x:c r="H463" s="16" t="n">
        <x:v>0</x:v>
      </x:c>
      <x:c r="I463" s="16" t="n">
        <x:v>1049337.2242039184</x:v>
      </x:c>
      <x:c r="J463" s="16" t="n">
        <x:v>1049337.2242039184</x:v>
      </x:c>
      <x:c r="K463" s="16" t="n">
        <x:v>0</x:v>
      </x:c>
      <x:c r="L463" s="18" t="n">
        <x:v>0</x:v>
      </x:c>
      <x:c r="M463" s="18" t="n">
        <x:v>0</x:v>
      </x:c>
      <x:c r="O463" t="str">
        <x:v>2023-02-16</x:v>
      </x:c>
      <x:c r="P463" t="n">
        <x:v>1049337.2242039184</x:v>
      </x:c>
    </x:row>
    <x:row r="464" ht="15" hidden="0" customHeight="1">
      <x:c r="A464" s="13" t="str">
        <x:v>2023-02-17</x:v>
      </x:c>
      <x:c r="B464" s="13" t="n">
        <x:v>0</x:v>
      </x:c>
      <x:c r="C464" s="13" t="n">
        <x:v>0</x:v>
      </x:c>
      <x:c r="D464" s="16" t="n">
        <x:v>0</x:v>
      </x:c>
      <x:c r="E464" s="16" t="n">
        <x:v>0</x:v>
      </x:c>
      <x:c r="F464" s="16" t="n">
        <x:v>0</x:v>
      </x:c>
      <x:c r="G464" s="16" t="n">
        <x:v>0</x:v>
      </x:c>
      <x:c r="H464" s="16" t="n">
        <x:v>0</x:v>
      </x:c>
      <x:c r="I464" s="16" t="n">
        <x:v>1049337.2242039184</x:v>
      </x:c>
      <x:c r="J464" s="16" t="n">
        <x:v>1049337.2242039184</x:v>
      </x:c>
      <x:c r="K464" s="16" t="n">
        <x:v>0</x:v>
      </x:c>
      <x:c r="L464" s="18" t="n">
        <x:v>0</x:v>
      </x:c>
      <x:c r="M464" s="18" t="n">
        <x:v>0</x:v>
      </x:c>
      <x:c r="O464" t="str">
        <x:v>2023-02-17</x:v>
      </x:c>
      <x:c r="P464" t="n">
        <x:v>1049337.2242039184</x:v>
      </x:c>
    </x:row>
    <x:row r="465" ht="15" hidden="0" customHeight="1">
      <x:c r="A465" s="13" t="str">
        <x:v>2023-02-20</x:v>
      </x:c>
      <x:c r="B465" s="13" t="n">
        <x:v>0</x:v>
      </x:c>
      <x:c r="C465" s="13" t="n">
        <x:v>0</x:v>
      </x:c>
      <x:c r="D465" s="16" t="n">
        <x:v>0</x:v>
      </x:c>
      <x:c r="E465" s="16" t="n">
        <x:v>0</x:v>
      </x:c>
      <x:c r="F465" s="16" t="n">
        <x:v>0</x:v>
      </x:c>
      <x:c r="G465" s="16" t="n">
        <x:v>0</x:v>
      </x:c>
      <x:c r="H465" s="16" t="n">
        <x:v>0</x:v>
      </x:c>
      <x:c r="I465" s="16" t="n">
        <x:v>1049337.2242039184</x:v>
      </x:c>
      <x:c r="J465" s="16" t="n">
        <x:v>1049337.2242039184</x:v>
      </x:c>
      <x:c r="K465" s="16" t="n">
        <x:v>0</x:v>
      </x:c>
      <x:c r="L465" s="18" t="n">
        <x:v>0</x:v>
      </x:c>
      <x:c r="M465" s="18" t="n">
        <x:v>0</x:v>
      </x:c>
      <x:c r="O465" t="str">
        <x:v>2023-02-20</x:v>
      </x:c>
      <x:c r="P465" t="n">
        <x:v>1049337.2242039184</x:v>
      </x:c>
    </x:row>
    <x:row r="466" ht="15" hidden="0" customHeight="1">
      <x:c r="A466" s="13" t="str">
        <x:v>2023-02-21</x:v>
      </x:c>
      <x:c r="B466" s="13" t="n">
        <x:v>0</x:v>
      </x:c>
      <x:c r="C466" s="13" t="n">
        <x:v>0</x:v>
      </x:c>
      <x:c r="D466" s="16" t="n">
        <x:v>0</x:v>
      </x:c>
      <x:c r="E466" s="16" t="n">
        <x:v>0</x:v>
      </x:c>
      <x:c r="F466" s="16" t="n">
        <x:v>0</x:v>
      </x:c>
      <x:c r="G466" s="16" t="n">
        <x:v>0</x:v>
      </x:c>
      <x:c r="H466" s="16" t="n">
        <x:v>0</x:v>
      </x:c>
      <x:c r="I466" s="16" t="n">
        <x:v>1049337.2242039184</x:v>
      </x:c>
      <x:c r="J466" s="16" t="n">
        <x:v>1049337.2242039184</x:v>
      </x:c>
      <x:c r="K466" s="16" t="n">
        <x:v>0</x:v>
      </x:c>
      <x:c r="L466" s="18" t="n">
        <x:v>0</x:v>
      </x:c>
      <x:c r="M466" s="18" t="n">
        <x:v>0</x:v>
      </x:c>
      <x:c r="O466" t="str">
        <x:v>2023-02-21</x:v>
      </x:c>
      <x:c r="P466" t="n">
        <x:v>1049337.2242039184</x:v>
      </x:c>
    </x:row>
    <x:row r="467" ht="15" hidden="0" customHeight="1">
      <x:c r="A467" s="13" t="str">
        <x:v>2023-02-22</x:v>
      </x:c>
      <x:c r="B467" s="13" t="n">
        <x:v>0</x:v>
      </x:c>
      <x:c r="C467" s="13" t="n">
        <x:v>0</x:v>
      </x:c>
      <x:c r="D467" s="16" t="n">
        <x:v>0</x:v>
      </x:c>
      <x:c r="E467" s="16" t="n">
        <x:v>0</x:v>
      </x:c>
      <x:c r="F467" s="16" t="n">
        <x:v>0</x:v>
      </x:c>
      <x:c r="G467" s="16" t="n">
        <x:v>0</x:v>
      </x:c>
      <x:c r="H467" s="16" t="n">
        <x:v>0</x:v>
      </x:c>
      <x:c r="I467" s="16" t="n">
        <x:v>1049337.2242039184</x:v>
      </x:c>
      <x:c r="J467" s="16" t="n">
        <x:v>1049337.2242039184</x:v>
      </x:c>
      <x:c r="K467" s="16" t="n">
        <x:v>0</x:v>
      </x:c>
      <x:c r="L467" s="18" t="n">
        <x:v>0</x:v>
      </x:c>
      <x:c r="M467" s="18" t="n">
        <x:v>0</x:v>
      </x:c>
      <x:c r="O467" t="str">
        <x:v>2023-02-22</x:v>
      </x:c>
      <x:c r="P467" t="n">
        <x:v>1049337.2242039184</x:v>
      </x:c>
    </x:row>
    <x:row r="468" ht="15" hidden="0" customHeight="1">
      <x:c r="A468" s="13" t="str">
        <x:v>2023-02-23</x:v>
      </x:c>
      <x:c r="B468" s="13" t="n">
        <x:v>0</x:v>
      </x:c>
      <x:c r="C468" s="13" t="n">
        <x:v>0</x:v>
      </x:c>
      <x:c r="D468" s="16" t="n">
        <x:v>0</x:v>
      </x:c>
      <x:c r="E468" s="16" t="n">
        <x:v>0</x:v>
      </x:c>
      <x:c r="F468" s="16" t="n">
        <x:v>0</x:v>
      </x:c>
      <x:c r="G468" s="16" t="n">
        <x:v>0</x:v>
      </x:c>
      <x:c r="H468" s="16" t="n">
        <x:v>0</x:v>
      </x:c>
      <x:c r="I468" s="16" t="n">
        <x:v>1049337.2242039184</x:v>
      </x:c>
      <x:c r="J468" s="16" t="n">
        <x:v>1049337.2242039184</x:v>
      </x:c>
      <x:c r="K468" s="16" t="n">
        <x:v>0</x:v>
      </x:c>
      <x:c r="L468" s="18" t="n">
        <x:v>0</x:v>
      </x:c>
      <x:c r="M468" s="18" t="n">
        <x:v>0</x:v>
      </x:c>
      <x:c r="O468" t="str">
        <x:v>2023-02-23</x:v>
      </x:c>
      <x:c r="P468" t="n">
        <x:v>1049337.2242039184</x:v>
      </x:c>
    </x:row>
    <x:row r="469" ht="15" hidden="0" customHeight="1">
      <x:c r="A469" s="13" t="str">
        <x:v>2023-02-24</x:v>
      </x:c>
      <x:c r="B469" s="13" t="n">
        <x:v>0</x:v>
      </x:c>
      <x:c r="C469" s="13" t="n">
        <x:v>0</x:v>
      </x:c>
      <x:c r="D469" s="16" t="n">
        <x:v>0</x:v>
      </x:c>
      <x:c r="E469" s="16" t="n">
        <x:v>0</x:v>
      </x:c>
      <x:c r="F469" s="16" t="n">
        <x:v>0</x:v>
      </x:c>
      <x:c r="G469" s="16" t="n">
        <x:v>0</x:v>
      </x:c>
      <x:c r="H469" s="16" t="n">
        <x:v>0</x:v>
      </x:c>
      <x:c r="I469" s="16" t="n">
        <x:v>1049337.2242039184</x:v>
      </x:c>
      <x:c r="J469" s="16" t="n">
        <x:v>1049337.2242039184</x:v>
      </x:c>
      <x:c r="K469" s="16" t="n">
        <x:v>0</x:v>
      </x:c>
      <x:c r="L469" s="18" t="n">
        <x:v>0</x:v>
      </x:c>
      <x:c r="M469" s="18" t="n">
        <x:v>0</x:v>
      </x:c>
      <x:c r="O469" t="str">
        <x:v>2023-02-24</x:v>
      </x:c>
      <x:c r="P469" t="n">
        <x:v>1049337.2242039184</x:v>
      </x:c>
    </x:row>
    <x:row r="470" ht="15" hidden="0" customHeight="1">
      <x:c r="A470" s="13" t="str">
        <x:v>2023-02-27</x:v>
      </x:c>
      <x:c r="B470" s="13" t="n">
        <x:v>0</x:v>
      </x:c>
      <x:c r="C470" s="13" t="n">
        <x:v>0</x:v>
      </x:c>
      <x:c r="D470" s="16" t="n">
        <x:v>0</x:v>
      </x:c>
      <x:c r="E470" s="16" t="n">
        <x:v>0</x:v>
      </x:c>
      <x:c r="F470" s="16" t="n">
        <x:v>0</x:v>
      </x:c>
      <x:c r="G470" s="16" t="n">
        <x:v>0</x:v>
      </x:c>
      <x:c r="H470" s="16" t="n">
        <x:v>0</x:v>
      </x:c>
      <x:c r="I470" s="16" t="n">
        <x:v>1049337.2242039184</x:v>
      </x:c>
      <x:c r="J470" s="16" t="n">
        <x:v>1049337.2242039184</x:v>
      </x:c>
      <x:c r="K470" s="16" t="n">
        <x:v>0</x:v>
      </x:c>
      <x:c r="L470" s="18" t="n">
        <x:v>0</x:v>
      </x:c>
      <x:c r="M470" s="18" t="n">
        <x:v>0</x:v>
      </x:c>
      <x:c r="O470" t="str">
        <x:v>2023-02-27</x:v>
      </x:c>
      <x:c r="P470" t="n">
        <x:v>1049337.2242039184</x:v>
      </x:c>
    </x:row>
    <x:row r="471" ht="15" hidden="0" customHeight="1">
      <x:c r="A471" s="13" t="str">
        <x:v>2023-02-28</x:v>
      </x:c>
      <x:c r="B471" s="13" t="n">
        <x:v>0</x:v>
      </x:c>
      <x:c r="C471" s="13" t="n">
        <x:v>0</x:v>
      </x:c>
      <x:c r="D471" s="16" t="n">
        <x:v>0</x:v>
      </x:c>
      <x:c r="E471" s="16" t="n">
        <x:v>0</x:v>
      </x:c>
      <x:c r="F471" s="16" t="n">
        <x:v>0</x:v>
      </x:c>
      <x:c r="G471" s="16" t="n">
        <x:v>0</x:v>
      </x:c>
      <x:c r="H471" s="16" t="n">
        <x:v>0</x:v>
      </x:c>
      <x:c r="I471" s="16" t="n">
        <x:v>1049337.2242039184</x:v>
      </x:c>
      <x:c r="J471" s="16" t="n">
        <x:v>1049337.2242039184</x:v>
      </x:c>
      <x:c r="K471" s="16" t="n">
        <x:v>0</x:v>
      </x:c>
      <x:c r="L471" s="18" t="n">
        <x:v>0</x:v>
      </x:c>
      <x:c r="M471" s="18" t="n">
        <x:v>0</x:v>
      </x:c>
      <x:c r="O471" t="str">
        <x:v>2023-02-28</x:v>
      </x:c>
      <x:c r="P471" t="n">
        <x:v>1049337.2242039184</x:v>
      </x:c>
    </x:row>
    <x:row r="472" ht="15" hidden="0" customHeight="1">
      <x:c r="A472" s="13" t="str">
        <x:v>2023-03-01</x:v>
      </x:c>
      <x:c r="B472" s="13" t="n">
        <x:v>0</x:v>
      </x:c>
      <x:c r="C472" s="13" t="n">
        <x:v>0</x:v>
      </x:c>
      <x:c r="D472" s="16" t="n">
        <x:v>0</x:v>
      </x:c>
      <x:c r="E472" s="16" t="n">
        <x:v>0</x:v>
      </x:c>
      <x:c r="F472" s="16" t="n">
        <x:v>0</x:v>
      </x:c>
      <x:c r="G472" s="16" t="n">
        <x:v>0</x:v>
      </x:c>
      <x:c r="H472" s="16" t="n">
        <x:v>0</x:v>
      </x:c>
      <x:c r="I472" s="16" t="n">
        <x:v>1049337.2242039184</x:v>
      </x:c>
      <x:c r="J472" s="16" t="n">
        <x:v>1049337.2242039184</x:v>
      </x:c>
      <x:c r="K472" s="16" t="n">
        <x:v>0</x:v>
      </x:c>
      <x:c r="L472" s="18" t="n">
        <x:v>0</x:v>
      </x:c>
      <x:c r="M472" s="18" t="n">
        <x:v>0</x:v>
      </x:c>
      <x:c r="O472" t="str">
        <x:v>2023-03-01</x:v>
      </x:c>
      <x:c r="P472" t="n">
        <x:v>1049337.2242039184</x:v>
      </x:c>
    </x:row>
    <x:row r="473" ht="15" hidden="0" customHeight="1">
      <x:c r="A473" s="13" t="str">
        <x:v>2023-03-02</x:v>
      </x:c>
      <x:c r="B473" s="13" t="n">
        <x:v>0</x:v>
      </x:c>
      <x:c r="C473" s="13" t="n">
        <x:v>0</x:v>
      </x:c>
      <x:c r="D473" s="16" t="n">
        <x:v>0</x:v>
      </x:c>
      <x:c r="E473" s="16" t="n">
        <x:v>0</x:v>
      </x:c>
      <x:c r="F473" s="16" t="n">
        <x:v>0</x:v>
      </x:c>
      <x:c r="G473" s="16" t="n">
        <x:v>0</x:v>
      </x:c>
      <x:c r="H473" s="16" t="n">
        <x:v>0</x:v>
      </x:c>
      <x:c r="I473" s="16" t="n">
        <x:v>1049337.2242039184</x:v>
      </x:c>
      <x:c r="J473" s="16" t="n">
        <x:v>1049337.2242039184</x:v>
      </x:c>
      <x:c r="K473" s="16" t="n">
        <x:v>0</x:v>
      </x:c>
      <x:c r="L473" s="18" t="n">
        <x:v>0</x:v>
      </x:c>
      <x:c r="M473" s="18" t="n">
        <x:v>0</x:v>
      </x:c>
      <x:c r="O473" t="str">
        <x:v>2023-03-02</x:v>
      </x:c>
      <x:c r="P473" t="n">
        <x:v>1049337.2242039184</x:v>
      </x:c>
    </x:row>
    <x:row r="474" ht="15" hidden="0" customHeight="1">
      <x:c r="A474" s="13" t="str">
        <x:v>2023-03-03</x:v>
      </x:c>
      <x:c r="B474" s="13" t="n">
        <x:v>0</x:v>
      </x:c>
      <x:c r="C474" s="13" t="n">
        <x:v>0</x:v>
      </x:c>
      <x:c r="D474" s="16" t="n">
        <x:v>0</x:v>
      </x:c>
      <x:c r="E474" s="16" t="n">
        <x:v>0</x:v>
      </x:c>
      <x:c r="F474" s="16" t="n">
        <x:v>0</x:v>
      </x:c>
      <x:c r="G474" s="16" t="n">
        <x:v>0</x:v>
      </x:c>
      <x:c r="H474" s="16" t="n">
        <x:v>0</x:v>
      </x:c>
      <x:c r="I474" s="16" t="n">
        <x:v>1049337.2242039184</x:v>
      </x:c>
      <x:c r="J474" s="16" t="n">
        <x:v>1049337.2242039184</x:v>
      </x:c>
      <x:c r="K474" s="16" t="n">
        <x:v>0</x:v>
      </x:c>
      <x:c r="L474" s="18" t="n">
        <x:v>0</x:v>
      </x:c>
      <x:c r="M474" s="18" t="n">
        <x:v>0</x:v>
      </x:c>
      <x:c r="O474" t="str">
        <x:v>2023-03-03</x:v>
      </x:c>
      <x:c r="P474" t="n">
        <x:v>1049337.2242039184</x:v>
      </x:c>
    </x:row>
    <x:row r="475" ht="15" hidden="0" customHeight="1">
      <x:c r="A475" s="13" t="str">
        <x:v>2023-03-06</x:v>
      </x:c>
      <x:c r="B475" s="13" t="n">
        <x:v>0</x:v>
      </x:c>
      <x:c r="C475" s="13" t="n">
        <x:v>0</x:v>
      </x:c>
      <x:c r="D475" s="16" t="n">
        <x:v>0</x:v>
      </x:c>
      <x:c r="E475" s="16" t="n">
        <x:v>0</x:v>
      </x:c>
      <x:c r="F475" s="16" t="n">
        <x:v>0</x:v>
      </x:c>
      <x:c r="G475" s="16" t="n">
        <x:v>0</x:v>
      </x:c>
      <x:c r="H475" s="16" t="n">
        <x:v>0</x:v>
      </x:c>
      <x:c r="I475" s="16" t="n">
        <x:v>1049337.2242039184</x:v>
      </x:c>
      <x:c r="J475" s="16" t="n">
        <x:v>1049337.2242039184</x:v>
      </x:c>
      <x:c r="K475" s="16" t="n">
        <x:v>0</x:v>
      </x:c>
      <x:c r="L475" s="18" t="n">
        <x:v>0</x:v>
      </x:c>
      <x:c r="M475" s="18" t="n">
        <x:v>0</x:v>
      </x:c>
      <x:c r="O475" t="str">
        <x:v>2023-03-06</x:v>
      </x:c>
      <x:c r="P475" t="n">
        <x:v>1049337.2242039184</x:v>
      </x:c>
    </x:row>
    <x:row r="476" ht="15" hidden="0" customHeight="1">
      <x:c r="A476" s="13" t="str">
        <x:v>2023-03-07</x:v>
      </x:c>
      <x:c r="B476" s="13" t="n">
        <x:v>0</x:v>
      </x:c>
      <x:c r="C476" s="13" t="n">
        <x:v>0</x:v>
      </x:c>
      <x:c r="D476" s="16" t="n">
        <x:v>0</x:v>
      </x:c>
      <x:c r="E476" s="16" t="n">
        <x:v>0</x:v>
      </x:c>
      <x:c r="F476" s="16" t="n">
        <x:v>0</x:v>
      </x:c>
      <x:c r="G476" s="16" t="n">
        <x:v>0</x:v>
      </x:c>
      <x:c r="H476" s="16" t="n">
        <x:v>0</x:v>
      </x:c>
      <x:c r="I476" s="16" t="n">
        <x:v>1049337.2242039184</x:v>
      </x:c>
      <x:c r="J476" s="16" t="n">
        <x:v>1049337.2242039184</x:v>
      </x:c>
      <x:c r="K476" s="16" t="n">
        <x:v>0</x:v>
      </x:c>
      <x:c r="L476" s="18" t="n">
        <x:v>0</x:v>
      </x:c>
      <x:c r="M476" s="18" t="n">
        <x:v>0</x:v>
      </x:c>
      <x:c r="O476" t="str">
        <x:v>2023-03-07</x:v>
      </x:c>
      <x:c r="P476" t="n">
        <x:v>1049337.2242039184</x:v>
      </x:c>
    </x:row>
    <x:row r="477" ht="15" hidden="0" customHeight="1">
      <x:c r="A477" s="13" t="str">
        <x:v>2023-03-08</x:v>
      </x:c>
      <x:c r="B477" s="13" t="n">
        <x:v>0</x:v>
      </x:c>
      <x:c r="C477" s="13" t="n">
        <x:v>0</x:v>
      </x:c>
      <x:c r="D477" s="16" t="n">
        <x:v>0</x:v>
      </x:c>
      <x:c r="E477" s="16" t="n">
        <x:v>0</x:v>
      </x:c>
      <x:c r="F477" s="16" t="n">
        <x:v>0</x:v>
      </x:c>
      <x:c r="G477" s="16" t="n">
        <x:v>0</x:v>
      </x:c>
      <x:c r="H477" s="16" t="n">
        <x:v>0</x:v>
      </x:c>
      <x:c r="I477" s="16" t="n">
        <x:v>1049337.2242039184</x:v>
      </x:c>
      <x:c r="J477" s="16" t="n">
        <x:v>1049337.2242039184</x:v>
      </x:c>
      <x:c r="K477" s="16" t="n">
        <x:v>0</x:v>
      </x:c>
      <x:c r="L477" s="18" t="n">
        <x:v>0</x:v>
      </x:c>
      <x:c r="M477" s="18" t="n">
        <x:v>0</x:v>
      </x:c>
      <x:c r="O477" t="str">
        <x:v>2023-03-08</x:v>
      </x:c>
      <x:c r="P477" t="n">
        <x:v>1049337.2242039184</x:v>
      </x:c>
    </x:row>
    <x:row r="478" ht="15" hidden="0" customHeight="1">
      <x:c r="A478" s="13" t="str">
        <x:v>2023-03-09</x:v>
      </x:c>
      <x:c r="B478" s="13" t="n">
        <x:v>0</x:v>
      </x:c>
      <x:c r="C478" s="13" t="n">
        <x:v>0</x:v>
      </x:c>
      <x:c r="D478" s="16" t="n">
        <x:v>0</x:v>
      </x:c>
      <x:c r="E478" s="16" t="n">
        <x:v>0</x:v>
      </x:c>
      <x:c r="F478" s="16" t="n">
        <x:v>0</x:v>
      </x:c>
      <x:c r="G478" s="16" t="n">
        <x:v>0</x:v>
      </x:c>
      <x:c r="H478" s="16" t="n">
        <x:v>0</x:v>
      </x:c>
      <x:c r="I478" s="16" t="n">
        <x:v>1049337.2242039184</x:v>
      </x:c>
      <x:c r="J478" s="16" t="n">
        <x:v>1049337.2242039184</x:v>
      </x:c>
      <x:c r="K478" s="16" t="n">
        <x:v>0</x:v>
      </x:c>
      <x:c r="L478" s="18" t="n">
        <x:v>0</x:v>
      </x:c>
      <x:c r="M478" s="18" t="n">
        <x:v>0</x:v>
      </x:c>
      <x:c r="O478" t="str">
        <x:v>2023-03-09</x:v>
      </x:c>
      <x:c r="P478" t="n">
        <x:v>1049337.2242039184</x:v>
      </x:c>
    </x:row>
    <x:row r="479" ht="15" hidden="0" customHeight="1">
      <x:c r="A479" s="13" t="str">
        <x:v>2023-03-10</x:v>
      </x:c>
      <x:c r="B479" s="13" t="n">
        <x:v>0</x:v>
      </x:c>
      <x:c r="C479" s="13" t="n">
        <x:v>0</x:v>
      </x:c>
      <x:c r="D479" s="16" t="n">
        <x:v>0</x:v>
      </x:c>
      <x:c r="E479" s="16" t="n">
        <x:v>0</x:v>
      </x:c>
      <x:c r="F479" s="16" t="n">
        <x:v>0</x:v>
      </x:c>
      <x:c r="G479" s="16" t="n">
        <x:v>0</x:v>
      </x:c>
      <x:c r="H479" s="16" t="n">
        <x:v>0</x:v>
      </x:c>
      <x:c r="I479" s="16" t="n">
        <x:v>1049337.2242039184</x:v>
      </x:c>
      <x:c r="J479" s="16" t="n">
        <x:v>1049337.2242039184</x:v>
      </x:c>
      <x:c r="K479" s="16" t="n">
        <x:v>0</x:v>
      </x:c>
      <x:c r="L479" s="18" t="n">
        <x:v>0</x:v>
      </x:c>
      <x:c r="M479" s="18" t="n">
        <x:v>0</x:v>
      </x:c>
      <x:c r="O479" t="str">
        <x:v>2023-03-10</x:v>
      </x:c>
      <x:c r="P479" t="n">
        <x:v>1049337.2242039184</x:v>
      </x:c>
    </x:row>
    <x:row r="480" ht="15" hidden="0" customHeight="1">
      <x:c r="A480" s="13" t="str">
        <x:v>2023-03-13</x:v>
      </x:c>
      <x:c r="B480" s="13" t="n">
        <x:v>0</x:v>
      </x:c>
      <x:c r="C480" s="13" t="n">
        <x:v>0</x:v>
      </x:c>
      <x:c r="D480" s="16" t="n">
        <x:v>0</x:v>
      </x:c>
      <x:c r="E480" s="16" t="n">
        <x:v>0</x:v>
      </x:c>
      <x:c r="F480" s="16" t="n">
        <x:v>0</x:v>
      </x:c>
      <x:c r="G480" s="16" t="n">
        <x:v>0</x:v>
      </x:c>
      <x:c r="H480" s="16" t="n">
        <x:v>0</x:v>
      </x:c>
      <x:c r="I480" s="16" t="n">
        <x:v>1049337.2242039184</x:v>
      </x:c>
      <x:c r="J480" s="16" t="n">
        <x:v>1049337.2242039184</x:v>
      </x:c>
      <x:c r="K480" s="16" t="n">
        <x:v>0</x:v>
      </x:c>
      <x:c r="L480" s="18" t="n">
        <x:v>0</x:v>
      </x:c>
      <x:c r="M480" s="18" t="n">
        <x:v>0</x:v>
      </x:c>
      <x:c r="O480" t="str">
        <x:v>2023-03-13</x:v>
      </x:c>
      <x:c r="P480" t="n">
        <x:v>1049337.2242039184</x:v>
      </x:c>
    </x:row>
    <x:row r="481" ht="15" hidden="0" customHeight="1">
      <x:c r="A481" s="13" t="str">
        <x:v>2023-03-14</x:v>
      </x:c>
      <x:c r="B481" s="13" t="n">
        <x:v>0</x:v>
      </x:c>
      <x:c r="C481" s="13" t="n">
        <x:v>0</x:v>
      </x:c>
      <x:c r="D481" s="16" t="n">
        <x:v>0</x:v>
      </x:c>
      <x:c r="E481" s="16" t="n">
        <x:v>0</x:v>
      </x:c>
      <x:c r="F481" s="16" t="n">
        <x:v>0</x:v>
      </x:c>
      <x:c r="G481" s="16" t="n">
        <x:v>0</x:v>
      </x:c>
      <x:c r="H481" s="16" t="n">
        <x:v>0</x:v>
      </x:c>
      <x:c r="I481" s="16" t="n">
        <x:v>1049337.2242039184</x:v>
      </x:c>
      <x:c r="J481" s="16" t="n">
        <x:v>1049337.2242039184</x:v>
      </x:c>
      <x:c r="K481" s="16" t="n">
        <x:v>0</x:v>
      </x:c>
      <x:c r="L481" s="18" t="n">
        <x:v>0</x:v>
      </x:c>
      <x:c r="M481" s="18" t="n">
        <x:v>0</x:v>
      </x:c>
      <x:c r="O481" t="str">
        <x:v>2023-03-14</x:v>
      </x:c>
      <x:c r="P481" t="n">
        <x:v>1049337.2242039184</x:v>
      </x:c>
    </x:row>
    <x:row r="482" ht="15" hidden="0" customHeight="1">
      <x:c r="A482" s="13" t="str">
        <x:v>2023-03-15</x:v>
      </x:c>
      <x:c r="B482" s="13" t="n">
        <x:v>0</x:v>
      </x:c>
      <x:c r="C482" s="13" t="n">
        <x:v>0</x:v>
      </x:c>
      <x:c r="D482" s="16" t="n">
        <x:v>0</x:v>
      </x:c>
      <x:c r="E482" s="16" t="n">
        <x:v>0</x:v>
      </x:c>
      <x:c r="F482" s="16" t="n">
        <x:v>0</x:v>
      </x:c>
      <x:c r="G482" s="16" t="n">
        <x:v>0</x:v>
      </x:c>
      <x:c r="H482" s="16" t="n">
        <x:v>0</x:v>
      </x:c>
      <x:c r="I482" s="16" t="n">
        <x:v>1049337.2242039184</x:v>
      </x:c>
      <x:c r="J482" s="16" t="n">
        <x:v>1049337.2242039184</x:v>
      </x:c>
      <x:c r="K482" s="16" t="n">
        <x:v>0</x:v>
      </x:c>
      <x:c r="L482" s="18" t="n">
        <x:v>0</x:v>
      </x:c>
      <x:c r="M482" s="18" t="n">
        <x:v>0</x:v>
      </x:c>
      <x:c r="O482" t="str">
        <x:v>2023-03-15</x:v>
      </x:c>
      <x:c r="P482" t="n">
        <x:v>1049337.2242039184</x:v>
      </x:c>
    </x:row>
    <x:row r="483" ht="15" hidden="0" customHeight="1">
      <x:c r="A483" s="13" t="str">
        <x:v>2023-03-16</x:v>
      </x:c>
      <x:c r="B483" s="13" t="n">
        <x:v>0</x:v>
      </x:c>
      <x:c r="C483" s="13" t="n">
        <x:v>0</x:v>
      </x:c>
      <x:c r="D483" s="16" t="n">
        <x:v>0</x:v>
      </x:c>
      <x:c r="E483" s="16" t="n">
        <x:v>0</x:v>
      </x:c>
      <x:c r="F483" s="16" t="n">
        <x:v>0</x:v>
      </x:c>
      <x:c r="G483" s="16" t="n">
        <x:v>0</x:v>
      </x:c>
      <x:c r="H483" s="16" t="n">
        <x:v>0</x:v>
      </x:c>
      <x:c r="I483" s="16" t="n">
        <x:v>1049337.2242039184</x:v>
      </x:c>
      <x:c r="J483" s="16" t="n">
        <x:v>1049337.2242039184</x:v>
      </x:c>
      <x:c r="K483" s="16" t="n">
        <x:v>0</x:v>
      </x:c>
      <x:c r="L483" s="18" t="n">
        <x:v>0</x:v>
      </x:c>
      <x:c r="M483" s="18" t="n">
        <x:v>0</x:v>
      </x:c>
      <x:c r="O483" t="str">
        <x:v>2023-03-16</x:v>
      </x:c>
      <x:c r="P483" t="n">
        <x:v>1049337.2242039184</x:v>
      </x:c>
    </x:row>
    <x:row r="484" ht="15" hidden="0" customHeight="1">
      <x:c r="A484" s="13" t="str">
        <x:v>2023-03-17</x:v>
      </x:c>
      <x:c r="B484" s="13" t="n">
        <x:v>0</x:v>
      </x:c>
      <x:c r="C484" s="13" t="n">
        <x:v>0</x:v>
      </x:c>
      <x:c r="D484" s="16" t="n">
        <x:v>0</x:v>
      </x:c>
      <x:c r="E484" s="16" t="n">
        <x:v>0</x:v>
      </x:c>
      <x:c r="F484" s="16" t="n">
        <x:v>0</x:v>
      </x:c>
      <x:c r="G484" s="16" t="n">
        <x:v>0</x:v>
      </x:c>
      <x:c r="H484" s="16" t="n">
        <x:v>0</x:v>
      </x:c>
      <x:c r="I484" s="16" t="n">
        <x:v>1049337.2242039184</x:v>
      </x:c>
      <x:c r="J484" s="16" t="n">
        <x:v>1049337.2242039184</x:v>
      </x:c>
      <x:c r="K484" s="16" t="n">
        <x:v>0</x:v>
      </x:c>
      <x:c r="L484" s="18" t="n">
        <x:v>0</x:v>
      </x:c>
      <x:c r="M484" s="18" t="n">
        <x:v>0</x:v>
      </x:c>
      <x:c r="O484" t="str">
        <x:v>2023-03-17</x:v>
      </x:c>
      <x:c r="P484" t="n">
        <x:v>1049337.2242039184</x:v>
      </x:c>
    </x:row>
    <x:row r="485" ht="15" hidden="0" customHeight="1">
      <x:c r="A485" s="13" t="str">
        <x:v>2023-03-20</x:v>
      </x:c>
      <x:c r="B485" s="13" t="n">
        <x:v>0</x:v>
      </x:c>
      <x:c r="C485" s="13" t="n">
        <x:v>0</x:v>
      </x:c>
      <x:c r="D485" s="16" t="n">
        <x:v>0</x:v>
      </x:c>
      <x:c r="E485" s="16" t="n">
        <x:v>0</x:v>
      </x:c>
      <x:c r="F485" s="16" t="n">
        <x:v>0</x:v>
      </x:c>
      <x:c r="G485" s="16" t="n">
        <x:v>0</x:v>
      </x:c>
      <x:c r="H485" s="16" t="n">
        <x:v>0</x:v>
      </x:c>
      <x:c r="I485" s="16" t="n">
        <x:v>1049337.2242039184</x:v>
      </x:c>
      <x:c r="J485" s="16" t="n">
        <x:v>1049337.2242039184</x:v>
      </x:c>
      <x:c r="K485" s="16" t="n">
        <x:v>0</x:v>
      </x:c>
      <x:c r="L485" s="18" t="n">
        <x:v>0</x:v>
      </x:c>
      <x:c r="M485" s="18" t="n">
        <x:v>0</x:v>
      </x:c>
      <x:c r="O485" t="str">
        <x:v>2023-03-20</x:v>
      </x:c>
      <x:c r="P485" t="n">
        <x:v>1049337.2242039184</x:v>
      </x:c>
    </x:row>
    <x:row r="486" ht="15" hidden="0" customHeight="1">
      <x:c r="A486" s="13" t="str">
        <x:v>2023-03-21</x:v>
      </x:c>
      <x:c r="B486" s="13" t="n">
        <x:v>0</x:v>
      </x:c>
      <x:c r="C486" s="13" t="n">
        <x:v>0</x:v>
      </x:c>
      <x:c r="D486" s="16" t="n">
        <x:v>0</x:v>
      </x:c>
      <x:c r="E486" s="16" t="n">
        <x:v>0</x:v>
      </x:c>
      <x:c r="F486" s="16" t="n">
        <x:v>0</x:v>
      </x:c>
      <x:c r="G486" s="16" t="n">
        <x:v>0</x:v>
      </x:c>
      <x:c r="H486" s="16" t="n">
        <x:v>0</x:v>
      </x:c>
      <x:c r="I486" s="16" t="n">
        <x:v>1049337.2242039184</x:v>
      </x:c>
      <x:c r="J486" s="16" t="n">
        <x:v>1049337.2242039184</x:v>
      </x:c>
      <x:c r="K486" s="16" t="n">
        <x:v>0</x:v>
      </x:c>
      <x:c r="L486" s="18" t="n">
        <x:v>0</x:v>
      </x:c>
      <x:c r="M486" s="18" t="n">
        <x:v>0</x:v>
      </x:c>
      <x:c r="O486" t="str">
        <x:v>2023-03-21</x:v>
      </x:c>
      <x:c r="P486" t="n">
        <x:v>1049337.2242039184</x:v>
      </x:c>
    </x:row>
    <x:row r="487" ht="15" hidden="0" customHeight="1">
      <x:c r="A487" s="13" t="str">
        <x:v>2023-03-22</x:v>
      </x:c>
      <x:c r="B487" s="13" t="n">
        <x:v>0</x:v>
      </x:c>
      <x:c r="C487" s="13" t="n">
        <x:v>0</x:v>
      </x:c>
      <x:c r="D487" s="16" t="n">
        <x:v>0</x:v>
      </x:c>
      <x:c r="E487" s="16" t="n">
        <x:v>0</x:v>
      </x:c>
      <x:c r="F487" s="16" t="n">
        <x:v>0</x:v>
      </x:c>
      <x:c r="G487" s="16" t="n">
        <x:v>0</x:v>
      </x:c>
      <x:c r="H487" s="16" t="n">
        <x:v>0</x:v>
      </x:c>
      <x:c r="I487" s="16" t="n">
        <x:v>1049337.2242039184</x:v>
      </x:c>
      <x:c r="J487" s="16" t="n">
        <x:v>1049337.2242039184</x:v>
      </x:c>
      <x:c r="K487" s="16" t="n">
        <x:v>0</x:v>
      </x:c>
      <x:c r="L487" s="18" t="n">
        <x:v>0</x:v>
      </x:c>
      <x:c r="M487" s="18" t="n">
        <x:v>0</x:v>
      </x:c>
      <x:c r="O487" t="str">
        <x:v>2023-03-22</x:v>
      </x:c>
      <x:c r="P487" t="n">
        <x:v>1049337.2242039184</x:v>
      </x:c>
    </x:row>
    <x:row r="488" ht="15" hidden="0" customHeight="1">
      <x:c r="A488" s="13" t="str">
        <x:v>2023-03-23</x:v>
      </x:c>
      <x:c r="B488" s="13" t="n">
        <x:v>0</x:v>
      </x:c>
      <x:c r="C488" s="13" t="n">
        <x:v>0</x:v>
      </x:c>
      <x:c r="D488" s="16" t="n">
        <x:v>0</x:v>
      </x:c>
      <x:c r="E488" s="16" t="n">
        <x:v>0</x:v>
      </x:c>
      <x:c r="F488" s="16" t="n">
        <x:v>0</x:v>
      </x:c>
      <x:c r="G488" s="16" t="n">
        <x:v>0</x:v>
      </x:c>
      <x:c r="H488" s="16" t="n">
        <x:v>0</x:v>
      </x:c>
      <x:c r="I488" s="16" t="n">
        <x:v>1049337.2242039184</x:v>
      </x:c>
      <x:c r="J488" s="16" t="n">
        <x:v>1049337.2242039184</x:v>
      </x:c>
      <x:c r="K488" s="16" t="n">
        <x:v>0</x:v>
      </x:c>
      <x:c r="L488" s="18" t="n">
        <x:v>0</x:v>
      </x:c>
      <x:c r="M488" s="18" t="n">
        <x:v>0</x:v>
      </x:c>
      <x:c r="O488" t="str">
        <x:v>2023-03-23</x:v>
      </x:c>
      <x:c r="P488" t="n">
        <x:v>1049337.2242039184</x:v>
      </x:c>
    </x:row>
    <x:row r="489" ht="15" hidden="0" customHeight="1">
      <x:c r="A489" s="13" t="str">
        <x:v>2023-03-24</x:v>
      </x:c>
      <x:c r="B489" s="13" t="n">
        <x:v>0</x:v>
      </x:c>
      <x:c r="C489" s="13" t="n">
        <x:v>0</x:v>
      </x:c>
      <x:c r="D489" s="16" t="n">
        <x:v>0</x:v>
      </x:c>
      <x:c r="E489" s="16" t="n">
        <x:v>0</x:v>
      </x:c>
      <x:c r="F489" s="16" t="n">
        <x:v>0</x:v>
      </x:c>
      <x:c r="G489" s="16" t="n">
        <x:v>0</x:v>
      </x:c>
      <x:c r="H489" s="16" t="n">
        <x:v>0</x:v>
      </x:c>
      <x:c r="I489" s="16" t="n">
        <x:v>1049337.2242039184</x:v>
      </x:c>
      <x:c r="J489" s="16" t="n">
        <x:v>1049337.2242039184</x:v>
      </x:c>
      <x:c r="K489" s="16" t="n">
        <x:v>0</x:v>
      </x:c>
      <x:c r="L489" s="18" t="n">
        <x:v>0</x:v>
      </x:c>
      <x:c r="M489" s="18" t="n">
        <x:v>0</x:v>
      </x:c>
      <x:c r="O489" t="str">
        <x:v>2023-03-24</x:v>
      </x:c>
      <x:c r="P489" t="n">
        <x:v>1049337.2242039184</x:v>
      </x:c>
    </x:row>
    <x:row r="490" ht="15" hidden="0" customHeight="1">
      <x:c r="A490" s="13" t="str">
        <x:v>2023-03-27</x:v>
      </x:c>
      <x:c r="B490" s="13" t="n">
        <x:v>0</x:v>
      </x:c>
      <x:c r="C490" s="13" t="n">
        <x:v>0</x:v>
      </x:c>
      <x:c r="D490" s="16" t="n">
        <x:v>0</x:v>
      </x:c>
      <x:c r="E490" s="16" t="n">
        <x:v>0</x:v>
      </x:c>
      <x:c r="F490" s="16" t="n">
        <x:v>0</x:v>
      </x:c>
      <x:c r="G490" s="16" t="n">
        <x:v>0</x:v>
      </x:c>
      <x:c r="H490" s="16" t="n">
        <x:v>0</x:v>
      </x:c>
      <x:c r="I490" s="16" t="n">
        <x:v>1049337.2242039184</x:v>
      </x:c>
      <x:c r="J490" s="16" t="n">
        <x:v>1049337.2242039184</x:v>
      </x:c>
      <x:c r="K490" s="16" t="n">
        <x:v>0</x:v>
      </x:c>
      <x:c r="L490" s="18" t="n">
        <x:v>0</x:v>
      </x:c>
      <x:c r="M490" s="18" t="n">
        <x:v>0</x:v>
      </x:c>
      <x:c r="O490" t="str">
        <x:v>2023-03-27</x:v>
      </x:c>
      <x:c r="P490" t="n">
        <x:v>1049337.2242039184</x:v>
      </x:c>
    </x:row>
    <x:row r="491" ht="15" hidden="0" customHeight="1">
      <x:c r="A491" s="13" t="str">
        <x:v>2023-03-28</x:v>
      </x:c>
      <x:c r="B491" s="13" t="n">
        <x:v>0</x:v>
      </x:c>
      <x:c r="C491" s="13" t="n">
        <x:v>0</x:v>
      </x:c>
      <x:c r="D491" s="16" t="n">
        <x:v>0</x:v>
      </x:c>
      <x:c r="E491" s="16" t="n">
        <x:v>0</x:v>
      </x:c>
      <x:c r="F491" s="16" t="n">
        <x:v>0</x:v>
      </x:c>
      <x:c r="G491" s="16" t="n">
        <x:v>0</x:v>
      </x:c>
      <x:c r="H491" s="16" t="n">
        <x:v>0</x:v>
      </x:c>
      <x:c r="I491" s="16" t="n">
        <x:v>1049337.2242039184</x:v>
      </x:c>
      <x:c r="J491" s="16" t="n">
        <x:v>1049337.2242039184</x:v>
      </x:c>
      <x:c r="K491" s="16" t="n">
        <x:v>0</x:v>
      </x:c>
      <x:c r="L491" s="18" t="n">
        <x:v>0</x:v>
      </x:c>
      <x:c r="M491" s="18" t="n">
        <x:v>0</x:v>
      </x:c>
      <x:c r="O491" t="str">
        <x:v>2023-03-28</x:v>
      </x:c>
      <x:c r="P491" t="n">
        <x:v>1049337.2242039184</x:v>
      </x:c>
    </x:row>
    <x:row r="492" ht="15" hidden="0" customHeight="1">
      <x:c r="A492" s="13" t="str">
        <x:v>2023-03-29</x:v>
      </x:c>
      <x:c r="B492" s="13" t="n">
        <x:v>0</x:v>
      </x:c>
      <x:c r="C492" s="13" t="n">
        <x:v>0</x:v>
      </x:c>
      <x:c r="D492" s="16" t="n">
        <x:v>0</x:v>
      </x:c>
      <x:c r="E492" s="16" t="n">
        <x:v>0</x:v>
      </x:c>
      <x:c r="F492" s="16" t="n">
        <x:v>0</x:v>
      </x:c>
      <x:c r="G492" s="16" t="n">
        <x:v>0</x:v>
      </x:c>
      <x:c r="H492" s="16" t="n">
        <x:v>0</x:v>
      </x:c>
      <x:c r="I492" s="16" t="n">
        <x:v>1049337.2242039184</x:v>
      </x:c>
      <x:c r="J492" s="16" t="n">
        <x:v>1049337.2242039184</x:v>
      </x:c>
      <x:c r="K492" s="16" t="n">
        <x:v>0</x:v>
      </x:c>
      <x:c r="L492" s="18" t="n">
        <x:v>0</x:v>
      </x:c>
      <x:c r="M492" s="18" t="n">
        <x:v>0</x:v>
      </x:c>
      <x:c r="O492" t="str">
        <x:v>2023-03-29</x:v>
      </x:c>
      <x:c r="P492" t="n">
        <x:v>1049337.2242039184</x:v>
      </x:c>
    </x:row>
    <x:row r="493" ht="15" hidden="0" customHeight="1">
      <x:c r="A493" s="13" t="str">
        <x:v>2023-03-30</x:v>
      </x:c>
      <x:c r="B493" s="13" t="n">
        <x:v>0</x:v>
      </x:c>
      <x:c r="C493" s="13" t="n">
        <x:v>0</x:v>
      </x:c>
      <x:c r="D493" s="16" t="n">
        <x:v>0</x:v>
      </x:c>
      <x:c r="E493" s="16" t="n">
        <x:v>0</x:v>
      </x:c>
      <x:c r="F493" s="16" t="n">
        <x:v>0</x:v>
      </x:c>
      <x:c r="G493" s="16" t="n">
        <x:v>0</x:v>
      </x:c>
      <x:c r="H493" s="16" t="n">
        <x:v>0</x:v>
      </x:c>
      <x:c r="I493" s="16" t="n">
        <x:v>1049337.2242039184</x:v>
      </x:c>
      <x:c r="J493" s="16" t="n">
        <x:v>1049337.2242039184</x:v>
      </x:c>
      <x:c r="K493" s="16" t="n">
        <x:v>0</x:v>
      </x:c>
      <x:c r="L493" s="18" t="n">
        <x:v>0</x:v>
      </x:c>
      <x:c r="M493" s="18" t="n">
        <x:v>0</x:v>
      </x:c>
      <x:c r="O493" t="str">
        <x:v>2023-03-30</x:v>
      </x:c>
      <x:c r="P493" t="n">
        <x:v>1049337.2242039184</x:v>
      </x:c>
    </x:row>
    <x:row r="494" ht="15" hidden="0" customHeight="1">
      <x:c r="A494" s="13" t="str">
        <x:v>2023-03-31</x:v>
      </x:c>
      <x:c r="B494" s="13" t="n">
        <x:v>0</x:v>
      </x:c>
      <x:c r="C494" s="13" t="n">
        <x:v>0</x:v>
      </x:c>
      <x:c r="D494" s="16" t="n">
        <x:v>0</x:v>
      </x:c>
      <x:c r="E494" s="16" t="n">
        <x:v>0</x:v>
      </x:c>
      <x:c r="F494" s="16" t="n">
        <x:v>0</x:v>
      </x:c>
      <x:c r="G494" s="16" t="n">
        <x:v>0</x:v>
      </x:c>
      <x:c r="H494" s="16" t="n">
        <x:v>0</x:v>
      </x:c>
      <x:c r="I494" s="16" t="n">
        <x:v>1049337.2242039184</x:v>
      </x:c>
      <x:c r="J494" s="16" t="n">
        <x:v>1049337.2242039184</x:v>
      </x:c>
      <x:c r="K494" s="16" t="n">
        <x:v>0</x:v>
      </x:c>
      <x:c r="L494" s="18" t="n">
        <x:v>0</x:v>
      </x:c>
      <x:c r="M494" s="18" t="n">
        <x:v>0</x:v>
      </x:c>
      <x:c r="O494" t="str">
        <x:v>2023-03-31</x:v>
      </x:c>
      <x:c r="P494" t="n">
        <x:v>1049337.2242039184</x:v>
      </x:c>
    </x:row>
    <x:row r="495" ht="15" hidden="0" customHeight="1">
      <x:c r="A495" s="13" t="str">
        <x:v>2023-04-03</x:v>
      </x:c>
      <x:c r="B495" s="13" t="n">
        <x:v>0</x:v>
      </x:c>
      <x:c r="C495" s="13" t="n">
        <x:v>0</x:v>
      </x:c>
      <x:c r="D495" s="16" t="n">
        <x:v>0</x:v>
      </x:c>
      <x:c r="E495" s="16" t="n">
        <x:v>0</x:v>
      </x:c>
      <x:c r="F495" s="16" t="n">
        <x:v>0</x:v>
      </x:c>
      <x:c r="G495" s="16" t="n">
        <x:v>0</x:v>
      </x:c>
      <x:c r="H495" s="16" t="n">
        <x:v>0</x:v>
      </x:c>
      <x:c r="I495" s="16" t="n">
        <x:v>1049337.2242039184</x:v>
      </x:c>
      <x:c r="J495" s="16" t="n">
        <x:v>1049337.2242039184</x:v>
      </x:c>
      <x:c r="K495" s="16" t="n">
        <x:v>0</x:v>
      </x:c>
      <x:c r="L495" s="18" t="n">
        <x:v>0</x:v>
      </x:c>
      <x:c r="M495" s="18" t="n">
        <x:v>0</x:v>
      </x:c>
      <x:c r="O495" t="str">
        <x:v>2023-04-03</x:v>
      </x:c>
      <x:c r="P495" t="n">
        <x:v>1049337.2242039184</x:v>
      </x:c>
    </x:row>
    <x:row r="496" ht="15" hidden="0" customHeight="1">
      <x:c r="A496" s="13" t="str">
        <x:v>2023-04-04</x:v>
      </x:c>
      <x:c r="B496" s="13" t="n">
        <x:v>0</x:v>
      </x:c>
      <x:c r="C496" s="13" t="n">
        <x:v>0</x:v>
      </x:c>
      <x:c r="D496" s="16" t="n">
        <x:v>0</x:v>
      </x:c>
      <x:c r="E496" s="16" t="n">
        <x:v>0</x:v>
      </x:c>
      <x:c r="F496" s="16" t="n">
        <x:v>0</x:v>
      </x:c>
      <x:c r="G496" s="16" t="n">
        <x:v>0</x:v>
      </x:c>
      <x:c r="H496" s="16" t="n">
        <x:v>0</x:v>
      </x:c>
      <x:c r="I496" s="16" t="n">
        <x:v>1049337.2242039184</x:v>
      </x:c>
      <x:c r="J496" s="16" t="n">
        <x:v>1049337.2242039184</x:v>
      </x:c>
      <x:c r="K496" s="16" t="n">
        <x:v>0</x:v>
      </x:c>
      <x:c r="L496" s="18" t="n">
        <x:v>0</x:v>
      </x:c>
      <x:c r="M496" s="18" t="n">
        <x:v>0</x:v>
      </x:c>
      <x:c r="O496" t="str">
        <x:v>2023-04-04</x:v>
      </x:c>
      <x:c r="P496" t="n">
        <x:v>1049337.2242039184</x:v>
      </x:c>
    </x:row>
    <x:row r="497" ht="15" hidden="0" customHeight="1">
      <x:c r="A497" s="13" t="str">
        <x:v>2023-04-05</x:v>
      </x:c>
      <x:c r="B497" s="13" t="n">
        <x:v>0</x:v>
      </x:c>
      <x:c r="C497" s="13" t="n">
        <x:v>0</x:v>
      </x:c>
      <x:c r="D497" s="16" t="n">
        <x:v>0</x:v>
      </x:c>
      <x:c r="E497" s="16" t="n">
        <x:v>0</x:v>
      </x:c>
      <x:c r="F497" s="16" t="n">
        <x:v>0</x:v>
      </x:c>
      <x:c r="G497" s="16" t="n">
        <x:v>0</x:v>
      </x:c>
      <x:c r="H497" s="16" t="n">
        <x:v>0</x:v>
      </x:c>
      <x:c r="I497" s="16" t="n">
        <x:v>1049337.2242039184</x:v>
      </x:c>
      <x:c r="J497" s="16" t="n">
        <x:v>1049337.2242039184</x:v>
      </x:c>
      <x:c r="K497" s="16" t="n">
        <x:v>0</x:v>
      </x:c>
      <x:c r="L497" s="18" t="n">
        <x:v>0</x:v>
      </x:c>
      <x:c r="M497" s="18" t="n">
        <x:v>0</x:v>
      </x:c>
      <x:c r="O497" t="str">
        <x:v>2023-04-05</x:v>
      </x:c>
      <x:c r="P497" t="n">
        <x:v>1049337.2242039184</x:v>
      </x:c>
    </x:row>
    <x:row r="498" ht="15" hidden="0" customHeight="1">
      <x:c r="A498" s="13" t="str">
        <x:v>2023-04-06</x:v>
      </x:c>
      <x:c r="B498" s="13" t="n">
        <x:v>0</x:v>
      </x:c>
      <x:c r="C498" s="13" t="n">
        <x:v>0</x:v>
      </x:c>
      <x:c r="D498" s="16" t="n">
        <x:v>0</x:v>
      </x:c>
      <x:c r="E498" s="16" t="n">
        <x:v>0</x:v>
      </x:c>
      <x:c r="F498" s="16" t="n">
        <x:v>0</x:v>
      </x:c>
      <x:c r="G498" s="16" t="n">
        <x:v>0</x:v>
      </x:c>
      <x:c r="H498" s="16" t="n">
        <x:v>0</x:v>
      </x:c>
      <x:c r="I498" s="16" t="n">
        <x:v>1049337.2242039184</x:v>
      </x:c>
      <x:c r="J498" s="16" t="n">
        <x:v>1049337.2242039184</x:v>
      </x:c>
      <x:c r="K498" s="16" t="n">
        <x:v>0</x:v>
      </x:c>
      <x:c r="L498" s="18" t="n">
        <x:v>0</x:v>
      </x:c>
      <x:c r="M498" s="18" t="n">
        <x:v>0</x:v>
      </x:c>
      <x:c r="O498" t="str">
        <x:v>2023-04-06</x:v>
      </x:c>
      <x:c r="P498" t="n">
        <x:v>1049337.2242039184</x:v>
      </x:c>
    </x:row>
    <x:row r="499" ht="15" hidden="0" customHeight="1">
      <x:c r="A499" s="13" t="str">
        <x:v>2023-04-07</x:v>
      </x:c>
      <x:c r="B499" s="13" t="n">
        <x:v>0</x:v>
      </x:c>
      <x:c r="C499" s="13" t="n">
        <x:v>0</x:v>
      </x:c>
      <x:c r="D499" s="16" t="n">
        <x:v>0</x:v>
      </x:c>
      <x:c r="E499" s="16" t="n">
        <x:v>0</x:v>
      </x:c>
      <x:c r="F499" s="16" t="n">
        <x:v>0</x:v>
      </x:c>
      <x:c r="G499" s="16" t="n">
        <x:v>0</x:v>
      </x:c>
      <x:c r="H499" s="16" t="n">
        <x:v>0</x:v>
      </x:c>
      <x:c r="I499" s="16" t="n">
        <x:v>1049337.2242039184</x:v>
      </x:c>
      <x:c r="J499" s="16" t="n">
        <x:v>1049337.2242039184</x:v>
      </x:c>
      <x:c r="K499" s="16" t="n">
        <x:v>0</x:v>
      </x:c>
      <x:c r="L499" s="18" t="n">
        <x:v>0</x:v>
      </x:c>
      <x:c r="M499" s="18" t="n">
        <x:v>0</x:v>
      </x:c>
      <x:c r="O499" t="str">
        <x:v>2023-04-07</x:v>
      </x:c>
      <x:c r="P499" t="n">
        <x:v>1049337.2242039184</x:v>
      </x:c>
    </x:row>
    <x:row r="500" ht="15" hidden="0" customHeight="1">
      <x:c r="A500" s="13" t="str">
        <x:v>2023-04-10</x:v>
      </x:c>
      <x:c r="B500" s="13" t="n">
        <x:v>0</x:v>
      </x:c>
      <x:c r="C500" s="13" t="n">
        <x:v>0</x:v>
      </x:c>
      <x:c r="D500" s="16" t="n">
        <x:v>0</x:v>
      </x:c>
      <x:c r="E500" s="16" t="n">
        <x:v>0</x:v>
      </x:c>
      <x:c r="F500" s="16" t="n">
        <x:v>0</x:v>
      </x:c>
      <x:c r="G500" s="16" t="n">
        <x:v>0</x:v>
      </x:c>
      <x:c r="H500" s="16" t="n">
        <x:v>0</x:v>
      </x:c>
      <x:c r="I500" s="16" t="n">
        <x:v>1049337.2242039184</x:v>
      </x:c>
      <x:c r="J500" s="16" t="n">
        <x:v>1049337.2242039184</x:v>
      </x:c>
      <x:c r="K500" s="16" t="n">
        <x:v>0</x:v>
      </x:c>
      <x:c r="L500" s="18" t="n">
        <x:v>0</x:v>
      </x:c>
      <x:c r="M500" s="18" t="n">
        <x:v>0</x:v>
      </x:c>
      <x:c r="O500" t="str">
        <x:v>2023-04-10</x:v>
      </x:c>
      <x:c r="P500" t="n">
        <x:v>1049337.2242039184</x:v>
      </x:c>
    </x:row>
    <x:row r="501" ht="15" hidden="0" customHeight="1">
      <x:c r="A501" s="13" t="str">
        <x:v>2023-04-11</x:v>
      </x:c>
      <x:c r="B501" s="13" t="n">
        <x:v>0</x:v>
      </x:c>
      <x:c r="C501" s="13" t="n">
        <x:v>0</x:v>
      </x:c>
      <x:c r="D501" s="16" t="n">
        <x:v>0</x:v>
      </x:c>
      <x:c r="E501" s="16" t="n">
        <x:v>0</x:v>
      </x:c>
      <x:c r="F501" s="16" t="n">
        <x:v>0</x:v>
      </x:c>
      <x:c r="G501" s="16" t="n">
        <x:v>0</x:v>
      </x:c>
      <x:c r="H501" s="16" t="n">
        <x:v>0</x:v>
      </x:c>
      <x:c r="I501" s="16" t="n">
        <x:v>1049337.2242039184</x:v>
      </x:c>
      <x:c r="J501" s="16" t="n">
        <x:v>1049337.2242039184</x:v>
      </x:c>
      <x:c r="K501" s="16" t="n">
        <x:v>0</x:v>
      </x:c>
      <x:c r="L501" s="18" t="n">
        <x:v>0</x:v>
      </x:c>
      <x:c r="M501" s="18" t="n">
        <x:v>0</x:v>
      </x:c>
      <x:c r="O501" t="str">
        <x:v>2023-04-11</x:v>
      </x:c>
      <x:c r="P501" t="n">
        <x:v>1049337.2242039184</x:v>
      </x:c>
    </x:row>
    <x:row r="502" ht="15" hidden="0" customHeight="1">
      <x:c r="A502" s="13" t="str">
        <x:v>2023-04-12</x:v>
      </x:c>
      <x:c r="B502" s="13" t="n">
        <x:v>0</x:v>
      </x:c>
      <x:c r="C502" s="13" t="n">
        <x:v>0</x:v>
      </x:c>
      <x:c r="D502" s="16" t="n">
        <x:v>0</x:v>
      </x:c>
      <x:c r="E502" s="16" t="n">
        <x:v>0</x:v>
      </x:c>
      <x:c r="F502" s="16" t="n">
        <x:v>0</x:v>
      </x:c>
      <x:c r="G502" s="16" t="n">
        <x:v>0</x:v>
      </x:c>
      <x:c r="H502" s="16" t="n">
        <x:v>0</x:v>
      </x:c>
      <x:c r="I502" s="16" t="n">
        <x:v>1049337.2242039184</x:v>
      </x:c>
      <x:c r="J502" s="16" t="n">
        <x:v>1049337.2242039184</x:v>
      </x:c>
      <x:c r="K502" s="16" t="n">
        <x:v>0</x:v>
      </x:c>
      <x:c r="L502" s="18" t="n">
        <x:v>0</x:v>
      </x:c>
      <x:c r="M502" s="18" t="n">
        <x:v>0</x:v>
      </x:c>
      <x:c r="O502" t="str">
        <x:v>2023-04-12</x:v>
      </x:c>
      <x:c r="P502" t="n">
        <x:v>1049337.2242039184</x:v>
      </x:c>
    </x:row>
    <x:row r="503" ht="15" hidden="0" customHeight="1">
      <x:c r="A503" s="13" t="str">
        <x:v>2023-04-13</x:v>
      </x:c>
      <x:c r="B503" s="13" t="n">
        <x:v>0</x:v>
      </x:c>
      <x:c r="C503" s="13" t="n">
        <x:v>0</x:v>
      </x:c>
      <x:c r="D503" s="16" t="n">
        <x:v>0</x:v>
      </x:c>
      <x:c r="E503" s="16" t="n">
        <x:v>0</x:v>
      </x:c>
      <x:c r="F503" s="16" t="n">
        <x:v>0</x:v>
      </x:c>
      <x:c r="G503" s="16" t="n">
        <x:v>0</x:v>
      </x:c>
      <x:c r="H503" s="16" t="n">
        <x:v>0</x:v>
      </x:c>
      <x:c r="I503" s="16" t="n">
        <x:v>1049337.2242039184</x:v>
      </x:c>
      <x:c r="J503" s="16" t="n">
        <x:v>1049337.2242039184</x:v>
      </x:c>
      <x:c r="K503" s="16" t="n">
        <x:v>0</x:v>
      </x:c>
      <x:c r="L503" s="18" t="n">
        <x:v>0</x:v>
      </x:c>
      <x:c r="M503" s="18" t="n">
        <x:v>0</x:v>
      </x:c>
      <x:c r="O503" t="str">
        <x:v>2023-04-13</x:v>
      </x:c>
      <x:c r="P503" t="n">
        <x:v>1049337.2242039184</x:v>
      </x:c>
    </x:row>
    <x:row r="504" ht="15" hidden="0" customHeight="1">
      <x:c r="A504" s="13" t="str">
        <x:v>2023-04-14</x:v>
      </x:c>
      <x:c r="B504" s="13" t="n">
        <x:v>0</x:v>
      </x:c>
      <x:c r="C504" s="13" t="n">
        <x:v>0</x:v>
      </x:c>
      <x:c r="D504" s="16" t="n">
        <x:v>0</x:v>
      </x:c>
      <x:c r="E504" s="16" t="n">
        <x:v>0</x:v>
      </x:c>
      <x:c r="F504" s="16" t="n">
        <x:v>0</x:v>
      </x:c>
      <x:c r="G504" s="16" t="n">
        <x:v>0</x:v>
      </x:c>
      <x:c r="H504" s="16" t="n">
        <x:v>0</x:v>
      </x:c>
      <x:c r="I504" s="16" t="n">
        <x:v>1049337.2242039184</x:v>
      </x:c>
      <x:c r="J504" s="16" t="n">
        <x:v>1049337.2242039184</x:v>
      </x:c>
      <x:c r="K504" s="16" t="n">
        <x:v>0</x:v>
      </x:c>
      <x:c r="L504" s="18" t="n">
        <x:v>0</x:v>
      </x:c>
      <x:c r="M504" s="18" t="n">
        <x:v>0</x:v>
      </x:c>
      <x:c r="O504" t="str">
        <x:v>2023-04-14</x:v>
      </x:c>
      <x:c r="P504" t="n">
        <x:v>1049337.2242039184</x:v>
      </x:c>
    </x:row>
    <x:row r="505" ht="15" hidden="0" customHeight="1">
      <x:c r="A505" s="13" t="str">
        <x:v>2023-04-17</x:v>
      </x:c>
      <x:c r="B505" s="13" t="n">
        <x:v>0</x:v>
      </x:c>
      <x:c r="C505" s="13" t="n">
        <x:v>0</x:v>
      </x:c>
      <x:c r="D505" s="16" t="n">
        <x:v>0</x:v>
      </x:c>
      <x:c r="E505" s="16" t="n">
        <x:v>0</x:v>
      </x:c>
      <x:c r="F505" s="16" t="n">
        <x:v>0</x:v>
      </x:c>
      <x:c r="G505" s="16" t="n">
        <x:v>0</x:v>
      </x:c>
      <x:c r="H505" s="16" t="n">
        <x:v>0</x:v>
      </x:c>
      <x:c r="I505" s="16" t="n">
        <x:v>1049337.2242039184</x:v>
      </x:c>
      <x:c r="J505" s="16" t="n">
        <x:v>1049337.2242039184</x:v>
      </x:c>
      <x:c r="K505" s="16" t="n">
        <x:v>0</x:v>
      </x:c>
      <x:c r="L505" s="18" t="n">
        <x:v>0</x:v>
      </x:c>
      <x:c r="M505" s="18" t="n">
        <x:v>0</x:v>
      </x:c>
      <x:c r="O505" t="str">
        <x:v>2023-04-17</x:v>
      </x:c>
      <x:c r="P505" t="n">
        <x:v>1049337.2242039184</x:v>
      </x:c>
    </x:row>
    <x:row r="506" ht="15" hidden="0" customHeight="1">
      <x:c r="A506" s="13" t="str">
        <x:v>2023-04-18</x:v>
      </x:c>
      <x:c r="B506" s="13" t="n">
        <x:v>0</x:v>
      </x:c>
      <x:c r="C506" s="13" t="n">
        <x:v>0</x:v>
      </x:c>
      <x:c r="D506" s="16" t="n">
        <x:v>0</x:v>
      </x:c>
      <x:c r="E506" s="16" t="n">
        <x:v>0</x:v>
      </x:c>
      <x:c r="F506" s="16" t="n">
        <x:v>0</x:v>
      </x:c>
      <x:c r="G506" s="16" t="n">
        <x:v>0</x:v>
      </x:c>
      <x:c r="H506" s="16" t="n">
        <x:v>0</x:v>
      </x:c>
      <x:c r="I506" s="16" t="n">
        <x:v>1049337.2242039184</x:v>
      </x:c>
      <x:c r="J506" s="16" t="n">
        <x:v>1049337.2242039184</x:v>
      </x:c>
      <x:c r="K506" s="16" t="n">
        <x:v>0</x:v>
      </x:c>
      <x:c r="L506" s="18" t="n">
        <x:v>0</x:v>
      </x:c>
      <x:c r="M506" s="18" t="n">
        <x:v>0</x:v>
      </x:c>
      <x:c r="O506" t="str">
        <x:v>2023-04-18</x:v>
      </x:c>
      <x:c r="P506" t="n">
        <x:v>1049337.2242039184</x:v>
      </x:c>
    </x:row>
    <x:row r="507" ht="15" hidden="0" customHeight="1">
      <x:c r="A507" s="13" t="str">
        <x:v>2023-04-19</x:v>
      </x:c>
      <x:c r="B507" s="13" t="n">
        <x:v>0</x:v>
      </x:c>
      <x:c r="C507" s="13" t="n">
        <x:v>0</x:v>
      </x:c>
      <x:c r="D507" s="16" t="n">
        <x:v>0</x:v>
      </x:c>
      <x:c r="E507" s="16" t="n">
        <x:v>0</x:v>
      </x:c>
      <x:c r="F507" s="16" t="n">
        <x:v>0</x:v>
      </x:c>
      <x:c r="G507" s="16" t="n">
        <x:v>0</x:v>
      </x:c>
      <x:c r="H507" s="16" t="n">
        <x:v>0</x:v>
      </x:c>
      <x:c r="I507" s="16" t="n">
        <x:v>1049337.2242039184</x:v>
      </x:c>
      <x:c r="J507" s="16" t="n">
        <x:v>1049337.2242039184</x:v>
      </x:c>
      <x:c r="K507" s="16" t="n">
        <x:v>0</x:v>
      </x:c>
      <x:c r="L507" s="18" t="n">
        <x:v>0</x:v>
      </x:c>
      <x:c r="M507" s="18" t="n">
        <x:v>0</x:v>
      </x:c>
      <x:c r="O507" t="str">
        <x:v>2023-04-19</x:v>
      </x:c>
      <x:c r="P507" t="n">
        <x:v>1049337.2242039184</x:v>
      </x:c>
    </x:row>
    <x:row r="508" ht="15" hidden="0" customHeight="1">
      <x:c r="A508" s="13" t="str">
        <x:v>2023-04-20</x:v>
      </x:c>
      <x:c r="B508" s="13" t="n">
        <x:v>1</x:v>
      </x:c>
      <x:c r="C508" s="13" t="n">
        <x:v>8</x:v>
      </x:c>
      <x:c r="D508" s="16" t="n">
        <x:v>4459.999999999999</x:v>
      </x:c>
      <x:c r="E508" s="16" t="n">
        <x:v>421.6583098810301</x:v>
      </x:c>
      <x:c r="F508" s="16" t="n">
        <x:v>4038.341690118969</x:v>
      </x:c>
      <x:c r="G508" s="16" t="n">
        <x:v>40579.49798628838</x:v>
      </x:c>
      <x:c r="H508" s="16" t="n">
        <x:v>345522.2653977801</x:v>
      </x:c>
      <x:c r="I508" s="16" t="n">
        <x:v>1053375.5658940373</x:v>
      </x:c>
      <x:c r="J508" s="16" t="n">
        <x:v>1053375.5658940373</x:v>
      </x:c>
      <x:c r="K508" s="16" t="n">
        <x:v>0</x:v>
      </x:c>
      <x:c r="L508" s="18" t="n">
        <x:v>0</x:v>
      </x:c>
      <x:c r="M508" s="18" t="n">
        <x:v>0.0038484689163511</x:v>
      </x:c>
      <x:c r="O508" t="str">
        <x:v>2023-04-20</x:v>
      </x:c>
      <x:c r="P508" t="n">
        <x:v>1053375.5658940373</x:v>
      </x:c>
    </x:row>
    <x:row r="509" ht="15" hidden="0" customHeight="1">
      <x:c r="A509" s="13" t="str">
        <x:v>2023-04-21</x:v>
      </x:c>
      <x:c r="B509" s="13" t="n">
        <x:v>0</x:v>
      </x:c>
      <x:c r="C509" s="13" t="n">
        <x:v>0</x:v>
      </x:c>
      <x:c r="D509" s="16" t="n">
        <x:v>0</x:v>
      </x:c>
      <x:c r="E509" s="16" t="n">
        <x:v>0</x:v>
      </x:c>
      <x:c r="F509" s="16" t="n">
        <x:v>0</x:v>
      </x:c>
      <x:c r="G509" s="16" t="n">
        <x:v>0</x:v>
      </x:c>
      <x:c r="H509" s="16" t="n">
        <x:v>0</x:v>
      </x:c>
      <x:c r="I509" s="16" t="n">
        <x:v>1053375.5658940373</x:v>
      </x:c>
      <x:c r="J509" s="16" t="n">
        <x:v>1053375.5658940373</x:v>
      </x:c>
      <x:c r="K509" s="16" t="n">
        <x:v>0</x:v>
      </x:c>
      <x:c r="L509" s="18" t="n">
        <x:v>0</x:v>
      </x:c>
      <x:c r="M509" s="18" t="n">
        <x:v>0</x:v>
      </x:c>
      <x:c r="O509" t="str">
        <x:v>2023-04-21</x:v>
      </x:c>
      <x:c r="P509" t="n">
        <x:v>1053375.5658940373</x:v>
      </x:c>
    </x:row>
    <x:row r="510" ht="15" hidden="0" customHeight="1">
      <x:c r="A510" s="13" t="str">
        <x:v>2023-04-24</x:v>
      </x:c>
      <x:c r="B510" s="13" t="n">
        <x:v>0</x:v>
      </x:c>
      <x:c r="C510" s="13" t="n">
        <x:v>0</x:v>
      </x:c>
      <x:c r="D510" s="16" t="n">
        <x:v>0</x:v>
      </x:c>
      <x:c r="E510" s="16" t="n">
        <x:v>0</x:v>
      </x:c>
      <x:c r="F510" s="16" t="n">
        <x:v>0</x:v>
      </x:c>
      <x:c r="G510" s="16" t="n">
        <x:v>0</x:v>
      </x:c>
      <x:c r="H510" s="16" t="n">
        <x:v>0</x:v>
      </x:c>
      <x:c r="I510" s="16" t="n">
        <x:v>1053375.5658940373</x:v>
      </x:c>
      <x:c r="J510" s="16" t="n">
        <x:v>1053375.5658940373</x:v>
      </x:c>
      <x:c r="K510" s="16" t="n">
        <x:v>0</x:v>
      </x:c>
      <x:c r="L510" s="18" t="n">
        <x:v>0</x:v>
      </x:c>
      <x:c r="M510" s="18" t="n">
        <x:v>0</x:v>
      </x:c>
      <x:c r="O510" t="str">
        <x:v>2023-04-24</x:v>
      </x:c>
      <x:c r="P510" t="n">
        <x:v>1053375.5658940373</x:v>
      </x:c>
    </x:row>
    <x:row r="511" ht="15" hidden="0" customHeight="1">
      <x:c r="A511" s="13" t="str">
        <x:v>2023-04-25</x:v>
      </x:c>
      <x:c r="B511" s="13" t="n">
        <x:v>0</x:v>
      </x:c>
      <x:c r="C511" s="13" t="n">
        <x:v>0</x:v>
      </x:c>
      <x:c r="D511" s="16" t="n">
        <x:v>0</x:v>
      </x:c>
      <x:c r="E511" s="16" t="n">
        <x:v>0</x:v>
      </x:c>
      <x:c r="F511" s="16" t="n">
        <x:v>0</x:v>
      </x:c>
      <x:c r="G511" s="16" t="n">
        <x:v>0</x:v>
      </x:c>
      <x:c r="H511" s="16" t="n">
        <x:v>0</x:v>
      </x:c>
      <x:c r="I511" s="16" t="n">
        <x:v>1053375.5658940373</x:v>
      </x:c>
      <x:c r="J511" s="16" t="n">
        <x:v>1053375.5658940373</x:v>
      </x:c>
      <x:c r="K511" s="16" t="n">
        <x:v>0</x:v>
      </x:c>
      <x:c r="L511" s="18" t="n">
        <x:v>0</x:v>
      </x:c>
      <x:c r="M511" s="18" t="n">
        <x:v>0</x:v>
      </x:c>
      <x:c r="O511" t="str">
        <x:v>2023-04-25</x:v>
      </x:c>
      <x:c r="P511" t="n">
        <x:v>1053375.5658940373</x:v>
      </x:c>
    </x:row>
    <x:row r="512" ht="15" hidden="0" customHeight="1">
      <x:c r="A512" s="13" t="str">
        <x:v>2023-04-26</x:v>
      </x:c>
      <x:c r="B512" s="13" t="n">
        <x:v>0</x:v>
      </x:c>
      <x:c r="C512" s="13" t="n">
        <x:v>0</x:v>
      </x:c>
      <x:c r="D512" s="16" t="n">
        <x:v>0</x:v>
      </x:c>
      <x:c r="E512" s="16" t="n">
        <x:v>0</x:v>
      </x:c>
      <x:c r="F512" s="16" t="n">
        <x:v>0</x:v>
      </x:c>
      <x:c r="G512" s="16" t="n">
        <x:v>0</x:v>
      </x:c>
      <x:c r="H512" s="16" t="n">
        <x:v>0</x:v>
      </x:c>
      <x:c r="I512" s="16" t="n">
        <x:v>1053375.5658940373</x:v>
      </x:c>
      <x:c r="J512" s="16" t="n">
        <x:v>1053375.5658940373</x:v>
      </x:c>
      <x:c r="K512" s="16" t="n">
        <x:v>0</x:v>
      </x:c>
      <x:c r="L512" s="18" t="n">
        <x:v>0</x:v>
      </x:c>
      <x:c r="M512" s="18" t="n">
        <x:v>0</x:v>
      </x:c>
      <x:c r="O512" t="str">
        <x:v>2023-04-26</x:v>
      </x:c>
      <x:c r="P512" t="n">
        <x:v>1053375.5658940373</x:v>
      </x:c>
    </x:row>
    <x:row r="513" ht="15" hidden="0" customHeight="1">
      <x:c r="A513" s="13" t="str">
        <x:v>2023-04-27</x:v>
      </x:c>
      <x:c r="B513" s="13" t="n">
        <x:v>0</x:v>
      </x:c>
      <x:c r="C513" s="13" t="n">
        <x:v>0</x:v>
      </x:c>
      <x:c r="D513" s="16" t="n">
        <x:v>0</x:v>
      </x:c>
      <x:c r="E513" s="16" t="n">
        <x:v>0</x:v>
      </x:c>
      <x:c r="F513" s="16" t="n">
        <x:v>0</x:v>
      </x:c>
      <x:c r="G513" s="16" t="n">
        <x:v>0</x:v>
      </x:c>
      <x:c r="H513" s="16" t="n">
        <x:v>0</x:v>
      </x:c>
      <x:c r="I513" s="16" t="n">
        <x:v>1053375.5658940373</x:v>
      </x:c>
      <x:c r="J513" s="16" t="n">
        <x:v>1053375.5658940373</x:v>
      </x:c>
      <x:c r="K513" s="16" t="n">
        <x:v>0</x:v>
      </x:c>
      <x:c r="L513" s="18" t="n">
        <x:v>0</x:v>
      </x:c>
      <x:c r="M513" s="18" t="n">
        <x:v>0</x:v>
      </x:c>
      <x:c r="O513" t="str">
        <x:v>2023-04-27</x:v>
      </x:c>
      <x:c r="P513" t="n">
        <x:v>1053375.5658940373</x:v>
      </x:c>
    </x:row>
    <x:row r="514" ht="15" hidden="0" customHeight="1">
      <x:c r="A514" s="13" t="str">
        <x:v>2023-04-28</x:v>
      </x:c>
      <x:c r="B514" s="13" t="n">
        <x:v>0</x:v>
      </x:c>
      <x:c r="C514" s="13" t="n">
        <x:v>0</x:v>
      </x:c>
      <x:c r="D514" s="16" t="n">
        <x:v>0</x:v>
      </x:c>
      <x:c r="E514" s="16" t="n">
        <x:v>0</x:v>
      </x:c>
      <x:c r="F514" s="16" t="n">
        <x:v>0</x:v>
      </x:c>
      <x:c r="G514" s="16" t="n">
        <x:v>0</x:v>
      </x:c>
      <x:c r="H514" s="16" t="n">
        <x:v>0</x:v>
      </x:c>
      <x:c r="I514" s="16" t="n">
        <x:v>1053375.5658940373</x:v>
      </x:c>
      <x:c r="J514" s="16" t="n">
        <x:v>1053375.5658940373</x:v>
      </x:c>
      <x:c r="K514" s="16" t="n">
        <x:v>0</x:v>
      </x:c>
      <x:c r="L514" s="18" t="n">
        <x:v>0</x:v>
      </x:c>
      <x:c r="M514" s="18" t="n">
        <x:v>0</x:v>
      </x:c>
      <x:c r="O514" t="str">
        <x:v>2023-04-28</x:v>
      </x:c>
      <x:c r="P514" t="n">
        <x:v>1053375.5658940373</x:v>
      </x:c>
    </x:row>
    <x:row r="515" ht="15" hidden="0" customHeight="1">
      <x:c r="A515" s="13" t="str">
        <x:v>2023-05-01</x:v>
      </x:c>
      <x:c r="B515" s="13" t="n">
        <x:v>0</x:v>
      </x:c>
      <x:c r="C515" s="13" t="n">
        <x:v>0</x:v>
      </x:c>
      <x:c r="D515" s="16" t="n">
        <x:v>0</x:v>
      </x:c>
      <x:c r="E515" s="16" t="n">
        <x:v>0</x:v>
      </x:c>
      <x:c r="F515" s="16" t="n">
        <x:v>0</x:v>
      </x:c>
      <x:c r="G515" s="16" t="n">
        <x:v>0</x:v>
      </x:c>
      <x:c r="H515" s="16" t="n">
        <x:v>0</x:v>
      </x:c>
      <x:c r="I515" s="16" t="n">
        <x:v>1053375.5658940373</x:v>
      </x:c>
      <x:c r="J515" s="16" t="n">
        <x:v>1053375.5658940373</x:v>
      </x:c>
      <x:c r="K515" s="16" t="n">
        <x:v>0</x:v>
      </x:c>
      <x:c r="L515" s="18" t="n">
        <x:v>0</x:v>
      </x:c>
      <x:c r="M515" s="18" t="n">
        <x:v>0</x:v>
      </x:c>
      <x:c r="O515" t="str">
        <x:v>2023-05-01</x:v>
      </x:c>
      <x:c r="P515" t="n">
        <x:v>1053375.5658940373</x:v>
      </x:c>
    </x:row>
    <x:row r="516" ht="15" hidden="0" customHeight="1">
      <x:c r="A516" s="13" t="str">
        <x:v>2023-05-02</x:v>
      </x:c>
      <x:c r="B516" s="13" t="n">
        <x:v>0</x:v>
      </x:c>
      <x:c r="C516" s="13" t="n">
        <x:v>0</x:v>
      </x:c>
      <x:c r="D516" s="16" t="n">
        <x:v>0</x:v>
      </x:c>
      <x:c r="E516" s="16" t="n">
        <x:v>0</x:v>
      </x:c>
      <x:c r="F516" s="16" t="n">
        <x:v>0</x:v>
      </x:c>
      <x:c r="G516" s="16" t="n">
        <x:v>0</x:v>
      </x:c>
      <x:c r="H516" s="16" t="n">
        <x:v>0</x:v>
      </x:c>
      <x:c r="I516" s="16" t="n">
        <x:v>1053375.5658940373</x:v>
      </x:c>
      <x:c r="J516" s="16" t="n">
        <x:v>1053375.5658940373</x:v>
      </x:c>
      <x:c r="K516" s="16" t="n">
        <x:v>0</x:v>
      </x:c>
      <x:c r="L516" s="18" t="n">
        <x:v>0</x:v>
      </x:c>
      <x:c r="M516" s="18" t="n">
        <x:v>0</x:v>
      </x:c>
      <x:c r="O516" t="str">
        <x:v>2023-05-02</x:v>
      </x:c>
      <x:c r="P516" t="n">
        <x:v>1053375.5658940373</x:v>
      </x:c>
    </x:row>
    <x:row r="517" ht="15" hidden="0" customHeight="1">
      <x:c r="A517" s="13" t="str">
        <x:v>2023-05-03</x:v>
      </x:c>
      <x:c r="B517" s="13" t="n">
        <x:v>0</x:v>
      </x:c>
      <x:c r="C517" s="13" t="n">
        <x:v>0</x:v>
      </x:c>
      <x:c r="D517" s="16" t="n">
        <x:v>0</x:v>
      </x:c>
      <x:c r="E517" s="16" t="n">
        <x:v>0</x:v>
      </x:c>
      <x:c r="F517" s="16" t="n">
        <x:v>0</x:v>
      </x:c>
      <x:c r="G517" s="16" t="n">
        <x:v>0</x:v>
      </x:c>
      <x:c r="H517" s="16" t="n">
        <x:v>0</x:v>
      </x:c>
      <x:c r="I517" s="16" t="n">
        <x:v>1053375.5658940373</x:v>
      </x:c>
      <x:c r="J517" s="16" t="n">
        <x:v>1053375.5658940373</x:v>
      </x:c>
      <x:c r="K517" s="16" t="n">
        <x:v>0</x:v>
      </x:c>
      <x:c r="L517" s="18" t="n">
        <x:v>0</x:v>
      </x:c>
      <x:c r="M517" s="18" t="n">
        <x:v>0</x:v>
      </x:c>
      <x:c r="O517" t="str">
        <x:v>2023-05-03</x:v>
      </x:c>
      <x:c r="P517" t="n">
        <x:v>1053375.5658940373</x:v>
      </x:c>
    </x:row>
    <x:row r="518" ht="15" hidden="0" customHeight="1">
      <x:c r="A518" s="13" t="str">
        <x:v>2023-05-04</x:v>
      </x:c>
      <x:c r="B518" s="13" t="n">
        <x:v>0</x:v>
      </x:c>
      <x:c r="C518" s="13" t="n">
        <x:v>0</x:v>
      </x:c>
      <x:c r="D518" s="16" t="n">
        <x:v>0</x:v>
      </x:c>
      <x:c r="E518" s="16" t="n">
        <x:v>0</x:v>
      </x:c>
      <x:c r="F518" s="16" t="n">
        <x:v>0</x:v>
      </x:c>
      <x:c r="G518" s="16" t="n">
        <x:v>0</x:v>
      </x:c>
      <x:c r="H518" s="16" t="n">
        <x:v>0</x:v>
      </x:c>
      <x:c r="I518" s="16" t="n">
        <x:v>1053375.5658940373</x:v>
      </x:c>
      <x:c r="J518" s="16" t="n">
        <x:v>1053375.5658940373</x:v>
      </x:c>
      <x:c r="K518" s="16" t="n">
        <x:v>0</x:v>
      </x:c>
      <x:c r="L518" s="18" t="n">
        <x:v>0</x:v>
      </x:c>
      <x:c r="M518" s="18" t="n">
        <x:v>0</x:v>
      </x:c>
      <x:c r="O518" t="str">
        <x:v>2023-05-04</x:v>
      </x:c>
      <x:c r="P518" t="n">
        <x:v>1053375.5658940373</x:v>
      </x:c>
    </x:row>
    <x:row r="519" ht="15" hidden="0" customHeight="1">
      <x:c r="A519" s="13" t="str">
        <x:v>2023-05-05</x:v>
      </x:c>
      <x:c r="B519" s="13" t="n">
        <x:v>0</x:v>
      </x:c>
      <x:c r="C519" s="13" t="n">
        <x:v>0</x:v>
      </x:c>
      <x:c r="D519" s="16" t="n">
        <x:v>0</x:v>
      </x:c>
      <x:c r="E519" s="16" t="n">
        <x:v>0</x:v>
      </x:c>
      <x:c r="F519" s="16" t="n">
        <x:v>0</x:v>
      </x:c>
      <x:c r="G519" s="16" t="n">
        <x:v>0</x:v>
      </x:c>
      <x:c r="H519" s="16" t="n">
        <x:v>0</x:v>
      </x:c>
      <x:c r="I519" s="16" t="n">
        <x:v>1053375.5658940373</x:v>
      </x:c>
      <x:c r="J519" s="16" t="n">
        <x:v>1053375.5658940373</x:v>
      </x:c>
      <x:c r="K519" s="16" t="n">
        <x:v>0</x:v>
      </x:c>
      <x:c r="L519" s="18" t="n">
        <x:v>0</x:v>
      </x:c>
      <x:c r="M519" s="18" t="n">
        <x:v>0</x:v>
      </x:c>
      <x:c r="O519" t="str">
        <x:v>2023-05-05</x:v>
      </x:c>
      <x:c r="P519" t="n">
        <x:v>1053375.5658940373</x:v>
      </x:c>
    </x:row>
    <x:row r="520" ht="15" hidden="0" customHeight="1">
      <x:c r="A520" s="13" t="str">
        <x:v>2023-05-08</x:v>
      </x:c>
      <x:c r="B520" s="13" t="n">
        <x:v>0</x:v>
      </x:c>
      <x:c r="C520" s="13" t="n">
        <x:v>0</x:v>
      </x:c>
      <x:c r="D520" s="16" t="n">
        <x:v>0</x:v>
      </x:c>
      <x:c r="E520" s="16" t="n">
        <x:v>0</x:v>
      </x:c>
      <x:c r="F520" s="16" t="n">
        <x:v>0</x:v>
      </x:c>
      <x:c r="G520" s="16" t="n">
        <x:v>0</x:v>
      </x:c>
      <x:c r="H520" s="16" t="n">
        <x:v>0</x:v>
      </x:c>
      <x:c r="I520" s="16" t="n">
        <x:v>1053375.5658940373</x:v>
      </x:c>
      <x:c r="J520" s="16" t="n">
        <x:v>1053375.5658940373</x:v>
      </x:c>
      <x:c r="K520" s="16" t="n">
        <x:v>0</x:v>
      </x:c>
      <x:c r="L520" s="18" t="n">
        <x:v>0</x:v>
      </x:c>
      <x:c r="M520" s="18" t="n">
        <x:v>0</x:v>
      </x:c>
      <x:c r="O520" t="str">
        <x:v>2023-05-08</x:v>
      </x:c>
      <x:c r="P520" t="n">
        <x:v>1053375.5658940373</x:v>
      </x:c>
    </x:row>
    <x:row r="521" ht="15" hidden="0" customHeight="1">
      <x:c r="A521" s="13" t="str">
        <x:v>2023-05-09</x:v>
      </x:c>
      <x:c r="B521" s="13" t="n">
        <x:v>0</x:v>
      </x:c>
      <x:c r="C521" s="13" t="n">
        <x:v>0</x:v>
      </x:c>
      <x:c r="D521" s="16" t="n">
        <x:v>0</x:v>
      </x:c>
      <x:c r="E521" s="16" t="n">
        <x:v>0</x:v>
      </x:c>
      <x:c r="F521" s="16" t="n">
        <x:v>0</x:v>
      </x:c>
      <x:c r="G521" s="16" t="n">
        <x:v>0</x:v>
      </x:c>
      <x:c r="H521" s="16" t="n">
        <x:v>0</x:v>
      </x:c>
      <x:c r="I521" s="16" t="n">
        <x:v>1053375.5658940373</x:v>
      </x:c>
      <x:c r="J521" s="16" t="n">
        <x:v>1053375.5658940373</x:v>
      </x:c>
      <x:c r="K521" s="16" t="n">
        <x:v>0</x:v>
      </x:c>
      <x:c r="L521" s="18" t="n">
        <x:v>0</x:v>
      </x:c>
      <x:c r="M521" s="18" t="n">
        <x:v>0</x:v>
      </x:c>
      <x:c r="O521" t="str">
        <x:v>2023-05-09</x:v>
      </x:c>
      <x:c r="P521" t="n">
        <x:v>1053375.5658940373</x:v>
      </x:c>
    </x:row>
    <x:row r="522" ht="15" hidden="0" customHeight="1">
      <x:c r="A522" s="13" t="str">
        <x:v>2023-05-10</x:v>
      </x:c>
      <x:c r="B522" s="13" t="n">
        <x:v>0</x:v>
      </x:c>
      <x:c r="C522" s="13" t="n">
        <x:v>0</x:v>
      </x:c>
      <x:c r="D522" s="16" t="n">
        <x:v>0</x:v>
      </x:c>
      <x:c r="E522" s="16" t="n">
        <x:v>0</x:v>
      </x:c>
      <x:c r="F522" s="16" t="n">
        <x:v>0</x:v>
      </x:c>
      <x:c r="G522" s="16" t="n">
        <x:v>0</x:v>
      </x:c>
      <x:c r="H522" s="16" t="n">
        <x:v>0</x:v>
      </x:c>
      <x:c r="I522" s="16" t="n">
        <x:v>1053375.5658940373</x:v>
      </x:c>
      <x:c r="J522" s="16" t="n">
        <x:v>1053375.5658940373</x:v>
      </x:c>
      <x:c r="K522" s="16" t="n">
        <x:v>0</x:v>
      </x:c>
      <x:c r="L522" s="18" t="n">
        <x:v>0</x:v>
      </x:c>
      <x:c r="M522" s="18" t="n">
        <x:v>0</x:v>
      </x:c>
      <x:c r="O522" t="str">
        <x:v>2023-05-10</x:v>
      </x:c>
      <x:c r="P522" t="n">
        <x:v>1053375.5658940373</x:v>
      </x:c>
    </x:row>
    <x:row r="523" ht="15" hidden="0" customHeight="1">
      <x:c r="A523" s="13" t="str">
        <x:v>2023-05-11</x:v>
      </x:c>
      <x:c r="B523" s="13" t="n">
        <x:v>1</x:v>
      </x:c>
      <x:c r="C523" s="13" t="n">
        <x:v>8</x:v>
      </x:c>
      <x:c r="D523" s="16" t="n">
        <x:v>3060</x:v>
      </x:c>
      <x:c r="E523" s="16" t="n">
        <x:v>427.0167358721213</x:v>
      </x:c>
      <x:c r="F523" s="16" t="n">
        <x:v>2632.9832641278786</x:v>
      </x:c>
      <x:c r="G523" s="16" t="n">
        <x:v>43616.586487382745</x:v>
      </x:c>
      <x:c r="H523" s="16" t="n">
        <x:v>354955.0813274163</x:v>
      </x:c>
      <x:c r="I523" s="16" t="n">
        <x:v>1056008.5491581652</x:v>
      </x:c>
      <x:c r="J523" s="16" t="n">
        <x:v>1056008.5491581652</x:v>
      </x:c>
      <x:c r="K523" s="16" t="n">
        <x:v>0</x:v>
      </x:c>
      <x:c r="L523" s="18" t="n">
        <x:v>0</x:v>
      </x:c>
      <x:c r="M523" s="18" t="n">
        <x:v>0.0024995674376528</x:v>
      </x:c>
      <x:c r="O523" t="str">
        <x:v>2023-05-11</x:v>
      </x:c>
      <x:c r="P523" t="n">
        <x:v>1056008.5491581652</x:v>
      </x:c>
    </x:row>
    <x:row r="524" ht="15" hidden="0" customHeight="1">
      <x:c r="A524" s="13" t="str">
        <x:v>2023-05-12</x:v>
      </x:c>
      <x:c r="B524" s="13" t="n">
        <x:v>0</x:v>
      </x:c>
      <x:c r="C524" s="13" t="n">
        <x:v>0</x:v>
      </x:c>
      <x:c r="D524" s="16" t="n">
        <x:v>0</x:v>
      </x:c>
      <x:c r="E524" s="16" t="n">
        <x:v>0</x:v>
      </x:c>
      <x:c r="F524" s="16" t="n">
        <x:v>0</x:v>
      </x:c>
      <x:c r="G524" s="16" t="n">
        <x:v>0</x:v>
      </x:c>
      <x:c r="H524" s="16" t="n">
        <x:v>0</x:v>
      </x:c>
      <x:c r="I524" s="16" t="n">
        <x:v>1056008.5491581652</x:v>
      </x:c>
      <x:c r="J524" s="16" t="n">
        <x:v>1056008.5491581652</x:v>
      </x:c>
      <x:c r="K524" s="16" t="n">
        <x:v>0</x:v>
      </x:c>
      <x:c r="L524" s="18" t="n">
        <x:v>0</x:v>
      </x:c>
      <x:c r="M524" s="18" t="n">
        <x:v>0</x:v>
      </x:c>
      <x:c r="O524" t="str">
        <x:v>2023-05-12</x:v>
      </x:c>
      <x:c r="P524" t="n">
        <x:v>1056008.5491581652</x:v>
      </x:c>
    </x:row>
    <x:row r="525" ht="15" hidden="0" customHeight="1">
      <x:c r="A525" s="13" t="str">
        <x:v>2023-05-15</x:v>
      </x:c>
      <x:c r="B525" s="13" t="n">
        <x:v>0</x:v>
      </x:c>
      <x:c r="C525" s="13" t="n">
        <x:v>0</x:v>
      </x:c>
      <x:c r="D525" s="16" t="n">
        <x:v>0</x:v>
      </x:c>
      <x:c r="E525" s="16" t="n">
        <x:v>0</x:v>
      </x:c>
      <x:c r="F525" s="16" t="n">
        <x:v>0</x:v>
      </x:c>
      <x:c r="G525" s="16" t="n">
        <x:v>0</x:v>
      </x:c>
      <x:c r="H525" s="16" t="n">
        <x:v>0</x:v>
      </x:c>
      <x:c r="I525" s="16" t="n">
        <x:v>1056008.5491581652</x:v>
      </x:c>
      <x:c r="J525" s="16" t="n">
        <x:v>1056008.5491581652</x:v>
      </x:c>
      <x:c r="K525" s="16" t="n">
        <x:v>0</x:v>
      </x:c>
      <x:c r="L525" s="18" t="n">
        <x:v>0</x:v>
      </x:c>
      <x:c r="M525" s="18" t="n">
        <x:v>0</x:v>
      </x:c>
      <x:c r="O525" t="str">
        <x:v>2023-05-15</x:v>
      </x:c>
      <x:c r="P525" t="n">
        <x:v>1056008.5491581652</x:v>
      </x:c>
    </x:row>
    <x:row r="526" ht="15" hidden="0" customHeight="1">
      <x:c r="A526" s="13" t="str">
        <x:v>2023-05-16</x:v>
      </x:c>
      <x:c r="B526" s="13" t="n">
        <x:v>0</x:v>
      </x:c>
      <x:c r="C526" s="13" t="n">
        <x:v>0</x:v>
      </x:c>
      <x:c r="D526" s="16" t="n">
        <x:v>0</x:v>
      </x:c>
      <x:c r="E526" s="16" t="n">
        <x:v>0</x:v>
      </x:c>
      <x:c r="F526" s="16" t="n">
        <x:v>0</x:v>
      </x:c>
      <x:c r="G526" s="16" t="n">
        <x:v>0</x:v>
      </x:c>
      <x:c r="H526" s="16" t="n">
        <x:v>0</x:v>
      </x:c>
      <x:c r="I526" s="16" t="n">
        <x:v>1056008.5491581652</x:v>
      </x:c>
      <x:c r="J526" s="16" t="n">
        <x:v>1056008.5491581652</x:v>
      </x:c>
      <x:c r="K526" s="16" t="n">
        <x:v>0</x:v>
      </x:c>
      <x:c r="L526" s="18" t="n">
        <x:v>0</x:v>
      </x:c>
      <x:c r="M526" s="18" t="n">
        <x:v>0</x:v>
      </x:c>
      <x:c r="O526" t="str">
        <x:v>2023-05-16</x:v>
      </x:c>
      <x:c r="P526" t="n">
        <x:v>1056008.5491581652</x:v>
      </x:c>
    </x:row>
    <x:row r="527" ht="15" hidden="0" customHeight="1">
      <x:c r="A527" s="13" t="str">
        <x:v>2023-05-17</x:v>
      </x:c>
      <x:c r="B527" s="13" t="n">
        <x:v>0</x:v>
      </x:c>
      <x:c r="C527" s="13" t="n">
        <x:v>0</x:v>
      </x:c>
      <x:c r="D527" s="16" t="n">
        <x:v>0</x:v>
      </x:c>
      <x:c r="E527" s="16" t="n">
        <x:v>0</x:v>
      </x:c>
      <x:c r="F527" s="16" t="n">
        <x:v>0</x:v>
      </x:c>
      <x:c r="G527" s="16" t="n">
        <x:v>0</x:v>
      </x:c>
      <x:c r="H527" s="16" t="n">
        <x:v>0</x:v>
      </x:c>
      <x:c r="I527" s="16" t="n">
        <x:v>1056008.5491581652</x:v>
      </x:c>
      <x:c r="J527" s="16" t="n">
        <x:v>1056008.5491581652</x:v>
      </x:c>
      <x:c r="K527" s="16" t="n">
        <x:v>0</x:v>
      </x:c>
      <x:c r="L527" s="18" t="n">
        <x:v>0</x:v>
      </x:c>
      <x:c r="M527" s="18" t="n">
        <x:v>0</x:v>
      </x:c>
      <x:c r="O527" t="str">
        <x:v>2023-05-17</x:v>
      </x:c>
      <x:c r="P527" t="n">
        <x:v>1056008.5491581652</x:v>
      </x:c>
    </x:row>
    <x:row r="528" ht="15" hidden="0" customHeight="1">
      <x:c r="A528" s="13" t="str">
        <x:v>2023-05-18</x:v>
      </x:c>
      <x:c r="B528" s="13" t="n">
        <x:v>0</x:v>
      </x:c>
      <x:c r="C528" s="13" t="n">
        <x:v>0</x:v>
      </x:c>
      <x:c r="D528" s="16" t="n">
        <x:v>0</x:v>
      </x:c>
      <x:c r="E528" s="16" t="n">
        <x:v>0</x:v>
      </x:c>
      <x:c r="F528" s="16" t="n">
        <x:v>0</x:v>
      </x:c>
      <x:c r="G528" s="16" t="n">
        <x:v>0</x:v>
      </x:c>
      <x:c r="H528" s="16" t="n">
        <x:v>0</x:v>
      </x:c>
      <x:c r="I528" s="16" t="n">
        <x:v>1056008.5491581652</x:v>
      </x:c>
      <x:c r="J528" s="16" t="n">
        <x:v>1056008.5491581652</x:v>
      </x:c>
      <x:c r="K528" s="16" t="n">
        <x:v>0</x:v>
      </x:c>
      <x:c r="L528" s="18" t="n">
        <x:v>0</x:v>
      </x:c>
      <x:c r="M528" s="18" t="n">
        <x:v>0</x:v>
      </x:c>
      <x:c r="O528" t="str">
        <x:v>2023-05-18</x:v>
      </x:c>
      <x:c r="P528" t="n">
        <x:v>1056008.5491581652</x:v>
      </x:c>
    </x:row>
    <x:row r="529" ht="15" hidden="0" customHeight="1">
      <x:c r="A529" s="13" t="str">
        <x:v>2023-05-19</x:v>
      </x:c>
      <x:c r="B529" s="13" t="n">
        <x:v>0</x:v>
      </x:c>
      <x:c r="C529" s="13" t="n">
        <x:v>0</x:v>
      </x:c>
      <x:c r="D529" s="16" t="n">
        <x:v>0</x:v>
      </x:c>
      <x:c r="E529" s="16" t="n">
        <x:v>0</x:v>
      </x:c>
      <x:c r="F529" s="16" t="n">
        <x:v>0</x:v>
      </x:c>
      <x:c r="G529" s="16" t="n">
        <x:v>0</x:v>
      </x:c>
      <x:c r="H529" s="16" t="n">
        <x:v>0</x:v>
      </x:c>
      <x:c r="I529" s="16" t="n">
        <x:v>1056008.5491581652</x:v>
      </x:c>
      <x:c r="J529" s="16" t="n">
        <x:v>1056008.5491581652</x:v>
      </x:c>
      <x:c r="K529" s="16" t="n">
        <x:v>0</x:v>
      </x:c>
      <x:c r="L529" s="18" t="n">
        <x:v>0</x:v>
      </x:c>
      <x:c r="M529" s="18" t="n">
        <x:v>0</x:v>
      </x:c>
      <x:c r="O529" t="str">
        <x:v>2023-05-19</x:v>
      </x:c>
      <x:c r="P529" t="n">
        <x:v>1056008.5491581652</x:v>
      </x:c>
    </x:row>
    <x:row r="530" ht="15" hidden="0" customHeight="1">
      <x:c r="A530" s="13" t="str">
        <x:v>2023-05-22</x:v>
      </x:c>
      <x:c r="B530" s="13" t="n">
        <x:v>0</x:v>
      </x:c>
      <x:c r="C530" s="13" t="n">
        <x:v>0</x:v>
      </x:c>
      <x:c r="D530" s="16" t="n">
        <x:v>0</x:v>
      </x:c>
      <x:c r="E530" s="16" t="n">
        <x:v>0</x:v>
      </x:c>
      <x:c r="F530" s="16" t="n">
        <x:v>0</x:v>
      </x:c>
      <x:c r="G530" s="16" t="n">
        <x:v>0</x:v>
      </x:c>
      <x:c r="H530" s="16" t="n">
        <x:v>0</x:v>
      </x:c>
      <x:c r="I530" s="16" t="n">
        <x:v>1056008.5491581652</x:v>
      </x:c>
      <x:c r="J530" s="16" t="n">
        <x:v>1056008.5491581652</x:v>
      </x:c>
      <x:c r="K530" s="16" t="n">
        <x:v>0</x:v>
      </x:c>
      <x:c r="L530" s="18" t="n">
        <x:v>0</x:v>
      </x:c>
      <x:c r="M530" s="18" t="n">
        <x:v>0</x:v>
      </x:c>
      <x:c r="O530" t="str">
        <x:v>2023-05-22</x:v>
      </x:c>
      <x:c r="P530" t="n">
        <x:v>1056008.5491581652</x:v>
      </x:c>
    </x:row>
    <x:row r="531" ht="15" hidden="0" customHeight="1">
      <x:c r="A531" s="13" t="str">
        <x:v>2023-05-23</x:v>
      </x:c>
      <x:c r="B531" s="13" t="n">
        <x:v>0</x:v>
      </x:c>
      <x:c r="C531" s="13" t="n">
        <x:v>0</x:v>
      </x:c>
      <x:c r="D531" s="16" t="n">
        <x:v>0</x:v>
      </x:c>
      <x:c r="E531" s="16" t="n">
        <x:v>0</x:v>
      </x:c>
      <x:c r="F531" s="16" t="n">
        <x:v>0</x:v>
      </x:c>
      <x:c r="G531" s="16" t="n">
        <x:v>0</x:v>
      </x:c>
      <x:c r="H531" s="16" t="n">
        <x:v>0</x:v>
      </x:c>
      <x:c r="I531" s="16" t="n">
        <x:v>1056008.5491581652</x:v>
      </x:c>
      <x:c r="J531" s="16" t="n">
        <x:v>1056008.5491581652</x:v>
      </x:c>
      <x:c r="K531" s="16" t="n">
        <x:v>0</x:v>
      </x:c>
      <x:c r="L531" s="18" t="n">
        <x:v>0</x:v>
      </x:c>
      <x:c r="M531" s="18" t="n">
        <x:v>0</x:v>
      </x:c>
      <x:c r="O531" t="str">
        <x:v>2023-05-23</x:v>
      </x:c>
      <x:c r="P531" t="n">
        <x:v>1056008.5491581652</x:v>
      </x:c>
    </x:row>
    <x:row r="532" ht="15" hidden="0" customHeight="1">
      <x:c r="A532" s="13" t="str">
        <x:v>2023-05-24</x:v>
      </x:c>
      <x:c r="B532" s="13" t="n">
        <x:v>0</x:v>
      </x:c>
      <x:c r="C532" s="13" t="n">
        <x:v>0</x:v>
      </x:c>
      <x:c r="D532" s="16" t="n">
        <x:v>0</x:v>
      </x:c>
      <x:c r="E532" s="16" t="n">
        <x:v>0</x:v>
      </x:c>
      <x:c r="F532" s="16" t="n">
        <x:v>0</x:v>
      </x:c>
      <x:c r="G532" s="16" t="n">
        <x:v>0</x:v>
      </x:c>
      <x:c r="H532" s="16" t="n">
        <x:v>0</x:v>
      </x:c>
      <x:c r="I532" s="16" t="n">
        <x:v>1056008.5491581652</x:v>
      </x:c>
      <x:c r="J532" s="16" t="n">
        <x:v>1056008.5491581652</x:v>
      </x:c>
      <x:c r="K532" s="16" t="n">
        <x:v>0</x:v>
      </x:c>
      <x:c r="L532" s="18" t="n">
        <x:v>0</x:v>
      </x:c>
      <x:c r="M532" s="18" t="n">
        <x:v>0</x:v>
      </x:c>
      <x:c r="O532" t="str">
        <x:v>2023-05-24</x:v>
      </x:c>
      <x:c r="P532" t="n">
        <x:v>1056008.5491581652</x:v>
      </x:c>
    </x:row>
    <x:row r="533" ht="15" hidden="0" customHeight="1">
      <x:c r="A533" s="13" t="str">
        <x:v>2023-05-25</x:v>
      </x:c>
      <x:c r="B533" s="13" t="n">
        <x:v>1</x:v>
      </x:c>
      <x:c r="C533" s="13" t="n">
        <x:v>7</x:v>
      </x:c>
      <x:c r="D533" s="16" t="n">
        <x:v>-7577.499999999998</x:v>
      </x:c>
      <x:c r="E533" s="16" t="n">
        <x:v>404.2298121453295</x:v>
      </x:c>
      <x:c r="F533" s="16" t="n">
        <x:v>-7981.729812145328</x:v>
      </x:c>
      <x:c r="G533" s="16" t="n">
        <x:v>40352.36207002541</x:v>
      </x:c>
      <x:c r="H533" s="16" t="n">
        <x:v>310667.63937818207</x:v>
      </x:c>
      <x:c r="I533" s="16" t="n">
        <x:v>1048026.81934602</x:v>
      </x:c>
      <x:c r="J533" s="16" t="n">
        <x:v>1056008.5491581652</x:v>
      </x:c>
      <x:c r="K533" s="16" t="n">
        <x:v>-7981.72981214535</x:v>
      </x:c>
      <x:c r="L533" s="18" t="n">
        <x:v>-0.0075583950702939</x:v>
      </x:c>
      <x:c r="M533" s="18" t="n">
        <x:v>-0.0075583950702939</x:v>
      </x:c>
      <x:c r="O533" t="str">
        <x:v>2023-05-25</x:v>
      </x:c>
      <x:c r="P533" t="n">
        <x:v>1048026.81934602</x:v>
      </x:c>
    </x:row>
    <x:row r="534" ht="15" hidden="0" customHeight="1">
      <x:c r="A534" s="13" t="str">
        <x:v>2023-05-26</x:v>
      </x:c>
      <x:c r="B534" s="13" t="n">
        <x:v>0</x:v>
      </x:c>
      <x:c r="C534" s="13" t="n">
        <x:v>0</x:v>
      </x:c>
      <x:c r="D534" s="16" t="n">
        <x:v>0</x:v>
      </x:c>
      <x:c r="E534" s="16" t="n">
        <x:v>0</x:v>
      </x:c>
      <x:c r="F534" s="16" t="n">
        <x:v>0</x:v>
      </x:c>
      <x:c r="G534" s="16" t="n">
        <x:v>0</x:v>
      </x:c>
      <x:c r="H534" s="16" t="n">
        <x:v>0</x:v>
      </x:c>
      <x:c r="I534" s="16" t="n">
        <x:v>1048026.81934602</x:v>
      </x:c>
      <x:c r="J534" s="16" t="n">
        <x:v>1056008.5491581652</x:v>
      </x:c>
      <x:c r="K534" s="16" t="n">
        <x:v>-7981.72981214535</x:v>
      </x:c>
      <x:c r="L534" s="18" t="n">
        <x:v>-0.0075583950702939</x:v>
      </x:c>
      <x:c r="M534" s="18" t="n">
        <x:v>0</x:v>
      </x:c>
      <x:c r="O534" t="str">
        <x:v>2023-05-26</x:v>
      </x:c>
      <x:c r="P534" t="n">
        <x:v>1048026.81934602</x:v>
      </x:c>
    </x:row>
    <x:row r="535" ht="15" hidden="0" customHeight="1">
      <x:c r="A535" s="13" t="str">
        <x:v>2023-05-29</x:v>
      </x:c>
      <x:c r="B535" s="13" t="n">
        <x:v>0</x:v>
      </x:c>
      <x:c r="C535" s="13" t="n">
        <x:v>0</x:v>
      </x:c>
      <x:c r="D535" s="16" t="n">
        <x:v>0</x:v>
      </x:c>
      <x:c r="E535" s="16" t="n">
        <x:v>0</x:v>
      </x:c>
      <x:c r="F535" s="16" t="n">
        <x:v>0</x:v>
      </x:c>
      <x:c r="G535" s="16" t="n">
        <x:v>0</x:v>
      </x:c>
      <x:c r="H535" s="16" t="n">
        <x:v>0</x:v>
      </x:c>
      <x:c r="I535" s="16" t="n">
        <x:v>1048026.81934602</x:v>
      </x:c>
      <x:c r="J535" s="16" t="n">
        <x:v>1056008.5491581652</x:v>
      </x:c>
      <x:c r="K535" s="16" t="n">
        <x:v>-7981.72981214535</x:v>
      </x:c>
      <x:c r="L535" s="18" t="n">
        <x:v>-0.0075583950702939</x:v>
      </x:c>
      <x:c r="M535" s="18" t="n">
        <x:v>0</x:v>
      </x:c>
      <x:c r="O535" t="str">
        <x:v>2023-05-29</x:v>
      </x:c>
      <x:c r="P535" t="n">
        <x:v>1048026.81934602</x:v>
      </x:c>
    </x:row>
    <x:row r="536" ht="15" hidden="0" customHeight="1">
      <x:c r="A536" s="13" t="str">
        <x:v>2023-05-30</x:v>
      </x:c>
      <x:c r="B536" s="13" t="n">
        <x:v>0</x:v>
      </x:c>
      <x:c r="C536" s="13" t="n">
        <x:v>0</x:v>
      </x:c>
      <x:c r="D536" s="16" t="n">
        <x:v>0</x:v>
      </x:c>
      <x:c r="E536" s="16" t="n">
        <x:v>0</x:v>
      </x:c>
      <x:c r="F536" s="16" t="n">
        <x:v>0</x:v>
      </x:c>
      <x:c r="G536" s="16" t="n">
        <x:v>0</x:v>
      </x:c>
      <x:c r="H536" s="16" t="n">
        <x:v>0</x:v>
      </x:c>
      <x:c r="I536" s="16" t="n">
        <x:v>1048026.81934602</x:v>
      </x:c>
      <x:c r="J536" s="16" t="n">
        <x:v>1056008.5491581652</x:v>
      </x:c>
      <x:c r="K536" s="16" t="n">
        <x:v>-7981.72981214535</x:v>
      </x:c>
      <x:c r="L536" s="18" t="n">
        <x:v>-0.0075583950702939</x:v>
      </x:c>
      <x:c r="M536" s="18" t="n">
        <x:v>0</x:v>
      </x:c>
      <x:c r="O536" t="str">
        <x:v>2023-05-30</x:v>
      </x:c>
      <x:c r="P536" t="n">
        <x:v>1048026.81934602</x:v>
      </x:c>
    </x:row>
    <x:row r="537" ht="15" hidden="0" customHeight="1">
      <x:c r="A537" s="13" t="str">
        <x:v>2023-05-31</x:v>
      </x:c>
      <x:c r="B537" s="13" t="n">
        <x:v>0</x:v>
      </x:c>
      <x:c r="C537" s="13" t="n">
        <x:v>0</x:v>
      </x:c>
      <x:c r="D537" s="16" t="n">
        <x:v>0</x:v>
      </x:c>
      <x:c r="E537" s="16" t="n">
        <x:v>0</x:v>
      </x:c>
      <x:c r="F537" s="16" t="n">
        <x:v>0</x:v>
      </x:c>
      <x:c r="G537" s="16" t="n">
        <x:v>0</x:v>
      </x:c>
      <x:c r="H537" s="16" t="n">
        <x:v>0</x:v>
      </x:c>
      <x:c r="I537" s="16" t="n">
        <x:v>1048026.81934602</x:v>
      </x:c>
      <x:c r="J537" s="16" t="n">
        <x:v>1056008.5491581652</x:v>
      </x:c>
      <x:c r="K537" s="16" t="n">
        <x:v>-7981.72981214535</x:v>
      </x:c>
      <x:c r="L537" s="18" t="n">
        <x:v>-0.0075583950702939</x:v>
      </x:c>
      <x:c r="M537" s="18" t="n">
        <x:v>0</x:v>
      </x:c>
      <x:c r="O537" t="str">
        <x:v>2023-05-31</x:v>
      </x:c>
      <x:c r="P537" t="n">
        <x:v>1048026.81934602</x:v>
      </x:c>
    </x:row>
    <x:row r="538" ht="15" hidden="0" customHeight="1">
      <x:c r="A538" s="13" t="str">
        <x:v>2023-06-01</x:v>
      </x:c>
      <x:c r="B538" s="13" t="n">
        <x:v>1</x:v>
      </x:c>
      <x:c r="C538" s="13" t="n">
        <x:v>7</x:v>
      </x:c>
      <x:c r="D538" s="16" t="n">
        <x:v>1959.999999999999</x:v>
      </x:c>
      <x:c r="E538" s="16" t="n">
        <x:v>389.5255590326442</x:v>
      </x:c>
      <x:c r="F538" s="16" t="n">
        <x:v>1570.474440967355</x:v>
      </x:c>
      <x:c r="G538" s="16" t="n">
        <x:v>36330.27063976378</x:v>
      </x:c>
      <x:c r="H538" s="16" t="n">
        <x:v>312345.41623392736</x:v>
      </x:c>
      <x:c r="I538" s="16" t="n">
        <x:v>1049597.2937869872</x:v>
      </x:c>
      <x:c r="J538" s="16" t="n">
        <x:v>1056008.5491581652</x:v>
      </x:c>
      <x:c r="K538" s="16" t="n">
        <x:v>-6411.255371178035</x:v>
      </x:c>
      <x:c r="L538" s="18" t="n">
        <x:v>-0.0060712154047323</x:v>
      </x:c>
      <x:c r="M538" s="18" t="n">
        <x:v>0.0014985059656653</x:v>
      </x:c>
      <x:c r="O538" t="str">
        <x:v>2023-06-01</x:v>
      </x:c>
      <x:c r="P538" t="n">
        <x:v>1049597.2937869872</x:v>
      </x:c>
    </x:row>
    <x:row r="539" ht="15" hidden="0" customHeight="1">
      <x:c r="A539" s="13" t="str">
        <x:v>2023-06-02</x:v>
      </x:c>
      <x:c r="B539" s="13" t="n">
        <x:v>0</x:v>
      </x:c>
      <x:c r="C539" s="13" t="n">
        <x:v>0</x:v>
      </x:c>
      <x:c r="D539" s="16" t="n">
        <x:v>0</x:v>
      </x:c>
      <x:c r="E539" s="16" t="n">
        <x:v>0</x:v>
      </x:c>
      <x:c r="F539" s="16" t="n">
        <x:v>0</x:v>
      </x:c>
      <x:c r="G539" s="16" t="n">
        <x:v>0</x:v>
      </x:c>
      <x:c r="H539" s="16" t="n">
        <x:v>0</x:v>
      </x:c>
      <x:c r="I539" s="16" t="n">
        <x:v>1049597.2937869872</x:v>
      </x:c>
      <x:c r="J539" s="16" t="n">
        <x:v>1056008.5491581652</x:v>
      </x:c>
      <x:c r="K539" s="16" t="n">
        <x:v>-6411.255371178035</x:v>
      </x:c>
      <x:c r="L539" s="18" t="n">
        <x:v>-0.0060712154047323</x:v>
      </x:c>
      <x:c r="M539" s="18" t="n">
        <x:v>0</x:v>
      </x:c>
      <x:c r="O539" t="str">
        <x:v>2023-06-02</x:v>
      </x:c>
      <x:c r="P539" t="n">
        <x:v>1049597.2937869872</x:v>
      </x:c>
    </x:row>
    <x:row r="540" ht="15" hidden="0" customHeight="1">
      <x:c r="A540" s="13" t="str">
        <x:v>2023-06-05</x:v>
      </x:c>
      <x:c r="B540" s="13" t="n">
        <x:v>0</x:v>
      </x:c>
      <x:c r="C540" s="13" t="n">
        <x:v>0</x:v>
      </x:c>
      <x:c r="D540" s="16" t="n">
        <x:v>0</x:v>
      </x:c>
      <x:c r="E540" s="16" t="n">
        <x:v>0</x:v>
      </x:c>
      <x:c r="F540" s="16" t="n">
        <x:v>0</x:v>
      </x:c>
      <x:c r="G540" s="16" t="n">
        <x:v>0</x:v>
      </x:c>
      <x:c r="H540" s="16" t="n">
        <x:v>0</x:v>
      </x:c>
      <x:c r="I540" s="16" t="n">
        <x:v>1049597.2937869872</x:v>
      </x:c>
      <x:c r="J540" s="16" t="n">
        <x:v>1056008.5491581652</x:v>
      </x:c>
      <x:c r="K540" s="16" t="n">
        <x:v>-6411.255371178035</x:v>
      </x:c>
      <x:c r="L540" s="18" t="n">
        <x:v>-0.0060712154047323</x:v>
      </x:c>
      <x:c r="M540" s="18" t="n">
        <x:v>0</x:v>
      </x:c>
      <x:c r="O540" t="str">
        <x:v>2023-06-05</x:v>
      </x:c>
      <x:c r="P540" t="n">
        <x:v>1049597.2937869872</x:v>
      </x:c>
    </x:row>
    <x:row r="541" ht="15" hidden="0" customHeight="1">
      <x:c r="A541" s="13" t="str">
        <x:v>2023-06-06</x:v>
      </x:c>
      <x:c r="B541" s="13" t="n">
        <x:v>0</x:v>
      </x:c>
      <x:c r="C541" s="13" t="n">
        <x:v>0</x:v>
      </x:c>
      <x:c r="D541" s="16" t="n">
        <x:v>0</x:v>
      </x:c>
      <x:c r="E541" s="16" t="n">
        <x:v>0</x:v>
      </x:c>
      <x:c r="F541" s="16" t="n">
        <x:v>0</x:v>
      </x:c>
      <x:c r="G541" s="16" t="n">
        <x:v>0</x:v>
      </x:c>
      <x:c r="H541" s="16" t="n">
        <x:v>0</x:v>
      </x:c>
      <x:c r="I541" s="16" t="n">
        <x:v>1049597.2937869872</x:v>
      </x:c>
      <x:c r="J541" s="16" t="n">
        <x:v>1056008.5491581652</x:v>
      </x:c>
      <x:c r="K541" s="16" t="n">
        <x:v>-6411.255371178035</x:v>
      </x:c>
      <x:c r="L541" s="18" t="n">
        <x:v>-0.0060712154047323</x:v>
      </x:c>
      <x:c r="M541" s="18" t="n">
        <x:v>0</x:v>
      </x:c>
      <x:c r="O541" t="str">
        <x:v>2023-06-06</x:v>
      </x:c>
      <x:c r="P541" t="n">
        <x:v>1049597.2937869872</x:v>
      </x:c>
    </x:row>
    <x:row r="542" ht="15" hidden="0" customHeight="1">
      <x:c r="A542" s="13" t="str">
        <x:v>2023-06-07</x:v>
      </x:c>
      <x:c r="B542" s="13" t="n">
        <x:v>0</x:v>
      </x:c>
      <x:c r="C542" s="13" t="n">
        <x:v>0</x:v>
      </x:c>
      <x:c r="D542" s="16" t="n">
        <x:v>0</x:v>
      </x:c>
      <x:c r="E542" s="16" t="n">
        <x:v>0</x:v>
      </x:c>
      <x:c r="F542" s="16" t="n">
        <x:v>0</x:v>
      </x:c>
      <x:c r="G542" s="16" t="n">
        <x:v>0</x:v>
      </x:c>
      <x:c r="H542" s="16" t="n">
        <x:v>0</x:v>
      </x:c>
      <x:c r="I542" s="16" t="n">
        <x:v>1049597.2937869872</x:v>
      </x:c>
      <x:c r="J542" s="16" t="n">
        <x:v>1056008.5491581652</x:v>
      </x:c>
      <x:c r="K542" s="16" t="n">
        <x:v>-6411.255371178035</x:v>
      </x:c>
      <x:c r="L542" s="18" t="n">
        <x:v>-0.0060712154047323</x:v>
      </x:c>
      <x:c r="M542" s="18" t="n">
        <x:v>0</x:v>
      </x:c>
      <x:c r="O542" t="str">
        <x:v>2023-06-07</x:v>
      </x:c>
      <x:c r="P542" t="n">
        <x:v>1049597.2937869872</x:v>
      </x:c>
    </x:row>
    <x:row r="543" ht="15" hidden="0" customHeight="1">
      <x:c r="A543" s="13" t="str">
        <x:v>2023-06-08</x:v>
      </x:c>
      <x:c r="B543" s="13" t="n">
        <x:v>1</x:v>
      </x:c>
      <x:c r="C543" s="13" t="n">
        <x:v>7</x:v>
      </x:c>
      <x:c r="D543" s="16" t="n">
        <x:v>3150</x:v>
      </x:c>
      <x:c r="E543" s="16" t="n">
        <x:v>385.8632404101959</x:v>
      </x:c>
      <x:c r="F543" s="16" t="n">
        <x:v>2764.136759589804</x:v>
      </x:c>
      <x:c r="G543" s="16" t="n">
        <x:v>30345.29847351817</x:v>
      </x:c>
      <x:c r="H543" s="16" t="n">
        <x:v>314523.1705628823</x:v>
      </x:c>
      <x:c r="I543" s="16" t="n">
        <x:v>1052361.430546577</x:v>
      </x:c>
      <x:c r="J543" s="16" t="n">
        <x:v>1056008.5491581652</x:v>
      </x:c>
      <x:c r="K543" s="16" t="n">
        <x:v>-3647.118611588143</x:v>
      </x:c>
      <x:c r="L543" s="18" t="n">
        <x:v>-0.0034536828461242</x:v>
      </x:c>
      <x:c r="M543" s="18" t="n">
        <x:v>0.0026335212332881</x:v>
      </x:c>
      <x:c r="O543" t="str">
        <x:v>2023-06-08</x:v>
      </x:c>
      <x:c r="P543" t="n">
        <x:v>1052361.430546577</x:v>
      </x:c>
    </x:row>
    <x:row r="544" ht="15" hidden="0" customHeight="1">
      <x:c r="A544" s="13" t="str">
        <x:v>2023-06-09</x:v>
      </x:c>
      <x:c r="B544" s="13" t="n">
        <x:v>0</x:v>
      </x:c>
      <x:c r="C544" s="13" t="n">
        <x:v>0</x:v>
      </x:c>
      <x:c r="D544" s="16" t="n">
        <x:v>0</x:v>
      </x:c>
      <x:c r="E544" s="16" t="n">
        <x:v>0</x:v>
      </x:c>
      <x:c r="F544" s="16" t="n">
        <x:v>0</x:v>
      </x:c>
      <x:c r="G544" s="16" t="n">
        <x:v>0</x:v>
      </x:c>
      <x:c r="H544" s="16" t="n">
        <x:v>0</x:v>
      </x:c>
      <x:c r="I544" s="16" t="n">
        <x:v>1052361.430546577</x:v>
      </x:c>
      <x:c r="J544" s="16" t="n">
        <x:v>1056008.5491581652</x:v>
      </x:c>
      <x:c r="K544" s="16" t="n">
        <x:v>-3647.118611588143</x:v>
      </x:c>
      <x:c r="L544" s="18" t="n">
        <x:v>-0.0034536828461242</x:v>
      </x:c>
      <x:c r="M544" s="18" t="n">
        <x:v>0</x:v>
      </x:c>
      <x:c r="O544" t="str">
        <x:v>2023-06-09</x:v>
      </x:c>
      <x:c r="P544" t="n">
        <x:v>1052361.430546577</x:v>
      </x:c>
    </x:row>
    <x:row r="545" ht="15" hidden="0" customHeight="1">
      <x:c r="A545" s="13" t="str">
        <x:v>2023-06-12</x:v>
      </x:c>
      <x:c r="B545" s="13" t="n">
        <x:v>0</x:v>
      </x:c>
      <x:c r="C545" s="13" t="n">
        <x:v>0</x:v>
      </x:c>
      <x:c r="D545" s="16" t="n">
        <x:v>0</x:v>
      </x:c>
      <x:c r="E545" s="16" t="n">
        <x:v>0</x:v>
      </x:c>
      <x:c r="F545" s="16" t="n">
        <x:v>0</x:v>
      </x:c>
      <x:c r="G545" s="16" t="n">
        <x:v>0</x:v>
      </x:c>
      <x:c r="H545" s="16" t="n">
        <x:v>0</x:v>
      </x:c>
      <x:c r="I545" s="16" t="n">
        <x:v>1052361.430546577</x:v>
      </x:c>
      <x:c r="J545" s="16" t="n">
        <x:v>1056008.5491581652</x:v>
      </x:c>
      <x:c r="K545" s="16" t="n">
        <x:v>-3647.118611588143</x:v>
      </x:c>
      <x:c r="L545" s="18" t="n">
        <x:v>-0.0034536828461242</x:v>
      </x:c>
      <x:c r="M545" s="18" t="n">
        <x:v>0</x:v>
      </x:c>
      <x:c r="O545" t="str">
        <x:v>2023-06-12</x:v>
      </x:c>
      <x:c r="P545" t="n">
        <x:v>1052361.430546577</x:v>
      </x:c>
    </x:row>
    <x:row r="546" ht="15" hidden="0" customHeight="1">
      <x:c r="A546" s="13" t="str">
        <x:v>2023-06-13</x:v>
      </x:c>
      <x:c r="B546" s="13" t="n">
        <x:v>0</x:v>
      </x:c>
      <x:c r="C546" s="13" t="n">
        <x:v>0</x:v>
      </x:c>
      <x:c r="D546" s="16" t="n">
        <x:v>0</x:v>
      </x:c>
      <x:c r="E546" s="16" t="n">
        <x:v>0</x:v>
      </x:c>
      <x:c r="F546" s="16" t="n">
        <x:v>0</x:v>
      </x:c>
      <x:c r="G546" s="16" t="n">
        <x:v>0</x:v>
      </x:c>
      <x:c r="H546" s="16" t="n">
        <x:v>0</x:v>
      </x:c>
      <x:c r="I546" s="16" t="n">
        <x:v>1052361.430546577</x:v>
      </x:c>
      <x:c r="J546" s="16" t="n">
        <x:v>1056008.5491581652</x:v>
      </x:c>
      <x:c r="K546" s="16" t="n">
        <x:v>-3647.118611588143</x:v>
      </x:c>
      <x:c r="L546" s="18" t="n">
        <x:v>-0.0034536828461242</x:v>
      </x:c>
      <x:c r="M546" s="18" t="n">
        <x:v>0</x:v>
      </x:c>
      <x:c r="O546" t="str">
        <x:v>2023-06-13</x:v>
      </x:c>
      <x:c r="P546" t="n">
        <x:v>1052361.430546577</x:v>
      </x:c>
    </x:row>
    <x:row r="547" ht="15" hidden="0" customHeight="1">
      <x:c r="A547" s="13" t="str">
        <x:v>2023-06-14</x:v>
      </x:c>
      <x:c r="B547" s="13" t="n">
        <x:v>0</x:v>
      </x:c>
      <x:c r="C547" s="13" t="n">
        <x:v>0</x:v>
      </x:c>
      <x:c r="D547" s="16" t="n">
        <x:v>0</x:v>
      </x:c>
      <x:c r="E547" s="16" t="n">
        <x:v>0</x:v>
      </x:c>
      <x:c r="F547" s="16" t="n">
        <x:v>0</x:v>
      </x:c>
      <x:c r="G547" s="16" t="n">
        <x:v>0</x:v>
      </x:c>
      <x:c r="H547" s="16" t="n">
        <x:v>0</x:v>
      </x:c>
      <x:c r="I547" s="16" t="n">
        <x:v>1052361.430546577</x:v>
      </x:c>
      <x:c r="J547" s="16" t="n">
        <x:v>1056008.5491581652</x:v>
      </x:c>
      <x:c r="K547" s="16" t="n">
        <x:v>-3647.118611588143</x:v>
      </x:c>
      <x:c r="L547" s="18" t="n">
        <x:v>-0.0034536828461242</x:v>
      </x:c>
      <x:c r="M547" s="18" t="n">
        <x:v>0</x:v>
      </x:c>
      <x:c r="O547" t="str">
        <x:v>2023-06-14</x:v>
      </x:c>
      <x:c r="P547" t="n">
        <x:v>1052361.430546577</x:v>
      </x:c>
    </x:row>
    <x:row r="548" ht="15" hidden="0" customHeight="1">
      <x:c r="A548" s="13" t="str">
        <x:v>2023-06-15</x:v>
      </x:c>
      <x:c r="B548" s="13" t="n">
        <x:v>1</x:v>
      </x:c>
      <x:c r="C548" s="13" t="n">
        <x:v>8</x:v>
      </x:c>
      <x:c r="D548" s="16" t="n">
        <x:v>3159.999999999998</x:v>
      </x:c>
      <x:c r="E548" s="16" t="n">
        <x:v>423.1079038863329</x:v>
      </x:c>
      <x:c r="F548" s="16" t="n">
        <x:v>2736.892096113665</x:v>
      </x:c>
      <x:c r="G548" s="16" t="n">
        <x:v>42561.13839515216</x:v>
      </x:c>
      <x:c r="H548" s="16" t="n">
        <x:v>362092.6653508403</x:v>
      </x:c>
      <x:c r="I548" s="16" t="n">
        <x:v>1055098.3226426907</x:v>
      </x:c>
      <x:c r="J548" s="16" t="n">
        <x:v>1056008.5491581652</x:v>
      </x:c>
      <x:c r="K548" s="16" t="n">
        <x:v>-910.2265154744964</x:v>
      </x:c>
      <x:c r="L548" s="18" t="n">
        <x:v>-0.0008619499493637</x:v>
      </x:c>
      <x:c r="M548" s="18" t="n">
        <x:v>0.0026007149413411</x:v>
      </x:c>
      <x:c r="O548" t="str">
        <x:v>2023-06-15</x:v>
      </x:c>
      <x:c r="P548" t="n">
        <x:v>1055098.3226426907</x:v>
      </x:c>
    </x:row>
    <x:row r="549" ht="15" hidden="0" customHeight="1">
      <x:c r="A549" s="13" t="str">
        <x:v>2023-06-16</x:v>
      </x:c>
      <x:c r="B549" s="13" t="n">
        <x:v>0</x:v>
      </x:c>
      <x:c r="C549" s="13" t="n">
        <x:v>0</x:v>
      </x:c>
      <x:c r="D549" s="16" t="n">
        <x:v>0</x:v>
      </x:c>
      <x:c r="E549" s="16" t="n">
        <x:v>0</x:v>
      </x:c>
      <x:c r="F549" s="16" t="n">
        <x:v>0</x:v>
      </x:c>
      <x:c r="G549" s="16" t="n">
        <x:v>0</x:v>
      </x:c>
      <x:c r="H549" s="16" t="n">
        <x:v>0</x:v>
      </x:c>
      <x:c r="I549" s="16" t="n">
        <x:v>1055098.3226426907</x:v>
      </x:c>
      <x:c r="J549" s="16" t="n">
        <x:v>1056008.5491581652</x:v>
      </x:c>
      <x:c r="K549" s="16" t="n">
        <x:v>-910.2265154744964</x:v>
      </x:c>
      <x:c r="L549" s="18" t="n">
        <x:v>-0.0008619499493637</x:v>
      </x:c>
      <x:c r="M549" s="18" t="n">
        <x:v>0</x:v>
      </x:c>
      <x:c r="O549" t="str">
        <x:v>2023-06-16</x:v>
      </x:c>
      <x:c r="P549" t="n">
        <x:v>1055098.3226426907</x:v>
      </x:c>
    </x:row>
    <x:row r="550" ht="15" hidden="0" customHeight="1">
      <x:c r="A550" s="13" t="str">
        <x:v>2023-06-19</x:v>
      </x:c>
      <x:c r="B550" s="13" t="n">
        <x:v>0</x:v>
      </x:c>
      <x:c r="C550" s="13" t="n">
        <x:v>0</x:v>
      </x:c>
      <x:c r="D550" s="16" t="n">
        <x:v>0</x:v>
      </x:c>
      <x:c r="E550" s="16" t="n">
        <x:v>0</x:v>
      </x:c>
      <x:c r="F550" s="16" t="n">
        <x:v>0</x:v>
      </x:c>
      <x:c r="G550" s="16" t="n">
        <x:v>0</x:v>
      </x:c>
      <x:c r="H550" s="16" t="n">
        <x:v>0</x:v>
      </x:c>
      <x:c r="I550" s="16" t="n">
        <x:v>1055098.3226426907</x:v>
      </x:c>
      <x:c r="J550" s="16" t="n">
        <x:v>1056008.5491581652</x:v>
      </x:c>
      <x:c r="K550" s="16" t="n">
        <x:v>-910.2265154744964</x:v>
      </x:c>
      <x:c r="L550" s="18" t="n">
        <x:v>-0.0008619499493637</x:v>
      </x:c>
      <x:c r="M550" s="18" t="n">
        <x:v>0</x:v>
      </x:c>
      <x:c r="O550" t="str">
        <x:v>2023-06-19</x:v>
      </x:c>
      <x:c r="P550" t="n">
        <x:v>1055098.3226426907</x:v>
      </x:c>
    </x:row>
    <x:row r="551" ht="15" hidden="0" customHeight="1">
      <x:c r="A551" s="13" t="str">
        <x:v>2023-06-20</x:v>
      </x:c>
      <x:c r="B551" s="13" t="n">
        <x:v>0</x:v>
      </x:c>
      <x:c r="C551" s="13" t="n">
        <x:v>0</x:v>
      </x:c>
      <x:c r="D551" s="16" t="n">
        <x:v>0</x:v>
      </x:c>
      <x:c r="E551" s="16" t="n">
        <x:v>0</x:v>
      </x:c>
      <x:c r="F551" s="16" t="n">
        <x:v>0</x:v>
      </x:c>
      <x:c r="G551" s="16" t="n">
        <x:v>0</x:v>
      </x:c>
      <x:c r="H551" s="16" t="n">
        <x:v>0</x:v>
      </x:c>
      <x:c r="I551" s="16" t="n">
        <x:v>1055098.3226426907</x:v>
      </x:c>
      <x:c r="J551" s="16" t="n">
        <x:v>1056008.5491581652</x:v>
      </x:c>
      <x:c r="K551" s="16" t="n">
        <x:v>-910.2265154744964</x:v>
      </x:c>
      <x:c r="L551" s="18" t="n">
        <x:v>-0.0008619499493637</x:v>
      </x:c>
      <x:c r="M551" s="18" t="n">
        <x:v>0</x:v>
      </x:c>
      <x:c r="O551" t="str">
        <x:v>2023-06-20</x:v>
      </x:c>
      <x:c r="P551" t="n">
        <x:v>1055098.3226426907</x:v>
      </x:c>
    </x:row>
    <x:row r="552" ht="15" hidden="0" customHeight="1">
      <x:c r="A552" s="13" t="str">
        <x:v>2023-06-21</x:v>
      </x:c>
      <x:c r="B552" s="13" t="n">
        <x:v>0</x:v>
      </x:c>
      <x:c r="C552" s="13" t="n">
        <x:v>0</x:v>
      </x:c>
      <x:c r="D552" s="16" t="n">
        <x:v>0</x:v>
      </x:c>
      <x:c r="E552" s="16" t="n">
        <x:v>0</x:v>
      </x:c>
      <x:c r="F552" s="16" t="n">
        <x:v>0</x:v>
      </x:c>
      <x:c r="G552" s="16" t="n">
        <x:v>0</x:v>
      </x:c>
      <x:c r="H552" s="16" t="n">
        <x:v>0</x:v>
      </x:c>
      <x:c r="I552" s="16" t="n">
        <x:v>1055098.3226426907</x:v>
      </x:c>
      <x:c r="J552" s="16" t="n">
        <x:v>1056008.5491581652</x:v>
      </x:c>
      <x:c r="K552" s="16" t="n">
        <x:v>-910.2265154744964</x:v>
      </x:c>
      <x:c r="L552" s="18" t="n">
        <x:v>-0.0008619499493637</x:v>
      </x:c>
      <x:c r="M552" s="18" t="n">
        <x:v>0</x:v>
      </x:c>
      <x:c r="O552" t="str">
        <x:v>2023-06-21</x:v>
      </x:c>
      <x:c r="P552" t="n">
        <x:v>1055098.3226426907</x:v>
      </x:c>
    </x:row>
    <x:row r="553" ht="15" hidden="0" customHeight="1">
      <x:c r="A553" s="13" t="str">
        <x:v>2023-06-22</x:v>
      </x:c>
      <x:c r="B553" s="13" t="n">
        <x:v>1</x:v>
      </x:c>
      <x:c r="C553" s="13" t="n">
        <x:v>8</x:v>
      </x:c>
      <x:c r="D553" s="16" t="n">
        <x:v>3160.0000000000014</x:v>
      </x:c>
      <x:c r="E553" s="16" t="n">
        <x:v>424.8205519968781</x:v>
      </x:c>
      <x:c r="F553" s="16" t="n">
        <x:v>2735.179448003123</x:v>
      </x:c>
      <x:c r="G553" s="16" t="n">
        <x:v>46159.547328534565</x:v>
      </x:c>
      <x:c r="H553" s="16" t="n">
        <x:v>366692.60195573285</x:v>
      </x:c>
      <x:c r="I553" s="16" t="n">
        <x:v>1057833.502090694</x:v>
      </x:c>
      <x:c r="J553" s="16" t="n">
        <x:v>1057833.502090694</x:v>
      </x:c>
      <x:c r="K553" s="16" t="n">
        <x:v>0</x:v>
      </x:c>
      <x:c r="L553" s="18" t="n">
        <x:v>0</x:v>
      </x:c>
      <x:c r="M553" s="18" t="n">
        <x:v>0.0025923455561491</x:v>
      </x:c>
      <x:c r="O553" t="str">
        <x:v>2023-06-22</x:v>
      </x:c>
      <x:c r="P553" t="n">
        <x:v>1057833.502090694</x:v>
      </x:c>
    </x:row>
    <x:row r="554" ht="15" hidden="0" customHeight="1">
      <x:c r="A554" s="13" t="str">
        <x:v>2023-06-23</x:v>
      </x:c>
      <x:c r="B554" s="13" t="n">
        <x:v>0</x:v>
      </x:c>
      <x:c r="C554" s="13" t="n">
        <x:v>0</x:v>
      </x:c>
      <x:c r="D554" s="16" t="n">
        <x:v>0</x:v>
      </x:c>
      <x:c r="E554" s="16" t="n">
        <x:v>0</x:v>
      </x:c>
      <x:c r="F554" s="16" t="n">
        <x:v>0</x:v>
      </x:c>
      <x:c r="G554" s="16" t="n">
        <x:v>0</x:v>
      </x:c>
      <x:c r="H554" s="16" t="n">
        <x:v>0</x:v>
      </x:c>
      <x:c r="I554" s="16" t="n">
        <x:v>1057833.502090694</x:v>
      </x:c>
      <x:c r="J554" s="16" t="n">
        <x:v>1057833.502090694</x:v>
      </x:c>
      <x:c r="K554" s="16" t="n">
        <x:v>0</x:v>
      </x:c>
      <x:c r="L554" s="18" t="n">
        <x:v>0</x:v>
      </x:c>
      <x:c r="M554" s="18" t="n">
        <x:v>0</x:v>
      </x:c>
      <x:c r="O554" t="str">
        <x:v>2023-06-23</x:v>
      </x:c>
      <x:c r="P554" t="n">
        <x:v>1057833.502090694</x:v>
      </x:c>
    </x:row>
    <x:row r="555" ht="15" hidden="0" customHeight="1">
      <x:c r="A555" s="13" t="str">
        <x:v>2023-06-26</x:v>
      </x:c>
      <x:c r="B555" s="13" t="n">
        <x:v>0</x:v>
      </x:c>
      <x:c r="C555" s="13" t="n">
        <x:v>0</x:v>
      </x:c>
      <x:c r="D555" s="16" t="n">
        <x:v>0</x:v>
      </x:c>
      <x:c r="E555" s="16" t="n">
        <x:v>0</x:v>
      </x:c>
      <x:c r="F555" s="16" t="n">
        <x:v>0</x:v>
      </x:c>
      <x:c r="G555" s="16" t="n">
        <x:v>0</x:v>
      </x:c>
      <x:c r="H555" s="16" t="n">
        <x:v>0</x:v>
      </x:c>
      <x:c r="I555" s="16" t="n">
        <x:v>1057833.502090694</x:v>
      </x:c>
      <x:c r="J555" s="16" t="n">
        <x:v>1057833.502090694</x:v>
      </x:c>
      <x:c r="K555" s="16" t="n">
        <x:v>0</x:v>
      </x:c>
      <x:c r="L555" s="18" t="n">
        <x:v>0</x:v>
      </x:c>
      <x:c r="M555" s="18" t="n">
        <x:v>0</x:v>
      </x:c>
      <x:c r="O555" t="str">
        <x:v>2023-06-26</x:v>
      </x:c>
      <x:c r="P555" t="n">
        <x:v>1057833.502090694</x:v>
      </x:c>
    </x:row>
    <x:row r="556" ht="15" hidden="0" customHeight="1">
      <x:c r="A556" s="13" t="str">
        <x:v>2023-06-27</x:v>
      </x:c>
      <x:c r="B556" s="13" t="n">
        <x:v>0</x:v>
      </x:c>
      <x:c r="C556" s="13" t="n">
        <x:v>0</x:v>
      </x:c>
      <x:c r="D556" s="16" t="n">
        <x:v>0</x:v>
      </x:c>
      <x:c r="E556" s="16" t="n">
        <x:v>0</x:v>
      </x:c>
      <x:c r="F556" s="16" t="n">
        <x:v>0</x:v>
      </x:c>
      <x:c r="G556" s="16" t="n">
        <x:v>0</x:v>
      </x:c>
      <x:c r="H556" s="16" t="n">
        <x:v>0</x:v>
      </x:c>
      <x:c r="I556" s="16" t="n">
        <x:v>1057833.502090694</x:v>
      </x:c>
      <x:c r="J556" s="16" t="n">
        <x:v>1057833.502090694</x:v>
      </x:c>
      <x:c r="K556" s="16" t="n">
        <x:v>0</x:v>
      </x:c>
      <x:c r="L556" s="18" t="n">
        <x:v>0</x:v>
      </x:c>
      <x:c r="M556" s="18" t="n">
        <x:v>0</x:v>
      </x:c>
      <x:c r="O556" t="str">
        <x:v>2023-06-27</x:v>
      </x:c>
      <x:c r="P556" t="n">
        <x:v>1057833.502090694</x:v>
      </x:c>
    </x:row>
    <x:row r="557" ht="15" hidden="0" customHeight="1">
      <x:c r="A557" s="13" t="str">
        <x:v>2023-06-28</x:v>
      </x:c>
      <x:c r="B557" s="13" t="n">
        <x:v>0</x:v>
      </x:c>
      <x:c r="C557" s="13" t="n">
        <x:v>0</x:v>
      </x:c>
      <x:c r="D557" s="16" t="n">
        <x:v>0</x:v>
      </x:c>
      <x:c r="E557" s="16" t="n">
        <x:v>0</x:v>
      </x:c>
      <x:c r="F557" s="16" t="n">
        <x:v>0</x:v>
      </x:c>
      <x:c r="G557" s="16" t="n">
        <x:v>0</x:v>
      </x:c>
      <x:c r="H557" s="16" t="n">
        <x:v>0</x:v>
      </x:c>
      <x:c r="I557" s="16" t="n">
        <x:v>1057833.502090694</x:v>
      </x:c>
      <x:c r="J557" s="16" t="n">
        <x:v>1057833.502090694</x:v>
      </x:c>
      <x:c r="K557" s="16" t="n">
        <x:v>0</x:v>
      </x:c>
      <x:c r="L557" s="18" t="n">
        <x:v>0</x:v>
      </x:c>
      <x:c r="M557" s="18" t="n">
        <x:v>0</x:v>
      </x:c>
      <x:c r="O557" t="str">
        <x:v>2023-06-28</x:v>
      </x:c>
      <x:c r="P557" t="n">
        <x:v>1057833.502090694</x:v>
      </x:c>
    </x:row>
    <x:row r="558" ht="15" hidden="0" customHeight="1">
      <x:c r="A558" s="13" t="str">
        <x:v>2023-06-29</x:v>
      </x:c>
      <x:c r="B558" s="13" t="n">
        <x:v>0</x:v>
      </x:c>
      <x:c r="C558" s="13" t="n">
        <x:v>0</x:v>
      </x:c>
      <x:c r="D558" s="16" t="n">
        <x:v>0</x:v>
      </x:c>
      <x:c r="E558" s="16" t="n">
        <x:v>0</x:v>
      </x:c>
      <x:c r="F558" s="16" t="n">
        <x:v>0</x:v>
      </x:c>
      <x:c r="G558" s="16" t="n">
        <x:v>0</x:v>
      </x:c>
      <x:c r="H558" s="16" t="n">
        <x:v>0</x:v>
      </x:c>
      <x:c r="I558" s="16" t="n">
        <x:v>1057833.502090694</x:v>
      </x:c>
      <x:c r="J558" s="16" t="n">
        <x:v>1057833.502090694</x:v>
      </x:c>
      <x:c r="K558" s="16" t="n">
        <x:v>0</x:v>
      </x:c>
      <x:c r="L558" s="18" t="n">
        <x:v>0</x:v>
      </x:c>
      <x:c r="M558" s="18" t="n">
        <x:v>0</x:v>
      </x:c>
      <x:c r="O558" t="str">
        <x:v>2023-06-29</x:v>
      </x:c>
      <x:c r="P558" t="n">
        <x:v>1057833.502090694</x:v>
      </x:c>
    </x:row>
    <x:row r="559" ht="15" hidden="0" customHeight="1">
      <x:c r="A559" s="13" t="str">
        <x:v>2023-06-30</x:v>
      </x:c>
      <x:c r="B559" s="13" t="n">
        <x:v>0</x:v>
      </x:c>
      <x:c r="C559" s="13" t="n">
        <x:v>0</x:v>
      </x:c>
      <x:c r="D559" s="16" t="n">
        <x:v>0</x:v>
      </x:c>
      <x:c r="E559" s="16" t="n">
        <x:v>0</x:v>
      </x:c>
      <x:c r="F559" s="16" t="n">
        <x:v>0</x:v>
      </x:c>
      <x:c r="G559" s="16" t="n">
        <x:v>0</x:v>
      </x:c>
      <x:c r="H559" s="16" t="n">
        <x:v>0</x:v>
      </x:c>
      <x:c r="I559" s="16" t="n">
        <x:v>1057833.502090694</x:v>
      </x:c>
      <x:c r="J559" s="16" t="n">
        <x:v>1057833.502090694</x:v>
      </x:c>
      <x:c r="K559" s="16" t="n">
        <x:v>0</x:v>
      </x:c>
      <x:c r="L559" s="18" t="n">
        <x:v>0</x:v>
      </x:c>
      <x:c r="M559" s="18" t="n">
        <x:v>0</x:v>
      </x:c>
      <x:c r="O559" t="str">
        <x:v>2023-06-30</x:v>
      </x:c>
      <x:c r="P559" t="n">
        <x:v>1057833.502090694</x:v>
      </x:c>
    </x:row>
    <x:row r="560" ht="15" hidden="0" customHeight="1">
      <x:c r="A560" s="13" t="str">
        <x:v>2023-07-03</x:v>
      </x:c>
      <x:c r="B560" s="13" t="n">
        <x:v>0</x:v>
      </x:c>
      <x:c r="C560" s="13" t="n">
        <x:v>0</x:v>
      </x:c>
      <x:c r="D560" s="16" t="n">
        <x:v>0</x:v>
      </x:c>
      <x:c r="E560" s="16" t="n">
        <x:v>0</x:v>
      </x:c>
      <x:c r="F560" s="16" t="n">
        <x:v>0</x:v>
      </x:c>
      <x:c r="G560" s="16" t="n">
        <x:v>0</x:v>
      </x:c>
      <x:c r="H560" s="16" t="n">
        <x:v>0</x:v>
      </x:c>
      <x:c r="I560" s="16" t="n">
        <x:v>1057833.502090694</x:v>
      </x:c>
      <x:c r="J560" s="16" t="n">
        <x:v>1057833.502090694</x:v>
      </x:c>
      <x:c r="K560" s="16" t="n">
        <x:v>0</x:v>
      </x:c>
      <x:c r="L560" s="18" t="n">
        <x:v>0</x:v>
      </x:c>
      <x:c r="M560" s="18" t="n">
        <x:v>0</x:v>
      </x:c>
      <x:c r="O560" t="str">
        <x:v>2023-07-03</x:v>
      </x:c>
      <x:c r="P560" t="n">
        <x:v>1057833.502090694</x:v>
      </x:c>
    </x:row>
    <x:row r="561" ht="15" hidden="0" customHeight="1">
      <x:c r="A561" s="13" t="str">
        <x:v>2023-07-04</x:v>
      </x:c>
      <x:c r="B561" s="13" t="n">
        <x:v>0</x:v>
      </x:c>
      <x:c r="C561" s="13" t="n">
        <x:v>0</x:v>
      </x:c>
      <x:c r="D561" s="16" t="n">
        <x:v>0</x:v>
      </x:c>
      <x:c r="E561" s="16" t="n">
        <x:v>0</x:v>
      </x:c>
      <x:c r="F561" s="16" t="n">
        <x:v>0</x:v>
      </x:c>
      <x:c r="G561" s="16" t="n">
        <x:v>0</x:v>
      </x:c>
      <x:c r="H561" s="16" t="n">
        <x:v>0</x:v>
      </x:c>
      <x:c r="I561" s="16" t="n">
        <x:v>1057833.502090694</x:v>
      </x:c>
      <x:c r="J561" s="16" t="n">
        <x:v>1057833.502090694</x:v>
      </x:c>
      <x:c r="K561" s="16" t="n">
        <x:v>0</x:v>
      </x:c>
      <x:c r="L561" s="18" t="n">
        <x:v>0</x:v>
      </x:c>
      <x:c r="M561" s="18" t="n">
        <x:v>0</x:v>
      </x:c>
      <x:c r="O561" t="str">
        <x:v>2023-07-04</x:v>
      </x:c>
      <x:c r="P561" t="n">
        <x:v>1057833.502090694</x:v>
      </x:c>
    </x:row>
    <x:row r="562" ht="15" hidden="0" customHeight="1">
      <x:c r="A562" s="13" t="str">
        <x:v>2023-07-05</x:v>
      </x:c>
      <x:c r="B562" s="13" t="n">
        <x:v>0</x:v>
      </x:c>
      <x:c r="C562" s="13" t="n">
        <x:v>0</x:v>
      </x:c>
      <x:c r="D562" s="16" t="n">
        <x:v>0</x:v>
      </x:c>
      <x:c r="E562" s="16" t="n">
        <x:v>0</x:v>
      </x:c>
      <x:c r="F562" s="16" t="n">
        <x:v>0</x:v>
      </x:c>
      <x:c r="G562" s="16" t="n">
        <x:v>0</x:v>
      </x:c>
      <x:c r="H562" s="16" t="n">
        <x:v>0</x:v>
      </x:c>
      <x:c r="I562" s="16" t="n">
        <x:v>1057833.502090694</x:v>
      </x:c>
      <x:c r="J562" s="16" t="n">
        <x:v>1057833.502090694</x:v>
      </x:c>
      <x:c r="K562" s="16" t="n">
        <x:v>0</x:v>
      </x:c>
      <x:c r="L562" s="18" t="n">
        <x:v>0</x:v>
      </x:c>
      <x:c r="M562" s="18" t="n">
        <x:v>0</x:v>
      </x:c>
      <x:c r="O562" t="str">
        <x:v>2023-07-05</x:v>
      </x:c>
      <x:c r="P562" t="n">
        <x:v>1057833.502090694</x:v>
      </x:c>
    </x:row>
    <x:row r="563" ht="15" hidden="0" customHeight="1">
      <x:c r="A563" s="13" t="str">
        <x:v>2023-07-06</x:v>
      </x:c>
      <x:c r="B563" s="13" t="n">
        <x:v>0</x:v>
      </x:c>
      <x:c r="C563" s="13" t="n">
        <x:v>0</x:v>
      </x:c>
      <x:c r="D563" s="16" t="n">
        <x:v>0</x:v>
      </x:c>
      <x:c r="E563" s="16" t="n">
        <x:v>0</x:v>
      </x:c>
      <x:c r="F563" s="16" t="n">
        <x:v>0</x:v>
      </x:c>
      <x:c r="G563" s="16" t="n">
        <x:v>0</x:v>
      </x:c>
      <x:c r="H563" s="16" t="n">
        <x:v>0</x:v>
      </x:c>
      <x:c r="I563" s="16" t="n">
        <x:v>1057833.502090694</x:v>
      </x:c>
      <x:c r="J563" s="16" t="n">
        <x:v>1057833.502090694</x:v>
      </x:c>
      <x:c r="K563" s="16" t="n">
        <x:v>0</x:v>
      </x:c>
      <x:c r="L563" s="18" t="n">
        <x:v>0</x:v>
      </x:c>
      <x:c r="M563" s="18" t="n">
        <x:v>0</x:v>
      </x:c>
      <x:c r="O563" t="str">
        <x:v>2023-07-06</x:v>
      </x:c>
      <x:c r="P563" t="n">
        <x:v>1057833.502090694</x:v>
      </x:c>
    </x:row>
    <x:row r="564" ht="15" hidden="0" customHeight="1">
      <x:c r="A564" s="13" t="str">
        <x:v>2023-07-07</x:v>
      </x:c>
      <x:c r="B564" s="13" t="n">
        <x:v>0</x:v>
      </x:c>
      <x:c r="C564" s="13" t="n">
        <x:v>0</x:v>
      </x:c>
      <x:c r="D564" s="16" t="n">
        <x:v>0</x:v>
      </x:c>
      <x:c r="E564" s="16" t="n">
        <x:v>0</x:v>
      </x:c>
      <x:c r="F564" s="16" t="n">
        <x:v>0</x:v>
      </x:c>
      <x:c r="G564" s="16" t="n">
        <x:v>0</x:v>
      </x:c>
      <x:c r="H564" s="16" t="n">
        <x:v>0</x:v>
      </x:c>
      <x:c r="I564" s="16" t="n">
        <x:v>1057833.502090694</x:v>
      </x:c>
      <x:c r="J564" s="16" t="n">
        <x:v>1057833.502090694</x:v>
      </x:c>
      <x:c r="K564" s="16" t="n">
        <x:v>0</x:v>
      </x:c>
      <x:c r="L564" s="18" t="n">
        <x:v>0</x:v>
      </x:c>
      <x:c r="M564" s="18" t="n">
        <x:v>0</x:v>
      </x:c>
      <x:c r="O564" t="str">
        <x:v>2023-07-07</x:v>
      </x:c>
      <x:c r="P564" t="n">
        <x:v>1057833.502090694</x:v>
      </x:c>
    </x:row>
    <x:row r="565" ht="15" hidden="0" customHeight="1">
      <x:c r="A565" s="13" t="str">
        <x:v>2023-07-10</x:v>
      </x:c>
      <x:c r="B565" s="13" t="n">
        <x:v>0</x:v>
      </x:c>
      <x:c r="C565" s="13" t="n">
        <x:v>0</x:v>
      </x:c>
      <x:c r="D565" s="16" t="n">
        <x:v>0</x:v>
      </x:c>
      <x:c r="E565" s="16" t="n">
        <x:v>0</x:v>
      </x:c>
      <x:c r="F565" s="16" t="n">
        <x:v>0</x:v>
      </x:c>
      <x:c r="G565" s="16" t="n">
        <x:v>0</x:v>
      </x:c>
      <x:c r="H565" s="16" t="n">
        <x:v>0</x:v>
      </x:c>
      <x:c r="I565" s="16" t="n">
        <x:v>1057833.502090694</x:v>
      </x:c>
      <x:c r="J565" s="16" t="n">
        <x:v>1057833.502090694</x:v>
      </x:c>
      <x:c r="K565" s="16" t="n">
        <x:v>0</x:v>
      </x:c>
      <x:c r="L565" s="18" t="n">
        <x:v>0</x:v>
      </x:c>
      <x:c r="M565" s="18" t="n">
        <x:v>0</x:v>
      </x:c>
      <x:c r="O565" t="str">
        <x:v>2023-07-10</x:v>
      </x:c>
      <x:c r="P565" t="n">
        <x:v>1057833.502090694</x:v>
      </x:c>
    </x:row>
    <x:row r="566" ht="15" hidden="0" customHeight="1">
      <x:c r="A566" s="13" t="str">
        <x:v>2023-07-11</x:v>
      </x:c>
      <x:c r="B566" s="13" t="n">
        <x:v>0</x:v>
      </x:c>
      <x:c r="C566" s="13" t="n">
        <x:v>0</x:v>
      </x:c>
      <x:c r="D566" s="16" t="n">
        <x:v>0</x:v>
      </x:c>
      <x:c r="E566" s="16" t="n">
        <x:v>0</x:v>
      </x:c>
      <x:c r="F566" s="16" t="n">
        <x:v>0</x:v>
      </x:c>
      <x:c r="G566" s="16" t="n">
        <x:v>0</x:v>
      </x:c>
      <x:c r="H566" s="16" t="n">
        <x:v>0</x:v>
      </x:c>
      <x:c r="I566" s="16" t="n">
        <x:v>1057833.502090694</x:v>
      </x:c>
      <x:c r="J566" s="16" t="n">
        <x:v>1057833.502090694</x:v>
      </x:c>
      <x:c r="K566" s="16" t="n">
        <x:v>0</x:v>
      </x:c>
      <x:c r="L566" s="18" t="n">
        <x:v>0</x:v>
      </x:c>
      <x:c r="M566" s="18" t="n">
        <x:v>0</x:v>
      </x:c>
      <x:c r="O566" t="str">
        <x:v>2023-07-11</x:v>
      </x:c>
      <x:c r="P566" t="n">
        <x:v>1057833.502090694</x:v>
      </x:c>
    </x:row>
    <x:row r="567" ht="15" hidden="0" customHeight="1">
      <x:c r="A567" s="13" t="str">
        <x:v>2023-07-12</x:v>
      </x:c>
      <x:c r="B567" s="13" t="n">
        <x:v>0</x:v>
      </x:c>
      <x:c r="C567" s="13" t="n">
        <x:v>0</x:v>
      </x:c>
      <x:c r="D567" s="16" t="n">
        <x:v>0</x:v>
      </x:c>
      <x:c r="E567" s="16" t="n">
        <x:v>0</x:v>
      </x:c>
      <x:c r="F567" s="16" t="n">
        <x:v>0</x:v>
      </x:c>
      <x:c r="G567" s="16" t="n">
        <x:v>0</x:v>
      </x:c>
      <x:c r="H567" s="16" t="n">
        <x:v>0</x:v>
      </x:c>
      <x:c r="I567" s="16" t="n">
        <x:v>1057833.502090694</x:v>
      </x:c>
      <x:c r="J567" s="16" t="n">
        <x:v>1057833.502090694</x:v>
      </x:c>
      <x:c r="K567" s="16" t="n">
        <x:v>0</x:v>
      </x:c>
      <x:c r="L567" s="18" t="n">
        <x:v>0</x:v>
      </x:c>
      <x:c r="M567" s="18" t="n">
        <x:v>0</x:v>
      </x:c>
      <x:c r="O567" t="str">
        <x:v>2023-07-12</x:v>
      </x:c>
      <x:c r="P567" t="n">
        <x:v>1057833.502090694</x:v>
      </x:c>
    </x:row>
    <x:row r="568" ht="15" hidden="0" customHeight="1">
      <x:c r="A568" s="13" t="str">
        <x:v>2023-07-13</x:v>
      </x:c>
      <x:c r="B568" s="13" t="n">
        <x:v>1</x:v>
      </x:c>
      <x:c r="C568" s="13" t="n">
        <x:v>7</x:v>
      </x:c>
      <x:c r="D568" s="16" t="n">
        <x:v>1032.500000000001</x:v>
      </x:c>
      <x:c r="E568" s="16" t="n">
        <x:v>397.2597063648527</x:v>
      </x:c>
      <x:c r="F568" s="16" t="n">
        <x:v>635.240293635148</x:v>
      </x:c>
      <x:c r="G568" s="16" t="n">
        <x:v>46462.297149017984</x:v>
      </x:c>
      <x:c r="H568" s="16" t="n">
        <x:v>327368.8239071281</x:v>
      </x:c>
      <x:c r="I568" s="16" t="n">
        <x:v>1058468.742384329</x:v>
      </x:c>
      <x:c r="J568" s="16" t="n">
        <x:v>1058468.742384329</x:v>
      </x:c>
      <x:c r="K568" s="16" t="n">
        <x:v>0</x:v>
      </x:c>
      <x:c r="L568" s="18" t="n">
        <x:v>0</x:v>
      </x:c>
      <x:c r="M568" s="18" t="n">
        <x:v>0.0006005106591724</x:v>
      </x:c>
      <x:c r="O568" t="str">
        <x:v>2023-07-13</x:v>
      </x:c>
      <x:c r="P568" t="n">
        <x:v>1058468.742384329</x:v>
      </x:c>
    </x:row>
    <x:row r="569" ht="15" hidden="0" customHeight="1">
      <x:c r="A569" s="13" t="str">
        <x:v>2023-07-14</x:v>
      </x:c>
      <x:c r="B569" s="13" t="n">
        <x:v>0</x:v>
      </x:c>
      <x:c r="C569" s="13" t="n">
        <x:v>0</x:v>
      </x:c>
      <x:c r="D569" s="16" t="n">
        <x:v>0</x:v>
      </x:c>
      <x:c r="E569" s="16" t="n">
        <x:v>0</x:v>
      </x:c>
      <x:c r="F569" s="16" t="n">
        <x:v>0</x:v>
      </x:c>
      <x:c r="G569" s="16" t="n">
        <x:v>0</x:v>
      </x:c>
      <x:c r="H569" s="16" t="n">
        <x:v>0</x:v>
      </x:c>
      <x:c r="I569" s="16" t="n">
        <x:v>1058468.742384329</x:v>
      </x:c>
      <x:c r="J569" s="16" t="n">
        <x:v>1058468.742384329</x:v>
      </x:c>
      <x:c r="K569" s="16" t="n">
        <x:v>0</x:v>
      </x:c>
      <x:c r="L569" s="18" t="n">
        <x:v>0</x:v>
      </x:c>
      <x:c r="M569" s="18" t="n">
        <x:v>0</x:v>
      </x:c>
      <x:c r="O569" t="str">
        <x:v>2023-07-14</x:v>
      </x:c>
      <x:c r="P569" t="n">
        <x:v>1058468.742384329</x:v>
      </x:c>
    </x:row>
    <x:row r="570" ht="15" hidden="0" customHeight="1">
      <x:c r="A570" s="13" t="str">
        <x:v>2023-07-17</x:v>
      </x:c>
      <x:c r="B570" s="13" t="n">
        <x:v>0</x:v>
      </x:c>
      <x:c r="C570" s="13" t="n">
        <x:v>0</x:v>
      </x:c>
      <x:c r="D570" s="16" t="n">
        <x:v>0</x:v>
      </x:c>
      <x:c r="E570" s="16" t="n">
        <x:v>0</x:v>
      </x:c>
      <x:c r="F570" s="16" t="n">
        <x:v>0</x:v>
      </x:c>
      <x:c r="G570" s="16" t="n">
        <x:v>0</x:v>
      </x:c>
      <x:c r="H570" s="16" t="n">
        <x:v>0</x:v>
      </x:c>
      <x:c r="I570" s="16" t="n">
        <x:v>1058468.742384329</x:v>
      </x:c>
      <x:c r="J570" s="16" t="n">
        <x:v>1058468.742384329</x:v>
      </x:c>
      <x:c r="K570" s="16" t="n">
        <x:v>0</x:v>
      </x:c>
      <x:c r="L570" s="18" t="n">
        <x:v>0</x:v>
      </x:c>
      <x:c r="M570" s="18" t="n">
        <x:v>0</x:v>
      </x:c>
      <x:c r="O570" t="str">
        <x:v>2023-07-17</x:v>
      </x:c>
      <x:c r="P570" t="n">
        <x:v>1058468.742384329</x:v>
      </x:c>
    </x:row>
    <x:row r="571" ht="15" hidden="0" customHeight="1">
      <x:c r="A571" s="13" t="str">
        <x:v>2023-07-18</x:v>
      </x:c>
      <x:c r="B571" s="13" t="n">
        <x:v>0</x:v>
      </x:c>
      <x:c r="C571" s="13" t="n">
        <x:v>0</x:v>
      </x:c>
      <x:c r="D571" s="16" t="n">
        <x:v>0</x:v>
      </x:c>
      <x:c r="E571" s="16" t="n">
        <x:v>0</x:v>
      </x:c>
      <x:c r="F571" s="16" t="n">
        <x:v>0</x:v>
      </x:c>
      <x:c r="G571" s="16" t="n">
        <x:v>0</x:v>
      </x:c>
      <x:c r="H571" s="16" t="n">
        <x:v>0</x:v>
      </x:c>
      <x:c r="I571" s="16" t="n">
        <x:v>1058468.742384329</x:v>
      </x:c>
      <x:c r="J571" s="16" t="n">
        <x:v>1058468.742384329</x:v>
      </x:c>
      <x:c r="K571" s="16" t="n">
        <x:v>0</x:v>
      </x:c>
      <x:c r="L571" s="18" t="n">
        <x:v>0</x:v>
      </x:c>
      <x:c r="M571" s="18" t="n">
        <x:v>0</x:v>
      </x:c>
      <x:c r="O571" t="str">
        <x:v>2023-07-18</x:v>
      </x:c>
      <x:c r="P571" t="n">
        <x:v>1058468.742384329</x:v>
      </x:c>
    </x:row>
    <x:row r="572" ht="15" hidden="0" customHeight="1">
      <x:c r="A572" s="13" t="str">
        <x:v>2023-07-19</x:v>
      </x:c>
      <x:c r="B572" s="13" t="n">
        <x:v>0</x:v>
      </x:c>
      <x:c r="C572" s="13" t="n">
        <x:v>0</x:v>
      </x:c>
      <x:c r="D572" s="16" t="n">
        <x:v>0</x:v>
      </x:c>
      <x:c r="E572" s="16" t="n">
        <x:v>0</x:v>
      </x:c>
      <x:c r="F572" s="16" t="n">
        <x:v>0</x:v>
      </x:c>
      <x:c r="G572" s="16" t="n">
        <x:v>0</x:v>
      </x:c>
      <x:c r="H572" s="16" t="n">
        <x:v>0</x:v>
      </x:c>
      <x:c r="I572" s="16" t="n">
        <x:v>1058468.742384329</x:v>
      </x:c>
      <x:c r="J572" s="16" t="n">
        <x:v>1058468.742384329</x:v>
      </x:c>
      <x:c r="K572" s="16" t="n">
        <x:v>0</x:v>
      </x:c>
      <x:c r="L572" s="18" t="n">
        <x:v>0</x:v>
      </x:c>
      <x:c r="M572" s="18" t="n">
        <x:v>0</x:v>
      </x:c>
      <x:c r="O572" t="str">
        <x:v>2023-07-19</x:v>
      </x:c>
      <x:c r="P572" t="n">
        <x:v>1058468.742384329</x:v>
      </x:c>
    </x:row>
    <x:row r="573" ht="15" hidden="0" customHeight="1">
      <x:c r="A573" s="13" t="str">
        <x:v>2023-07-20</x:v>
      </x:c>
      <x:c r="B573" s="13" t="n">
        <x:v>0</x:v>
      </x:c>
      <x:c r="C573" s="13" t="n">
        <x:v>0</x:v>
      </x:c>
      <x:c r="D573" s="16" t="n">
        <x:v>0</x:v>
      </x:c>
      <x:c r="E573" s="16" t="n">
        <x:v>0</x:v>
      </x:c>
      <x:c r="F573" s="16" t="n">
        <x:v>0</x:v>
      </x:c>
      <x:c r="G573" s="16" t="n">
        <x:v>0</x:v>
      </x:c>
      <x:c r="H573" s="16" t="n">
        <x:v>0</x:v>
      </x:c>
      <x:c r="I573" s="16" t="n">
        <x:v>1058468.742384329</x:v>
      </x:c>
      <x:c r="J573" s="16" t="n">
        <x:v>1058468.742384329</x:v>
      </x:c>
      <x:c r="K573" s="16" t="n">
        <x:v>0</x:v>
      </x:c>
      <x:c r="L573" s="18" t="n">
        <x:v>0</x:v>
      </x:c>
      <x:c r="M573" s="18" t="n">
        <x:v>0</x:v>
      </x:c>
      <x:c r="O573" t="str">
        <x:v>2023-07-20</x:v>
      </x:c>
      <x:c r="P573" t="n">
        <x:v>1058468.742384329</x:v>
      </x:c>
    </x:row>
    <x:row r="574" ht="15" hidden="0" customHeight="1">
      <x:c r="A574" s="13" t="str">
        <x:v>2023-07-21</x:v>
      </x:c>
      <x:c r="B574" s="13" t="n">
        <x:v>0</x:v>
      </x:c>
      <x:c r="C574" s="13" t="n">
        <x:v>0</x:v>
      </x:c>
      <x:c r="D574" s="16" t="n">
        <x:v>0</x:v>
      </x:c>
      <x:c r="E574" s="16" t="n">
        <x:v>0</x:v>
      </x:c>
      <x:c r="F574" s="16" t="n">
        <x:v>0</x:v>
      </x:c>
      <x:c r="G574" s="16" t="n">
        <x:v>0</x:v>
      </x:c>
      <x:c r="H574" s="16" t="n">
        <x:v>0</x:v>
      </x:c>
      <x:c r="I574" s="16" t="n">
        <x:v>1058468.742384329</x:v>
      </x:c>
      <x:c r="J574" s="16" t="n">
        <x:v>1058468.742384329</x:v>
      </x:c>
      <x:c r="K574" s="16" t="n">
        <x:v>0</x:v>
      </x:c>
      <x:c r="L574" s="18" t="n">
        <x:v>0</x:v>
      </x:c>
      <x:c r="M574" s="18" t="n">
        <x:v>0</x:v>
      </x:c>
      <x:c r="O574" t="str">
        <x:v>2023-07-21</x:v>
      </x:c>
      <x:c r="P574" t="n">
        <x:v>1058468.742384329</x:v>
      </x:c>
    </x:row>
    <x:row r="575" ht="15" hidden="0" customHeight="1">
      <x:c r="A575" s="13" t="str">
        <x:v>2023-07-24</x:v>
      </x:c>
      <x:c r="B575" s="13" t="n">
        <x:v>0</x:v>
      </x:c>
      <x:c r="C575" s="13" t="n">
        <x:v>0</x:v>
      </x:c>
      <x:c r="D575" s="16" t="n">
        <x:v>0</x:v>
      </x:c>
      <x:c r="E575" s="16" t="n">
        <x:v>0</x:v>
      </x:c>
      <x:c r="F575" s="16" t="n">
        <x:v>0</x:v>
      </x:c>
      <x:c r="G575" s="16" t="n">
        <x:v>0</x:v>
      </x:c>
      <x:c r="H575" s="16" t="n">
        <x:v>0</x:v>
      </x:c>
      <x:c r="I575" s="16" t="n">
        <x:v>1058468.742384329</x:v>
      </x:c>
      <x:c r="J575" s="16" t="n">
        <x:v>1058468.742384329</x:v>
      </x:c>
      <x:c r="K575" s="16" t="n">
        <x:v>0</x:v>
      </x:c>
      <x:c r="L575" s="18" t="n">
        <x:v>0</x:v>
      </x:c>
      <x:c r="M575" s="18" t="n">
        <x:v>0</x:v>
      </x:c>
      <x:c r="O575" t="str">
        <x:v>2023-07-24</x:v>
      </x:c>
      <x:c r="P575" t="n">
        <x:v>1058468.742384329</x:v>
      </x:c>
    </x:row>
    <x:row r="576" ht="15" hidden="0" customHeight="1">
      <x:c r="A576" s="13" t="str">
        <x:v>2023-07-25</x:v>
      </x:c>
      <x:c r="B576" s="13" t="n">
        <x:v>0</x:v>
      </x:c>
      <x:c r="C576" s="13" t="n">
        <x:v>0</x:v>
      </x:c>
      <x:c r="D576" s="16" t="n">
        <x:v>0</x:v>
      </x:c>
      <x:c r="E576" s="16" t="n">
        <x:v>0</x:v>
      </x:c>
      <x:c r="F576" s="16" t="n">
        <x:v>0</x:v>
      </x:c>
      <x:c r="G576" s="16" t="n">
        <x:v>0</x:v>
      </x:c>
      <x:c r="H576" s="16" t="n">
        <x:v>0</x:v>
      </x:c>
      <x:c r="I576" s="16" t="n">
        <x:v>1058468.742384329</x:v>
      </x:c>
      <x:c r="J576" s="16" t="n">
        <x:v>1058468.742384329</x:v>
      </x:c>
      <x:c r="K576" s="16" t="n">
        <x:v>0</x:v>
      </x:c>
      <x:c r="L576" s="18" t="n">
        <x:v>0</x:v>
      </x:c>
      <x:c r="M576" s="18" t="n">
        <x:v>0</x:v>
      </x:c>
      <x:c r="O576" t="str">
        <x:v>2023-07-25</x:v>
      </x:c>
      <x:c r="P576" t="n">
        <x:v>1058468.742384329</x:v>
      </x:c>
    </x:row>
    <x:row r="577" ht="15" hidden="0" customHeight="1">
      <x:c r="A577" s="13" t="str">
        <x:v>2023-07-26</x:v>
      </x:c>
      <x:c r="B577" s="13" t="n">
        <x:v>0</x:v>
      </x:c>
      <x:c r="C577" s="13" t="n">
        <x:v>0</x:v>
      </x:c>
      <x:c r="D577" s="16" t="n">
        <x:v>0</x:v>
      </x:c>
      <x:c r="E577" s="16" t="n">
        <x:v>0</x:v>
      </x:c>
      <x:c r="F577" s="16" t="n">
        <x:v>0</x:v>
      </x:c>
      <x:c r="G577" s="16" t="n">
        <x:v>0</x:v>
      </x:c>
      <x:c r="H577" s="16" t="n">
        <x:v>0</x:v>
      </x:c>
      <x:c r="I577" s="16" t="n">
        <x:v>1058468.742384329</x:v>
      </x:c>
      <x:c r="J577" s="16" t="n">
        <x:v>1058468.742384329</x:v>
      </x:c>
      <x:c r="K577" s="16" t="n">
        <x:v>0</x:v>
      </x:c>
      <x:c r="L577" s="18" t="n">
        <x:v>0</x:v>
      </x:c>
      <x:c r="M577" s="18" t="n">
        <x:v>0</x:v>
      </x:c>
      <x:c r="O577" t="str">
        <x:v>2023-07-26</x:v>
      </x:c>
      <x:c r="P577" t="n">
        <x:v>1058468.742384329</x:v>
      </x:c>
    </x:row>
    <x:row r="578" ht="15" hidden="0" customHeight="1">
      <x:c r="A578" s="13" t="str">
        <x:v>2023-07-27</x:v>
      </x:c>
      <x:c r="B578" s="13" t="n">
        <x:v>1</x:v>
      </x:c>
      <x:c r="C578" s="13" t="n">
        <x:v>7</x:v>
      </x:c>
      <x:c r="D578" s="16" t="n">
        <x:v>892.4999999999999</x:v>
      </x:c>
      <x:c r="E578" s="16" t="n">
        <x:v>410.1323520271476</x:v>
      </x:c>
      <x:c r="F578" s="16" t="n">
        <x:v>482.3676479728523</x:v>
      </x:c>
      <x:c r="G578" s="16" t="n">
        <x:v>65747.39354164383</x:v>
      </x:c>
      <x:c r="H578" s="16" t="n">
        <x:v>334816.0524631737</x:v>
      </x:c>
      <x:c r="I578" s="16" t="n">
        <x:v>1058951.110032302</x:v>
      </x:c>
      <x:c r="J578" s="16" t="n">
        <x:v>1058951.110032302</x:v>
      </x:c>
      <x:c r="K578" s="16" t="n">
        <x:v>0</x:v>
      </x:c>
      <x:c r="L578" s="18" t="n">
        <x:v>0</x:v>
      </x:c>
      <x:c r="M578" s="18" t="n">
        <x:v>0.0004557221471521</x:v>
      </x:c>
      <x:c r="O578" t="str">
        <x:v>2023-07-27</x:v>
      </x:c>
      <x:c r="P578" t="n">
        <x:v>1058951.110032302</x:v>
      </x:c>
    </x:row>
    <x:row r="579" ht="15" hidden="0" customHeight="1">
      <x:c r="A579" s="13" t="str">
        <x:v>2023-07-28</x:v>
      </x:c>
      <x:c r="B579" s="13" t="n">
        <x:v>0</x:v>
      </x:c>
      <x:c r="C579" s="13" t="n">
        <x:v>0</x:v>
      </x:c>
      <x:c r="D579" s="16" t="n">
        <x:v>0</x:v>
      </x:c>
      <x:c r="E579" s="16" t="n">
        <x:v>0</x:v>
      </x:c>
      <x:c r="F579" s="16" t="n">
        <x:v>0</x:v>
      </x:c>
      <x:c r="G579" s="16" t="n">
        <x:v>0</x:v>
      </x:c>
      <x:c r="H579" s="16" t="n">
        <x:v>0</x:v>
      </x:c>
      <x:c r="I579" s="16" t="n">
        <x:v>1058951.110032302</x:v>
      </x:c>
      <x:c r="J579" s="16" t="n">
        <x:v>1058951.110032302</x:v>
      </x:c>
      <x:c r="K579" s="16" t="n">
        <x:v>0</x:v>
      </x:c>
      <x:c r="L579" s="18" t="n">
        <x:v>0</x:v>
      </x:c>
      <x:c r="M579" s="18" t="n">
        <x:v>0</x:v>
      </x:c>
      <x:c r="O579" t="str">
        <x:v>2023-07-28</x:v>
      </x:c>
      <x:c r="P579" t="n">
        <x:v>1058951.110032302</x:v>
      </x:c>
    </x:row>
    <x:row r="580" ht="15" hidden="0" customHeight="1">
      <x:c r="A580" s="13" t="str">
        <x:v>2023-07-31</x:v>
      </x:c>
      <x:c r="B580" s="13" t="n">
        <x:v>0</x:v>
      </x:c>
      <x:c r="C580" s="13" t="n">
        <x:v>0</x:v>
      </x:c>
      <x:c r="D580" s="16" t="n">
        <x:v>0</x:v>
      </x:c>
      <x:c r="E580" s="16" t="n">
        <x:v>0</x:v>
      </x:c>
      <x:c r="F580" s="16" t="n">
        <x:v>0</x:v>
      </x:c>
      <x:c r="G580" s="16" t="n">
        <x:v>0</x:v>
      </x:c>
      <x:c r="H580" s="16" t="n">
        <x:v>0</x:v>
      </x:c>
      <x:c r="I580" s="16" t="n">
        <x:v>1058951.110032302</x:v>
      </x:c>
      <x:c r="J580" s="16" t="n">
        <x:v>1058951.110032302</x:v>
      </x:c>
      <x:c r="K580" s="16" t="n">
        <x:v>0</x:v>
      </x:c>
      <x:c r="L580" s="18" t="n">
        <x:v>0</x:v>
      </x:c>
      <x:c r="M580" s="18" t="n">
        <x:v>0</x:v>
      </x:c>
      <x:c r="O580" t="str">
        <x:v>2023-07-31</x:v>
      </x:c>
      <x:c r="P580" t="n">
        <x:v>1058951.110032302</x:v>
      </x:c>
    </x:row>
    <x:row r="581" ht="15" hidden="0" customHeight="1">
      <x:c r="A581" s="13" t="str">
        <x:v>2023-08-01</x:v>
      </x:c>
      <x:c r="B581" s="13" t="n">
        <x:v>0</x:v>
      </x:c>
      <x:c r="C581" s="13" t="n">
        <x:v>0</x:v>
      </x:c>
      <x:c r="D581" s="16" t="n">
        <x:v>0</x:v>
      </x:c>
      <x:c r="E581" s="16" t="n">
        <x:v>0</x:v>
      </x:c>
      <x:c r="F581" s="16" t="n">
        <x:v>0</x:v>
      </x:c>
      <x:c r="G581" s="16" t="n">
        <x:v>0</x:v>
      </x:c>
      <x:c r="H581" s="16" t="n">
        <x:v>0</x:v>
      </x:c>
      <x:c r="I581" s="16" t="n">
        <x:v>1058951.110032302</x:v>
      </x:c>
      <x:c r="J581" s="16" t="n">
        <x:v>1058951.110032302</x:v>
      </x:c>
      <x:c r="K581" s="16" t="n">
        <x:v>0</x:v>
      </x:c>
      <x:c r="L581" s="18" t="n">
        <x:v>0</x:v>
      </x:c>
      <x:c r="M581" s="18" t="n">
        <x:v>0</x:v>
      </x:c>
      <x:c r="O581" t="str">
        <x:v>2023-08-01</x:v>
      </x:c>
      <x:c r="P581" t="n">
        <x:v>1058951.110032302</x:v>
      </x:c>
    </x:row>
    <x:row r="582" ht="15" hidden="0" customHeight="1">
      <x:c r="A582" s="13" t="str">
        <x:v>2023-08-02</x:v>
      </x:c>
      <x:c r="B582" s="13" t="n">
        <x:v>0</x:v>
      </x:c>
      <x:c r="C582" s="13" t="n">
        <x:v>0</x:v>
      </x:c>
      <x:c r="D582" s="16" t="n">
        <x:v>0</x:v>
      </x:c>
      <x:c r="E582" s="16" t="n">
        <x:v>0</x:v>
      </x:c>
      <x:c r="F582" s="16" t="n">
        <x:v>0</x:v>
      </x:c>
      <x:c r="G582" s="16" t="n">
        <x:v>0</x:v>
      </x:c>
      <x:c r="H582" s="16" t="n">
        <x:v>0</x:v>
      </x:c>
      <x:c r="I582" s="16" t="n">
        <x:v>1058951.110032302</x:v>
      </x:c>
      <x:c r="J582" s="16" t="n">
        <x:v>1058951.110032302</x:v>
      </x:c>
      <x:c r="K582" s="16" t="n">
        <x:v>0</x:v>
      </x:c>
      <x:c r="L582" s="18" t="n">
        <x:v>0</x:v>
      </x:c>
      <x:c r="M582" s="18" t="n">
        <x:v>0</x:v>
      </x:c>
      <x:c r="O582" t="str">
        <x:v>2023-08-02</x:v>
      </x:c>
      <x:c r="P582" t="n">
        <x:v>1058951.110032302</x:v>
      </x:c>
    </x:row>
    <x:row r="583" ht="15" hidden="0" customHeight="1">
      <x:c r="A583" s="13" t="str">
        <x:v>2023-08-03</x:v>
      </x:c>
      <x:c r="B583" s="13" t="n">
        <x:v>0</x:v>
      </x:c>
      <x:c r="C583" s="13" t="n">
        <x:v>0</x:v>
      </x:c>
      <x:c r="D583" s="16" t="n">
        <x:v>0</x:v>
      </x:c>
      <x:c r="E583" s="16" t="n">
        <x:v>0</x:v>
      </x:c>
      <x:c r="F583" s="16" t="n">
        <x:v>0</x:v>
      </x:c>
      <x:c r="G583" s="16" t="n">
        <x:v>0</x:v>
      </x:c>
      <x:c r="H583" s="16" t="n">
        <x:v>0</x:v>
      </x:c>
      <x:c r="I583" s="16" t="n">
        <x:v>1058951.110032302</x:v>
      </x:c>
      <x:c r="J583" s="16" t="n">
        <x:v>1058951.110032302</x:v>
      </x:c>
      <x:c r="K583" s="16" t="n">
        <x:v>0</x:v>
      </x:c>
      <x:c r="L583" s="18" t="n">
        <x:v>0</x:v>
      </x:c>
      <x:c r="M583" s="18" t="n">
        <x:v>0</x:v>
      </x:c>
      <x:c r="O583" t="str">
        <x:v>2023-08-03</x:v>
      </x:c>
      <x:c r="P583" t="n">
        <x:v>1058951.110032302</x:v>
      </x:c>
    </x:row>
    <x:row r="584" ht="15" hidden="0" customHeight="1">
      <x:c r="A584" s="13" t="str">
        <x:v>2023-08-04</x:v>
      </x:c>
      <x:c r="B584" s="13" t="n">
        <x:v>0</x:v>
      </x:c>
      <x:c r="C584" s="13" t="n">
        <x:v>0</x:v>
      </x:c>
      <x:c r="D584" s="16" t="n">
        <x:v>0</x:v>
      </x:c>
      <x:c r="E584" s="16" t="n">
        <x:v>0</x:v>
      </x:c>
      <x:c r="F584" s="16" t="n">
        <x:v>0</x:v>
      </x:c>
      <x:c r="G584" s="16" t="n">
        <x:v>0</x:v>
      </x:c>
      <x:c r="H584" s="16" t="n">
        <x:v>0</x:v>
      </x:c>
      <x:c r="I584" s="16" t="n">
        <x:v>1058951.110032302</x:v>
      </x:c>
      <x:c r="J584" s="16" t="n">
        <x:v>1058951.110032302</x:v>
      </x:c>
      <x:c r="K584" s="16" t="n">
        <x:v>0</x:v>
      </x:c>
      <x:c r="L584" s="18" t="n">
        <x:v>0</x:v>
      </x:c>
      <x:c r="M584" s="18" t="n">
        <x:v>0</x:v>
      </x:c>
      <x:c r="O584" t="str">
        <x:v>2023-08-04</x:v>
      </x:c>
      <x:c r="P584" t="n">
        <x:v>1058951.110032302</x:v>
      </x:c>
    </x:row>
    <x:row r="585" ht="15" hidden="0" customHeight="1">
      <x:c r="A585" s="13" t="str">
        <x:v>2023-08-07</x:v>
      </x:c>
      <x:c r="B585" s="13" t="n">
        <x:v>0</x:v>
      </x:c>
      <x:c r="C585" s="13" t="n">
        <x:v>0</x:v>
      </x:c>
      <x:c r="D585" s="16" t="n">
        <x:v>0</x:v>
      </x:c>
      <x:c r="E585" s="16" t="n">
        <x:v>0</x:v>
      </x:c>
      <x:c r="F585" s="16" t="n">
        <x:v>0</x:v>
      </x:c>
      <x:c r="G585" s="16" t="n">
        <x:v>0</x:v>
      </x:c>
      <x:c r="H585" s="16" t="n">
        <x:v>0</x:v>
      </x:c>
      <x:c r="I585" s="16" t="n">
        <x:v>1058951.110032302</x:v>
      </x:c>
      <x:c r="J585" s="16" t="n">
        <x:v>1058951.110032302</x:v>
      </x:c>
      <x:c r="K585" s="16" t="n">
        <x:v>0</x:v>
      </x:c>
      <x:c r="L585" s="18" t="n">
        <x:v>0</x:v>
      </x:c>
      <x:c r="M585" s="18" t="n">
        <x:v>0</x:v>
      </x:c>
      <x:c r="O585" t="str">
        <x:v>2023-08-07</x:v>
      </x:c>
      <x:c r="P585" t="n">
        <x:v>1058951.110032302</x:v>
      </x:c>
    </x:row>
    <x:row r="586" ht="15" hidden="0" customHeight="1">
      <x:c r="A586" s="13" t="str">
        <x:v>2023-08-08</x:v>
      </x:c>
      <x:c r="B586" s="13" t="n">
        <x:v>0</x:v>
      </x:c>
      <x:c r="C586" s="13" t="n">
        <x:v>0</x:v>
      </x:c>
      <x:c r="D586" s="16" t="n">
        <x:v>0</x:v>
      </x:c>
      <x:c r="E586" s="16" t="n">
        <x:v>0</x:v>
      </x:c>
      <x:c r="F586" s="16" t="n">
        <x:v>0</x:v>
      </x:c>
      <x:c r="G586" s="16" t="n">
        <x:v>0</x:v>
      </x:c>
      <x:c r="H586" s="16" t="n">
        <x:v>0</x:v>
      </x:c>
      <x:c r="I586" s="16" t="n">
        <x:v>1058951.110032302</x:v>
      </x:c>
      <x:c r="J586" s="16" t="n">
        <x:v>1058951.110032302</x:v>
      </x:c>
      <x:c r="K586" s="16" t="n">
        <x:v>0</x:v>
      </x:c>
      <x:c r="L586" s="18" t="n">
        <x:v>0</x:v>
      </x:c>
      <x:c r="M586" s="18" t="n">
        <x:v>0</x:v>
      </x:c>
      <x:c r="O586" t="str">
        <x:v>2023-08-08</x:v>
      </x:c>
      <x:c r="P586" t="n">
        <x:v>1058951.110032302</x:v>
      </x:c>
    </x:row>
    <x:row r="587" ht="15" hidden="0" customHeight="1">
      <x:c r="A587" s="13" t="str">
        <x:v>2023-08-09</x:v>
      </x:c>
      <x:c r="B587" s="13" t="n">
        <x:v>0</x:v>
      </x:c>
      <x:c r="C587" s="13" t="n">
        <x:v>0</x:v>
      </x:c>
      <x:c r="D587" s="16" t="n">
        <x:v>0</x:v>
      </x:c>
      <x:c r="E587" s="16" t="n">
        <x:v>0</x:v>
      </x:c>
      <x:c r="F587" s="16" t="n">
        <x:v>0</x:v>
      </x:c>
      <x:c r="G587" s="16" t="n">
        <x:v>0</x:v>
      </x:c>
      <x:c r="H587" s="16" t="n">
        <x:v>0</x:v>
      </x:c>
      <x:c r="I587" s="16" t="n">
        <x:v>1058951.110032302</x:v>
      </x:c>
      <x:c r="J587" s="16" t="n">
        <x:v>1058951.110032302</x:v>
      </x:c>
      <x:c r="K587" s="16" t="n">
        <x:v>0</x:v>
      </x:c>
      <x:c r="L587" s="18" t="n">
        <x:v>0</x:v>
      </x:c>
      <x:c r="M587" s="18" t="n">
        <x:v>0</x:v>
      </x:c>
      <x:c r="O587" t="str">
        <x:v>2023-08-09</x:v>
      </x:c>
      <x:c r="P587" t="n">
        <x:v>1058951.110032302</x:v>
      </x:c>
    </x:row>
    <x:row r="588" ht="15" hidden="0" customHeight="1">
      <x:c r="A588" s="13" t="str">
        <x:v>2023-08-10</x:v>
      </x:c>
      <x:c r="B588" s="13" t="n">
        <x:v>1</x:v>
      </x:c>
      <x:c r="C588" s="13" t="n">
        <x:v>7</x:v>
      </x:c>
      <x:c r="D588" s="16" t="n">
        <x:v>1574.999999999999</x:v>
      </x:c>
      <x:c r="E588" s="16" t="n">
        <x:v>388.5250457849303</x:v>
      </x:c>
      <x:c r="F588" s="16" t="n">
        <x:v>1186.474954215069</x:v>
      </x:c>
      <x:c r="G588" s="16" t="n">
        <x:v>36749.44361144958</x:v>
      </x:c>
      <x:c r="H588" s="16" t="n">
        <x:v>326773.1792433869</x:v>
      </x:c>
      <x:c r="I588" s="16" t="n">
        <x:v>1060137.584986517</x:v>
      </x:c>
      <x:c r="J588" s="16" t="n">
        <x:v>1060137.584986517</x:v>
      </x:c>
      <x:c r="K588" s="16" t="n">
        <x:v>0</x:v>
      </x:c>
      <x:c r="L588" s="18" t="n">
        <x:v>0</x:v>
      </x:c>
      <x:c r="M588" s="18" t="n">
        <x:v>0.0011204246758653</x:v>
      </x:c>
      <x:c r="O588" t="str">
        <x:v>2023-08-10</x:v>
      </x:c>
      <x:c r="P588" t="n">
        <x:v>1060137.584986517</x:v>
      </x:c>
    </x:row>
    <x:row r="589" ht="15" hidden="0" customHeight="1">
      <x:c r="A589" s="13" t="str">
        <x:v>2023-08-11</x:v>
      </x:c>
      <x:c r="B589" s="13" t="n">
        <x:v>0</x:v>
      </x:c>
      <x:c r="C589" s="13" t="n">
        <x:v>0</x:v>
      </x:c>
      <x:c r="D589" s="16" t="n">
        <x:v>0</x:v>
      </x:c>
      <x:c r="E589" s="16" t="n">
        <x:v>0</x:v>
      </x:c>
      <x:c r="F589" s="16" t="n">
        <x:v>0</x:v>
      </x:c>
      <x:c r="G589" s="16" t="n">
        <x:v>0</x:v>
      </x:c>
      <x:c r="H589" s="16" t="n">
        <x:v>0</x:v>
      </x:c>
      <x:c r="I589" s="16" t="n">
        <x:v>1060137.584986517</x:v>
      </x:c>
      <x:c r="J589" s="16" t="n">
        <x:v>1060137.584986517</x:v>
      </x:c>
      <x:c r="K589" s="16" t="n">
        <x:v>0</x:v>
      </x:c>
      <x:c r="L589" s="18" t="n">
        <x:v>0</x:v>
      </x:c>
      <x:c r="M589" s="18" t="n">
        <x:v>0</x:v>
      </x:c>
      <x:c r="O589" t="str">
        <x:v>2023-08-11</x:v>
      </x:c>
      <x:c r="P589" t="n">
        <x:v>1060137.584986517</x:v>
      </x:c>
    </x:row>
    <x:row r="590" ht="15" hidden="0" customHeight="1">
      <x:c r="A590" s="13" t="str">
        <x:v>2023-08-14</x:v>
      </x:c>
      <x:c r="B590" s="13" t="n">
        <x:v>0</x:v>
      </x:c>
      <x:c r="C590" s="13" t="n">
        <x:v>0</x:v>
      </x:c>
      <x:c r="D590" s="16" t="n">
        <x:v>0</x:v>
      </x:c>
      <x:c r="E590" s="16" t="n">
        <x:v>0</x:v>
      </x:c>
      <x:c r="F590" s="16" t="n">
        <x:v>0</x:v>
      </x:c>
      <x:c r="G590" s="16" t="n">
        <x:v>0</x:v>
      </x:c>
      <x:c r="H590" s="16" t="n">
        <x:v>0</x:v>
      </x:c>
      <x:c r="I590" s="16" t="n">
        <x:v>1060137.584986517</x:v>
      </x:c>
      <x:c r="J590" s="16" t="n">
        <x:v>1060137.584986517</x:v>
      </x:c>
      <x:c r="K590" s="16" t="n">
        <x:v>0</x:v>
      </x:c>
      <x:c r="L590" s="18" t="n">
        <x:v>0</x:v>
      </x:c>
      <x:c r="M590" s="18" t="n">
        <x:v>0</x:v>
      </x:c>
      <x:c r="O590" t="str">
        <x:v>2023-08-14</x:v>
      </x:c>
      <x:c r="P590" t="n">
        <x:v>1060137.584986517</x:v>
      </x:c>
    </x:row>
    <x:row r="591" ht="15" hidden="0" customHeight="1">
      <x:c r="A591" s="13" t="str">
        <x:v>2023-08-15</x:v>
      </x:c>
      <x:c r="B591" s="13" t="n">
        <x:v>0</x:v>
      </x:c>
      <x:c r="C591" s="13" t="n">
        <x:v>0</x:v>
      </x:c>
      <x:c r="D591" s="16" t="n">
        <x:v>0</x:v>
      </x:c>
      <x:c r="E591" s="16" t="n">
        <x:v>0</x:v>
      </x:c>
      <x:c r="F591" s="16" t="n">
        <x:v>0</x:v>
      </x:c>
      <x:c r="G591" s="16" t="n">
        <x:v>0</x:v>
      </x:c>
      <x:c r="H591" s="16" t="n">
        <x:v>0</x:v>
      </x:c>
      <x:c r="I591" s="16" t="n">
        <x:v>1060137.584986517</x:v>
      </x:c>
      <x:c r="J591" s="16" t="n">
        <x:v>1060137.584986517</x:v>
      </x:c>
      <x:c r="K591" s="16" t="n">
        <x:v>0</x:v>
      </x:c>
      <x:c r="L591" s="18" t="n">
        <x:v>0</x:v>
      </x:c>
      <x:c r="M591" s="18" t="n">
        <x:v>0</x:v>
      </x:c>
      <x:c r="O591" t="str">
        <x:v>2023-08-15</x:v>
      </x:c>
      <x:c r="P591" t="n">
        <x:v>1060137.584986517</x:v>
      </x:c>
    </x:row>
    <x:row r="592" ht="15" hidden="0" customHeight="1">
      <x:c r="A592" s="13" t="str">
        <x:v>2023-08-16</x:v>
      </x:c>
      <x:c r="B592" s="13" t="n">
        <x:v>0</x:v>
      </x:c>
      <x:c r="C592" s="13" t="n">
        <x:v>0</x:v>
      </x:c>
      <x:c r="D592" s="16" t="n">
        <x:v>0</x:v>
      </x:c>
      <x:c r="E592" s="16" t="n">
        <x:v>0</x:v>
      </x:c>
      <x:c r="F592" s="16" t="n">
        <x:v>0</x:v>
      </x:c>
      <x:c r="G592" s="16" t="n">
        <x:v>0</x:v>
      </x:c>
      <x:c r="H592" s="16" t="n">
        <x:v>0</x:v>
      </x:c>
      <x:c r="I592" s="16" t="n">
        <x:v>1060137.584986517</x:v>
      </x:c>
      <x:c r="J592" s="16" t="n">
        <x:v>1060137.584986517</x:v>
      </x:c>
      <x:c r="K592" s="16" t="n">
        <x:v>0</x:v>
      </x:c>
      <x:c r="L592" s="18" t="n">
        <x:v>0</x:v>
      </x:c>
      <x:c r="M592" s="18" t="n">
        <x:v>0</x:v>
      </x:c>
      <x:c r="O592" t="str">
        <x:v>2023-08-16</x:v>
      </x:c>
      <x:c r="P592" t="n">
        <x:v>1060137.584986517</x:v>
      </x:c>
    </x:row>
    <x:row r="593" ht="15" hidden="0" customHeight="1">
      <x:c r="A593" s="13" t="str">
        <x:v>2023-08-17</x:v>
      </x:c>
      <x:c r="B593" s="13" t="n">
        <x:v>0</x:v>
      </x:c>
      <x:c r="C593" s="13" t="n">
        <x:v>0</x:v>
      </x:c>
      <x:c r="D593" s="16" t="n">
        <x:v>0</x:v>
      </x:c>
      <x:c r="E593" s="16" t="n">
        <x:v>0</x:v>
      </x:c>
      <x:c r="F593" s="16" t="n">
        <x:v>0</x:v>
      </x:c>
      <x:c r="G593" s="16" t="n">
        <x:v>0</x:v>
      </x:c>
      <x:c r="H593" s="16" t="n">
        <x:v>0</x:v>
      </x:c>
      <x:c r="I593" s="16" t="n">
        <x:v>1060137.584986517</x:v>
      </x:c>
      <x:c r="J593" s="16" t="n">
        <x:v>1060137.584986517</x:v>
      </x:c>
      <x:c r="K593" s="16" t="n">
        <x:v>0</x:v>
      </x:c>
      <x:c r="L593" s="18" t="n">
        <x:v>0</x:v>
      </x:c>
      <x:c r="M593" s="18" t="n">
        <x:v>0</x:v>
      </x:c>
      <x:c r="O593" t="str">
        <x:v>2023-08-17</x:v>
      </x:c>
      <x:c r="P593" t="n">
        <x:v>1060137.584986517</x:v>
      </x:c>
    </x:row>
    <x:row r="594" ht="15" hidden="0" customHeight="1">
      <x:c r="A594" s="13" t="str">
        <x:v>2023-08-18</x:v>
      </x:c>
      <x:c r="B594" s="13" t="n">
        <x:v>0</x:v>
      </x:c>
      <x:c r="C594" s="13" t="n">
        <x:v>0</x:v>
      </x:c>
      <x:c r="D594" s="16" t="n">
        <x:v>0</x:v>
      </x:c>
      <x:c r="E594" s="16" t="n">
        <x:v>0</x:v>
      </x:c>
      <x:c r="F594" s="16" t="n">
        <x:v>0</x:v>
      </x:c>
      <x:c r="G594" s="16" t="n">
        <x:v>0</x:v>
      </x:c>
      <x:c r="H594" s="16" t="n">
        <x:v>0</x:v>
      </x:c>
      <x:c r="I594" s="16" t="n">
        <x:v>1060137.584986517</x:v>
      </x:c>
      <x:c r="J594" s="16" t="n">
        <x:v>1060137.584986517</x:v>
      </x:c>
      <x:c r="K594" s="16" t="n">
        <x:v>0</x:v>
      </x:c>
      <x:c r="L594" s="18" t="n">
        <x:v>0</x:v>
      </x:c>
      <x:c r="M594" s="18" t="n">
        <x:v>0</x:v>
      </x:c>
      <x:c r="O594" t="str">
        <x:v>2023-08-18</x:v>
      </x:c>
      <x:c r="P594" t="n">
        <x:v>1060137.584986517</x:v>
      </x:c>
    </x:row>
    <x:row r="595" ht="15" hidden="0" customHeight="1">
      <x:c r="A595" s="13" t="str">
        <x:v>2023-08-21</x:v>
      </x:c>
      <x:c r="B595" s="13" t="n">
        <x:v>0</x:v>
      </x:c>
      <x:c r="C595" s="13" t="n">
        <x:v>0</x:v>
      </x:c>
      <x:c r="D595" s="16" t="n">
        <x:v>0</x:v>
      </x:c>
      <x:c r="E595" s="16" t="n">
        <x:v>0</x:v>
      </x:c>
      <x:c r="F595" s="16" t="n">
        <x:v>0</x:v>
      </x:c>
      <x:c r="G595" s="16" t="n">
        <x:v>0</x:v>
      </x:c>
      <x:c r="H595" s="16" t="n">
        <x:v>0</x:v>
      </x:c>
      <x:c r="I595" s="16" t="n">
        <x:v>1060137.584986517</x:v>
      </x:c>
      <x:c r="J595" s="16" t="n">
        <x:v>1060137.584986517</x:v>
      </x:c>
      <x:c r="K595" s="16" t="n">
        <x:v>0</x:v>
      </x:c>
      <x:c r="L595" s="18" t="n">
        <x:v>0</x:v>
      </x:c>
      <x:c r="M595" s="18" t="n">
        <x:v>0</x:v>
      </x:c>
      <x:c r="O595" t="str">
        <x:v>2023-08-21</x:v>
      </x:c>
      <x:c r="P595" t="n">
        <x:v>1060137.584986517</x:v>
      </x:c>
    </x:row>
    <x:row r="596" ht="15" hidden="0" customHeight="1">
      <x:c r="A596" s="13" t="str">
        <x:v>2023-08-22</x:v>
      </x:c>
      <x:c r="B596" s="13" t="n">
        <x:v>0</x:v>
      </x:c>
      <x:c r="C596" s="13" t="n">
        <x:v>0</x:v>
      </x:c>
      <x:c r="D596" s="16" t="n">
        <x:v>0</x:v>
      </x:c>
      <x:c r="E596" s="16" t="n">
        <x:v>0</x:v>
      </x:c>
      <x:c r="F596" s="16" t="n">
        <x:v>0</x:v>
      </x:c>
      <x:c r="G596" s="16" t="n">
        <x:v>0</x:v>
      </x:c>
      <x:c r="H596" s="16" t="n">
        <x:v>0</x:v>
      </x:c>
      <x:c r="I596" s="16" t="n">
        <x:v>1060137.584986517</x:v>
      </x:c>
      <x:c r="J596" s="16" t="n">
        <x:v>1060137.584986517</x:v>
      </x:c>
      <x:c r="K596" s="16" t="n">
        <x:v>0</x:v>
      </x:c>
      <x:c r="L596" s="18" t="n">
        <x:v>0</x:v>
      </x:c>
      <x:c r="M596" s="18" t="n">
        <x:v>0</x:v>
      </x:c>
      <x:c r="O596" t="str">
        <x:v>2023-08-22</x:v>
      </x:c>
      <x:c r="P596" t="n">
        <x:v>1060137.584986517</x:v>
      </x:c>
    </x:row>
    <x:row r="597" ht="15" hidden="0" customHeight="1">
      <x:c r="A597" s="13" t="str">
        <x:v>2023-08-23</x:v>
      </x:c>
      <x:c r="B597" s="13" t="n">
        <x:v>0</x:v>
      </x:c>
      <x:c r="C597" s="13" t="n">
        <x:v>0</x:v>
      </x:c>
      <x:c r="D597" s="16" t="n">
        <x:v>0</x:v>
      </x:c>
      <x:c r="E597" s="16" t="n">
        <x:v>0</x:v>
      </x:c>
      <x:c r="F597" s="16" t="n">
        <x:v>0</x:v>
      </x:c>
      <x:c r="G597" s="16" t="n">
        <x:v>0</x:v>
      </x:c>
      <x:c r="H597" s="16" t="n">
        <x:v>0</x:v>
      </x:c>
      <x:c r="I597" s="16" t="n">
        <x:v>1060137.584986517</x:v>
      </x:c>
      <x:c r="J597" s="16" t="n">
        <x:v>1060137.584986517</x:v>
      </x:c>
      <x:c r="K597" s="16" t="n">
        <x:v>0</x:v>
      </x:c>
      <x:c r="L597" s="18" t="n">
        <x:v>0</x:v>
      </x:c>
      <x:c r="M597" s="18" t="n">
        <x:v>0</x:v>
      </x:c>
      <x:c r="O597" t="str">
        <x:v>2023-08-23</x:v>
      </x:c>
      <x:c r="P597" t="n">
        <x:v>1060137.584986517</x:v>
      </x:c>
    </x:row>
    <x:row r="598" ht="15" hidden="0" customHeight="1">
      <x:c r="A598" s="13" t="str">
        <x:v>2023-08-24</x:v>
      </x:c>
      <x:c r="B598" s="13" t="n">
        <x:v>0</x:v>
      </x:c>
      <x:c r="C598" s="13" t="n">
        <x:v>0</x:v>
      </x:c>
      <x:c r="D598" s="16" t="n">
        <x:v>0</x:v>
      </x:c>
      <x:c r="E598" s="16" t="n">
        <x:v>0</x:v>
      </x:c>
      <x:c r="F598" s="16" t="n">
        <x:v>0</x:v>
      </x:c>
      <x:c r="G598" s="16" t="n">
        <x:v>0</x:v>
      </x:c>
      <x:c r="H598" s="16" t="n">
        <x:v>0</x:v>
      </x:c>
      <x:c r="I598" s="16" t="n">
        <x:v>1060137.584986517</x:v>
      </x:c>
      <x:c r="J598" s="16" t="n">
        <x:v>1060137.584986517</x:v>
      </x:c>
      <x:c r="K598" s="16" t="n">
        <x:v>0</x:v>
      </x:c>
      <x:c r="L598" s="18" t="n">
        <x:v>0</x:v>
      </x:c>
      <x:c r="M598" s="18" t="n">
        <x:v>0</x:v>
      </x:c>
      <x:c r="O598" t="str">
        <x:v>2023-08-24</x:v>
      </x:c>
      <x:c r="P598" t="n">
        <x:v>1060137.584986517</x:v>
      </x:c>
    </x:row>
    <x:row r="599" ht="15" hidden="0" customHeight="1">
      <x:c r="A599" s="13" t="str">
        <x:v>2023-08-25</x:v>
      </x:c>
      <x:c r="B599" s="13" t="n">
        <x:v>0</x:v>
      </x:c>
      <x:c r="C599" s="13" t="n">
        <x:v>0</x:v>
      </x:c>
      <x:c r="D599" s="16" t="n">
        <x:v>0</x:v>
      </x:c>
      <x:c r="E599" s="16" t="n">
        <x:v>0</x:v>
      </x:c>
      <x:c r="F599" s="16" t="n">
        <x:v>0</x:v>
      </x:c>
      <x:c r="G599" s="16" t="n">
        <x:v>0</x:v>
      </x:c>
      <x:c r="H599" s="16" t="n">
        <x:v>0</x:v>
      </x:c>
      <x:c r="I599" s="16" t="n">
        <x:v>1060137.584986517</x:v>
      </x:c>
      <x:c r="J599" s="16" t="n">
        <x:v>1060137.584986517</x:v>
      </x:c>
      <x:c r="K599" s="16" t="n">
        <x:v>0</x:v>
      </x:c>
      <x:c r="L599" s="18" t="n">
        <x:v>0</x:v>
      </x:c>
      <x:c r="M599" s="18" t="n">
        <x:v>0</x:v>
      </x:c>
      <x:c r="O599" t="str">
        <x:v>2023-08-25</x:v>
      </x:c>
      <x:c r="P599" t="n">
        <x:v>1060137.584986517</x:v>
      </x:c>
    </x:row>
    <x:row r="600" ht="15" hidden="0" customHeight="1">
      <x:c r="A600" s="13" t="str">
        <x:v>2023-08-28</x:v>
      </x:c>
      <x:c r="B600" s="13" t="n">
        <x:v>0</x:v>
      </x:c>
      <x:c r="C600" s="13" t="n">
        <x:v>0</x:v>
      </x:c>
      <x:c r="D600" s="16" t="n">
        <x:v>0</x:v>
      </x:c>
      <x:c r="E600" s="16" t="n">
        <x:v>0</x:v>
      </x:c>
      <x:c r="F600" s="16" t="n">
        <x:v>0</x:v>
      </x:c>
      <x:c r="G600" s="16" t="n">
        <x:v>0</x:v>
      </x:c>
      <x:c r="H600" s="16" t="n">
        <x:v>0</x:v>
      </x:c>
      <x:c r="I600" s="16" t="n">
        <x:v>1060137.584986517</x:v>
      </x:c>
      <x:c r="J600" s="16" t="n">
        <x:v>1060137.584986517</x:v>
      </x:c>
      <x:c r="K600" s="16" t="n">
        <x:v>0</x:v>
      </x:c>
      <x:c r="L600" s="18" t="n">
        <x:v>0</x:v>
      </x:c>
      <x:c r="M600" s="18" t="n">
        <x:v>0</x:v>
      </x:c>
      <x:c r="O600" t="str">
        <x:v>2023-08-28</x:v>
      </x:c>
      <x:c r="P600" t="n">
        <x:v>1060137.584986517</x:v>
      </x:c>
    </x:row>
    <x:row r="601" ht="15" hidden="0" customHeight="1">
      <x:c r="A601" s="13" t="str">
        <x:v>2023-08-29</x:v>
      </x:c>
      <x:c r="B601" s="13" t="n">
        <x:v>0</x:v>
      </x:c>
      <x:c r="C601" s="13" t="n">
        <x:v>0</x:v>
      </x:c>
      <x:c r="D601" s="16" t="n">
        <x:v>0</x:v>
      </x:c>
      <x:c r="E601" s="16" t="n">
        <x:v>0</x:v>
      </x:c>
      <x:c r="F601" s="16" t="n">
        <x:v>0</x:v>
      </x:c>
      <x:c r="G601" s="16" t="n">
        <x:v>0</x:v>
      </x:c>
      <x:c r="H601" s="16" t="n">
        <x:v>0</x:v>
      </x:c>
      <x:c r="I601" s="16" t="n">
        <x:v>1060137.584986517</x:v>
      </x:c>
      <x:c r="J601" s="16" t="n">
        <x:v>1060137.584986517</x:v>
      </x:c>
      <x:c r="K601" s="16" t="n">
        <x:v>0</x:v>
      </x:c>
      <x:c r="L601" s="18" t="n">
        <x:v>0</x:v>
      </x:c>
      <x:c r="M601" s="18" t="n">
        <x:v>0</x:v>
      </x:c>
      <x:c r="O601" t="str">
        <x:v>2023-08-29</x:v>
      </x:c>
      <x:c r="P601" t="n">
        <x:v>1060137.584986517</x:v>
      </x:c>
    </x:row>
    <x:row r="602" ht="15" hidden="0" customHeight="1">
      <x:c r="A602" s="13" t="str">
        <x:v>2023-08-30</x:v>
      </x:c>
      <x:c r="B602" s="13" t="n">
        <x:v>0</x:v>
      </x:c>
      <x:c r="C602" s="13" t="n">
        <x:v>0</x:v>
      </x:c>
      <x:c r="D602" s="16" t="n">
        <x:v>0</x:v>
      </x:c>
      <x:c r="E602" s="16" t="n">
        <x:v>0</x:v>
      </x:c>
      <x:c r="F602" s="16" t="n">
        <x:v>0</x:v>
      </x:c>
      <x:c r="G602" s="16" t="n">
        <x:v>0</x:v>
      </x:c>
      <x:c r="H602" s="16" t="n">
        <x:v>0</x:v>
      </x:c>
      <x:c r="I602" s="16" t="n">
        <x:v>1060137.584986517</x:v>
      </x:c>
      <x:c r="J602" s="16" t="n">
        <x:v>1060137.584986517</x:v>
      </x:c>
      <x:c r="K602" s="16" t="n">
        <x:v>0</x:v>
      </x:c>
      <x:c r="L602" s="18" t="n">
        <x:v>0</x:v>
      </x:c>
      <x:c r="M602" s="18" t="n">
        <x:v>0</x:v>
      </x:c>
      <x:c r="O602" t="str">
        <x:v>2023-08-30</x:v>
      </x:c>
      <x:c r="P602" t="n">
        <x:v>1060137.584986517</x:v>
      </x:c>
    </x:row>
    <x:row r="603" ht="15" hidden="0" customHeight="1">
      <x:c r="A603" s="13" t="str">
        <x:v>2023-08-31</x:v>
      </x:c>
      <x:c r="B603" s="13" t="n">
        <x:v>0</x:v>
      </x:c>
      <x:c r="C603" s="13" t="n">
        <x:v>0</x:v>
      </x:c>
      <x:c r="D603" s="16" t="n">
        <x:v>0</x:v>
      </x:c>
      <x:c r="E603" s="16" t="n">
        <x:v>0</x:v>
      </x:c>
      <x:c r="F603" s="16" t="n">
        <x:v>0</x:v>
      </x:c>
      <x:c r="G603" s="16" t="n">
        <x:v>0</x:v>
      </x:c>
      <x:c r="H603" s="16" t="n">
        <x:v>0</x:v>
      </x:c>
      <x:c r="I603" s="16" t="n">
        <x:v>1060137.584986517</x:v>
      </x:c>
      <x:c r="J603" s="16" t="n">
        <x:v>1060137.584986517</x:v>
      </x:c>
      <x:c r="K603" s="16" t="n">
        <x:v>0</x:v>
      </x:c>
      <x:c r="L603" s="18" t="n">
        <x:v>0</x:v>
      </x:c>
      <x:c r="M603" s="18" t="n">
        <x:v>0</x:v>
      </x:c>
      <x:c r="O603" t="str">
        <x:v>2023-08-31</x:v>
      </x:c>
      <x:c r="P603" t="n">
        <x:v>1060137.584986517</x:v>
      </x:c>
    </x:row>
    <x:row r="604" ht="15" hidden="0" customHeight="1">
      <x:c r="A604" s="13" t="str">
        <x:v>2023-09-01</x:v>
      </x:c>
      <x:c r="B604" s="13" t="n">
        <x:v>0</x:v>
      </x:c>
      <x:c r="C604" s="13" t="n">
        <x:v>0</x:v>
      </x:c>
      <x:c r="D604" s="16" t="n">
        <x:v>0</x:v>
      </x:c>
      <x:c r="E604" s="16" t="n">
        <x:v>0</x:v>
      </x:c>
      <x:c r="F604" s="16" t="n">
        <x:v>0</x:v>
      </x:c>
      <x:c r="G604" s="16" t="n">
        <x:v>0</x:v>
      </x:c>
      <x:c r="H604" s="16" t="n">
        <x:v>0</x:v>
      </x:c>
      <x:c r="I604" s="16" t="n">
        <x:v>1060137.584986517</x:v>
      </x:c>
      <x:c r="J604" s="16" t="n">
        <x:v>1060137.584986517</x:v>
      </x:c>
      <x:c r="K604" s="16" t="n">
        <x:v>0</x:v>
      </x:c>
      <x:c r="L604" s="18" t="n">
        <x:v>0</x:v>
      </x:c>
      <x:c r="M604" s="18" t="n">
        <x:v>0</x:v>
      </x:c>
      <x:c r="O604" t="str">
        <x:v>2023-09-01</x:v>
      </x:c>
      <x:c r="P604" t="n">
        <x:v>1060137.584986517</x:v>
      </x:c>
    </x:row>
    <x:row r="605" ht="15" hidden="0" customHeight="1">
      <x:c r="A605" s="13" t="str">
        <x:v>2023-09-04</x:v>
      </x:c>
      <x:c r="B605" s="13" t="n">
        <x:v>0</x:v>
      </x:c>
      <x:c r="C605" s="13" t="n">
        <x:v>0</x:v>
      </x:c>
      <x:c r="D605" s="16" t="n">
        <x:v>0</x:v>
      </x:c>
      <x:c r="E605" s="16" t="n">
        <x:v>0</x:v>
      </x:c>
      <x:c r="F605" s="16" t="n">
        <x:v>0</x:v>
      </x:c>
      <x:c r="G605" s="16" t="n">
        <x:v>0</x:v>
      </x:c>
      <x:c r="H605" s="16" t="n">
        <x:v>0</x:v>
      </x:c>
      <x:c r="I605" s="16" t="n">
        <x:v>1060137.584986517</x:v>
      </x:c>
      <x:c r="J605" s="16" t="n">
        <x:v>1060137.584986517</x:v>
      </x:c>
      <x:c r="K605" s="16" t="n">
        <x:v>0</x:v>
      </x:c>
      <x:c r="L605" s="18" t="n">
        <x:v>0</x:v>
      </x:c>
      <x:c r="M605" s="18" t="n">
        <x:v>0</x:v>
      </x:c>
      <x:c r="O605" t="str">
        <x:v>2023-09-04</x:v>
      </x:c>
      <x:c r="P605" t="n">
        <x:v>1060137.584986517</x:v>
      </x:c>
    </x:row>
    <x:row r="606" ht="15" hidden="0" customHeight="1">
      <x:c r="A606" s="13" t="str">
        <x:v>2023-09-05</x:v>
      </x:c>
      <x:c r="B606" s="13" t="n">
        <x:v>0</x:v>
      </x:c>
      <x:c r="C606" s="13" t="n">
        <x:v>0</x:v>
      </x:c>
      <x:c r="D606" s="16" t="n">
        <x:v>0</x:v>
      </x:c>
      <x:c r="E606" s="16" t="n">
        <x:v>0</x:v>
      </x:c>
      <x:c r="F606" s="16" t="n">
        <x:v>0</x:v>
      </x:c>
      <x:c r="G606" s="16" t="n">
        <x:v>0</x:v>
      </x:c>
      <x:c r="H606" s="16" t="n">
        <x:v>0</x:v>
      </x:c>
      <x:c r="I606" s="16" t="n">
        <x:v>1060137.584986517</x:v>
      </x:c>
      <x:c r="J606" s="16" t="n">
        <x:v>1060137.584986517</x:v>
      </x:c>
      <x:c r="K606" s="16" t="n">
        <x:v>0</x:v>
      </x:c>
      <x:c r="L606" s="18" t="n">
        <x:v>0</x:v>
      </x:c>
      <x:c r="M606" s="18" t="n">
        <x:v>0</x:v>
      </x:c>
      <x:c r="O606" t="str">
        <x:v>2023-09-05</x:v>
      </x:c>
      <x:c r="P606" t="n">
        <x:v>1060137.584986517</x:v>
      </x:c>
    </x:row>
    <x:row r="607" ht="15" hidden="0" customHeight="1">
      <x:c r="A607" s="13" t="str">
        <x:v>2023-09-06</x:v>
      </x:c>
      <x:c r="B607" s="13" t="n">
        <x:v>0</x:v>
      </x:c>
      <x:c r="C607" s="13" t="n">
        <x:v>0</x:v>
      </x:c>
      <x:c r="D607" s="16" t="n">
        <x:v>0</x:v>
      </x:c>
      <x:c r="E607" s="16" t="n">
        <x:v>0</x:v>
      </x:c>
      <x:c r="F607" s="16" t="n">
        <x:v>0</x:v>
      </x:c>
      <x:c r="G607" s="16" t="n">
        <x:v>0</x:v>
      </x:c>
      <x:c r="H607" s="16" t="n">
        <x:v>0</x:v>
      </x:c>
      <x:c r="I607" s="16" t="n">
        <x:v>1060137.584986517</x:v>
      </x:c>
      <x:c r="J607" s="16" t="n">
        <x:v>1060137.584986517</x:v>
      </x:c>
      <x:c r="K607" s="16" t="n">
        <x:v>0</x:v>
      </x:c>
      <x:c r="L607" s="18" t="n">
        <x:v>0</x:v>
      </x:c>
      <x:c r="M607" s="18" t="n">
        <x:v>0</x:v>
      </x:c>
      <x:c r="O607" t="str">
        <x:v>2023-09-06</x:v>
      </x:c>
      <x:c r="P607" t="n">
        <x:v>1060137.584986517</x:v>
      </x:c>
    </x:row>
    <x:row r="608" ht="15" hidden="0" customHeight="1">
      <x:c r="A608" s="13" t="str">
        <x:v>2023-09-07</x:v>
      </x:c>
      <x:c r="B608" s="13" t="n">
        <x:v>0</x:v>
      </x:c>
      <x:c r="C608" s="13" t="n">
        <x:v>0</x:v>
      </x:c>
      <x:c r="D608" s="16" t="n">
        <x:v>0</x:v>
      </x:c>
      <x:c r="E608" s="16" t="n">
        <x:v>0</x:v>
      </x:c>
      <x:c r="F608" s="16" t="n">
        <x:v>0</x:v>
      </x:c>
      <x:c r="G608" s="16" t="n">
        <x:v>0</x:v>
      </x:c>
      <x:c r="H608" s="16" t="n">
        <x:v>0</x:v>
      </x:c>
      <x:c r="I608" s="16" t="n">
        <x:v>1060137.584986517</x:v>
      </x:c>
      <x:c r="J608" s="16" t="n">
        <x:v>1060137.584986517</x:v>
      </x:c>
      <x:c r="K608" s="16" t="n">
        <x:v>0</x:v>
      </x:c>
      <x:c r="L608" s="18" t="n">
        <x:v>0</x:v>
      </x:c>
      <x:c r="M608" s="18" t="n">
        <x:v>0</x:v>
      </x:c>
      <x:c r="O608" t="str">
        <x:v>2023-09-07</x:v>
      </x:c>
      <x:c r="P608" t="n">
        <x:v>1060137.584986517</x:v>
      </x:c>
    </x:row>
    <x:row r="609" ht="15" hidden="0" customHeight="1">
      <x:c r="A609" s="13" t="str">
        <x:v>2023-09-08</x:v>
      </x:c>
      <x:c r="B609" s="13" t="n">
        <x:v>0</x:v>
      </x:c>
      <x:c r="C609" s="13" t="n">
        <x:v>0</x:v>
      </x:c>
      <x:c r="D609" s="16" t="n">
        <x:v>0</x:v>
      </x:c>
      <x:c r="E609" s="16" t="n">
        <x:v>0</x:v>
      </x:c>
      <x:c r="F609" s="16" t="n">
        <x:v>0</x:v>
      </x:c>
      <x:c r="G609" s="16" t="n">
        <x:v>0</x:v>
      </x:c>
      <x:c r="H609" s="16" t="n">
        <x:v>0</x:v>
      </x:c>
      <x:c r="I609" s="16" t="n">
        <x:v>1060137.584986517</x:v>
      </x:c>
      <x:c r="J609" s="16" t="n">
        <x:v>1060137.584986517</x:v>
      </x:c>
      <x:c r="K609" s="16" t="n">
        <x:v>0</x:v>
      </x:c>
      <x:c r="L609" s="18" t="n">
        <x:v>0</x:v>
      </x:c>
      <x:c r="M609" s="18" t="n">
        <x:v>0</x:v>
      </x:c>
      <x:c r="O609" t="str">
        <x:v>2023-09-08</x:v>
      </x:c>
      <x:c r="P609" t="n">
        <x:v>1060137.584986517</x:v>
      </x:c>
    </x:row>
    <x:row r="610" ht="15" hidden="0" customHeight="1">
      <x:c r="A610" s="13" t="str">
        <x:v>2023-09-11</x:v>
      </x:c>
      <x:c r="B610" s="13" t="n">
        <x:v>0</x:v>
      </x:c>
      <x:c r="C610" s="13" t="n">
        <x:v>0</x:v>
      </x:c>
      <x:c r="D610" s="16" t="n">
        <x:v>0</x:v>
      </x:c>
      <x:c r="E610" s="16" t="n">
        <x:v>0</x:v>
      </x:c>
      <x:c r="F610" s="16" t="n">
        <x:v>0</x:v>
      </x:c>
      <x:c r="G610" s="16" t="n">
        <x:v>0</x:v>
      </x:c>
      <x:c r="H610" s="16" t="n">
        <x:v>0</x:v>
      </x:c>
      <x:c r="I610" s="16" t="n">
        <x:v>1060137.584986517</x:v>
      </x:c>
      <x:c r="J610" s="16" t="n">
        <x:v>1060137.584986517</x:v>
      </x:c>
      <x:c r="K610" s="16" t="n">
        <x:v>0</x:v>
      </x:c>
      <x:c r="L610" s="18" t="n">
        <x:v>0</x:v>
      </x:c>
      <x:c r="M610" s="18" t="n">
        <x:v>0</x:v>
      </x:c>
      <x:c r="O610" t="str">
        <x:v>2023-09-11</x:v>
      </x:c>
      <x:c r="P610" t="n">
        <x:v>1060137.584986517</x:v>
      </x:c>
    </x:row>
    <x:row r="611" ht="15" hidden="0" customHeight="1">
      <x:c r="A611" s="13" t="str">
        <x:v>2023-09-12</x:v>
      </x:c>
      <x:c r="B611" s="13" t="n">
        <x:v>0</x:v>
      </x:c>
      <x:c r="C611" s="13" t="n">
        <x:v>0</x:v>
      </x:c>
      <x:c r="D611" s="16" t="n">
        <x:v>0</x:v>
      </x:c>
      <x:c r="E611" s="16" t="n">
        <x:v>0</x:v>
      </x:c>
      <x:c r="F611" s="16" t="n">
        <x:v>0</x:v>
      </x:c>
      <x:c r="G611" s="16" t="n">
        <x:v>0</x:v>
      </x:c>
      <x:c r="H611" s="16" t="n">
        <x:v>0</x:v>
      </x:c>
      <x:c r="I611" s="16" t="n">
        <x:v>1060137.584986517</x:v>
      </x:c>
      <x:c r="J611" s="16" t="n">
        <x:v>1060137.584986517</x:v>
      </x:c>
      <x:c r="K611" s="16" t="n">
        <x:v>0</x:v>
      </x:c>
      <x:c r="L611" s="18" t="n">
        <x:v>0</x:v>
      </x:c>
      <x:c r="M611" s="18" t="n">
        <x:v>0</x:v>
      </x:c>
      <x:c r="O611" t="str">
        <x:v>2023-09-12</x:v>
      </x:c>
      <x:c r="P611" t="n">
        <x:v>1060137.584986517</x:v>
      </x:c>
    </x:row>
    <x:row r="612" ht="15" hidden="0" customHeight="1">
      <x:c r="A612" s="13" t="str">
        <x:v>2023-09-13</x:v>
      </x:c>
      <x:c r="B612" s="13" t="n">
        <x:v>0</x:v>
      </x:c>
      <x:c r="C612" s="13" t="n">
        <x:v>0</x:v>
      </x:c>
      <x:c r="D612" s="16" t="n">
        <x:v>0</x:v>
      </x:c>
      <x:c r="E612" s="16" t="n">
        <x:v>0</x:v>
      </x:c>
      <x:c r="F612" s="16" t="n">
        <x:v>0</x:v>
      </x:c>
      <x:c r="G612" s="16" t="n">
        <x:v>0</x:v>
      </x:c>
      <x:c r="H612" s="16" t="n">
        <x:v>0</x:v>
      </x:c>
      <x:c r="I612" s="16" t="n">
        <x:v>1060137.584986517</x:v>
      </x:c>
      <x:c r="J612" s="16" t="n">
        <x:v>1060137.584986517</x:v>
      </x:c>
      <x:c r="K612" s="16" t="n">
        <x:v>0</x:v>
      </x:c>
      <x:c r="L612" s="18" t="n">
        <x:v>0</x:v>
      </x:c>
      <x:c r="M612" s="18" t="n">
        <x:v>0</x:v>
      </x:c>
      <x:c r="O612" t="str">
        <x:v>2023-09-13</x:v>
      </x:c>
      <x:c r="P612" t="n">
        <x:v>1060137.584986517</x:v>
      </x:c>
    </x:row>
    <x:row r="613" ht="15" hidden="0" customHeight="1">
      <x:c r="A613" s="13" t="str">
        <x:v>2023-09-14</x:v>
      </x:c>
      <x:c r="B613" s="13" t="n">
        <x:v>0</x:v>
      </x:c>
      <x:c r="C613" s="13" t="n">
        <x:v>0</x:v>
      </x:c>
      <x:c r="D613" s="16" t="n">
        <x:v>0</x:v>
      </x:c>
      <x:c r="E613" s="16" t="n">
        <x:v>0</x:v>
      </x:c>
      <x:c r="F613" s="16" t="n">
        <x:v>0</x:v>
      </x:c>
      <x:c r="G613" s="16" t="n">
        <x:v>0</x:v>
      </x:c>
      <x:c r="H613" s="16" t="n">
        <x:v>0</x:v>
      </x:c>
      <x:c r="I613" s="16" t="n">
        <x:v>1060137.584986517</x:v>
      </x:c>
      <x:c r="J613" s="16" t="n">
        <x:v>1060137.584986517</x:v>
      </x:c>
      <x:c r="K613" s="16" t="n">
        <x:v>0</x:v>
      </x:c>
      <x:c r="L613" s="18" t="n">
        <x:v>0</x:v>
      </x:c>
      <x:c r="M613" s="18" t="n">
        <x:v>0</x:v>
      </x:c>
      <x:c r="O613" t="str">
        <x:v>2023-09-14</x:v>
      </x:c>
      <x:c r="P613" t="n">
        <x:v>1060137.584986517</x:v>
      </x:c>
    </x:row>
    <x:row r="614" ht="15" hidden="0" customHeight="1">
      <x:c r="A614" s="13" t="str">
        <x:v>2023-09-15</x:v>
      </x:c>
      <x:c r="B614" s="13" t="n">
        <x:v>0</x:v>
      </x:c>
      <x:c r="C614" s="13" t="n">
        <x:v>0</x:v>
      </x:c>
      <x:c r="D614" s="16" t="n">
        <x:v>0</x:v>
      </x:c>
      <x:c r="E614" s="16" t="n">
        <x:v>0</x:v>
      </x:c>
      <x:c r="F614" s="16" t="n">
        <x:v>0</x:v>
      </x:c>
      <x:c r="G614" s="16" t="n">
        <x:v>0</x:v>
      </x:c>
      <x:c r="H614" s="16" t="n">
        <x:v>0</x:v>
      </x:c>
      <x:c r="I614" s="16" t="n">
        <x:v>1060137.584986517</x:v>
      </x:c>
      <x:c r="J614" s="16" t="n">
        <x:v>1060137.584986517</x:v>
      </x:c>
      <x:c r="K614" s="16" t="n">
        <x:v>0</x:v>
      </x:c>
      <x:c r="L614" s="18" t="n">
        <x:v>0</x:v>
      </x:c>
      <x:c r="M614" s="18" t="n">
        <x:v>0</x:v>
      </x:c>
      <x:c r="O614" t="str">
        <x:v>2023-09-15</x:v>
      </x:c>
      <x:c r="P614" t="n">
        <x:v>1060137.584986517</x:v>
      </x:c>
    </x:row>
    <x:row r="615" ht="15" hidden="0" customHeight="1">
      <x:c r="A615" s="13" t="str">
        <x:v>2023-09-18</x:v>
      </x:c>
      <x:c r="B615" s="13" t="n">
        <x:v>0</x:v>
      </x:c>
      <x:c r="C615" s="13" t="n">
        <x:v>0</x:v>
      </x:c>
      <x:c r="D615" s="16" t="n">
        <x:v>0</x:v>
      </x:c>
      <x:c r="E615" s="16" t="n">
        <x:v>0</x:v>
      </x:c>
      <x:c r="F615" s="16" t="n">
        <x:v>0</x:v>
      </x:c>
      <x:c r="G615" s="16" t="n">
        <x:v>0</x:v>
      </x:c>
      <x:c r="H615" s="16" t="n">
        <x:v>0</x:v>
      </x:c>
      <x:c r="I615" s="16" t="n">
        <x:v>1060137.584986517</x:v>
      </x:c>
      <x:c r="J615" s="16" t="n">
        <x:v>1060137.584986517</x:v>
      </x:c>
      <x:c r="K615" s="16" t="n">
        <x:v>0</x:v>
      </x:c>
      <x:c r="L615" s="18" t="n">
        <x:v>0</x:v>
      </x:c>
      <x:c r="M615" s="18" t="n">
        <x:v>0</x:v>
      </x:c>
      <x:c r="O615" t="str">
        <x:v>2023-09-18</x:v>
      </x:c>
      <x:c r="P615" t="n">
        <x:v>1060137.584986517</x:v>
      </x:c>
    </x:row>
    <x:row r="616" ht="15" hidden="0" customHeight="1">
      <x:c r="A616" s="13" t="str">
        <x:v>2023-09-19</x:v>
      </x:c>
      <x:c r="B616" s="13" t="n">
        <x:v>0</x:v>
      </x:c>
      <x:c r="C616" s="13" t="n">
        <x:v>0</x:v>
      </x:c>
      <x:c r="D616" s="16" t="n">
        <x:v>0</x:v>
      </x:c>
      <x:c r="E616" s="16" t="n">
        <x:v>0</x:v>
      </x:c>
      <x:c r="F616" s="16" t="n">
        <x:v>0</x:v>
      </x:c>
      <x:c r="G616" s="16" t="n">
        <x:v>0</x:v>
      </x:c>
      <x:c r="H616" s="16" t="n">
        <x:v>0</x:v>
      </x:c>
      <x:c r="I616" s="16" t="n">
        <x:v>1060137.584986517</x:v>
      </x:c>
      <x:c r="J616" s="16" t="n">
        <x:v>1060137.584986517</x:v>
      </x:c>
      <x:c r="K616" s="16" t="n">
        <x:v>0</x:v>
      </x:c>
      <x:c r="L616" s="18" t="n">
        <x:v>0</x:v>
      </x:c>
      <x:c r="M616" s="18" t="n">
        <x:v>0</x:v>
      </x:c>
      <x:c r="O616" t="str">
        <x:v>2023-09-19</x:v>
      </x:c>
      <x:c r="P616" t="n">
        <x:v>1060137.584986517</x:v>
      </x:c>
    </x:row>
    <x:row r="617" ht="15" hidden="0" customHeight="1">
      <x:c r="A617" s="13" t="str">
        <x:v>2023-09-20</x:v>
      </x:c>
      <x:c r="B617" s="13" t="n">
        <x:v>0</x:v>
      </x:c>
      <x:c r="C617" s="13" t="n">
        <x:v>0</x:v>
      </x:c>
      <x:c r="D617" s="16" t="n">
        <x:v>0</x:v>
      </x:c>
      <x:c r="E617" s="16" t="n">
        <x:v>0</x:v>
      </x:c>
      <x:c r="F617" s="16" t="n">
        <x:v>0</x:v>
      </x:c>
      <x:c r="G617" s="16" t="n">
        <x:v>0</x:v>
      </x:c>
      <x:c r="H617" s="16" t="n">
        <x:v>0</x:v>
      </x:c>
      <x:c r="I617" s="16" t="n">
        <x:v>1060137.584986517</x:v>
      </x:c>
      <x:c r="J617" s="16" t="n">
        <x:v>1060137.584986517</x:v>
      </x:c>
      <x:c r="K617" s="16" t="n">
        <x:v>0</x:v>
      </x:c>
      <x:c r="L617" s="18" t="n">
        <x:v>0</x:v>
      </x:c>
      <x:c r="M617" s="18" t="n">
        <x:v>0</x:v>
      </x:c>
      <x:c r="O617" t="str">
        <x:v>2023-09-20</x:v>
      </x:c>
      <x:c r="P617" t="n">
        <x:v>1060137.584986517</x:v>
      </x:c>
    </x:row>
    <x:row r="618" ht="15" hidden="0" customHeight="1">
      <x:c r="A618" s="13" t="str">
        <x:v>2023-09-21</x:v>
      </x:c>
      <x:c r="B618" s="13" t="n">
        <x:v>0</x:v>
      </x:c>
      <x:c r="C618" s="13" t="n">
        <x:v>0</x:v>
      </x:c>
      <x:c r="D618" s="16" t="n">
        <x:v>0</x:v>
      </x:c>
      <x:c r="E618" s="16" t="n">
        <x:v>0</x:v>
      </x:c>
      <x:c r="F618" s="16" t="n">
        <x:v>0</x:v>
      </x:c>
      <x:c r="G618" s="16" t="n">
        <x:v>0</x:v>
      </x:c>
      <x:c r="H618" s="16" t="n">
        <x:v>0</x:v>
      </x:c>
      <x:c r="I618" s="16" t="n">
        <x:v>1060137.584986517</x:v>
      </x:c>
      <x:c r="J618" s="16" t="n">
        <x:v>1060137.584986517</x:v>
      </x:c>
      <x:c r="K618" s="16" t="n">
        <x:v>0</x:v>
      </x:c>
      <x:c r="L618" s="18" t="n">
        <x:v>0</x:v>
      </x:c>
      <x:c r="M618" s="18" t="n">
        <x:v>0</x:v>
      </x:c>
      <x:c r="O618" t="str">
        <x:v>2023-09-21</x:v>
      </x:c>
      <x:c r="P618" t="n">
        <x:v>1060137.584986517</x:v>
      </x:c>
    </x:row>
    <x:row r="619" ht="15" hidden="0" customHeight="1">
      <x:c r="A619" s="13" t="str">
        <x:v>2023-09-22</x:v>
      </x:c>
      <x:c r="B619" s="13" t="n">
        <x:v>0</x:v>
      </x:c>
      <x:c r="C619" s="13" t="n">
        <x:v>0</x:v>
      </x:c>
      <x:c r="D619" s="16" t="n">
        <x:v>0</x:v>
      </x:c>
      <x:c r="E619" s="16" t="n">
        <x:v>0</x:v>
      </x:c>
      <x:c r="F619" s="16" t="n">
        <x:v>0</x:v>
      </x:c>
      <x:c r="G619" s="16" t="n">
        <x:v>0</x:v>
      </x:c>
      <x:c r="H619" s="16" t="n">
        <x:v>0</x:v>
      </x:c>
      <x:c r="I619" s="16" t="n">
        <x:v>1060137.584986517</x:v>
      </x:c>
      <x:c r="J619" s="16" t="n">
        <x:v>1060137.584986517</x:v>
      </x:c>
      <x:c r="K619" s="16" t="n">
        <x:v>0</x:v>
      </x:c>
      <x:c r="L619" s="18" t="n">
        <x:v>0</x:v>
      </x:c>
      <x:c r="M619" s="18" t="n">
        <x:v>0</x:v>
      </x:c>
      <x:c r="O619" t="str">
        <x:v>2023-09-22</x:v>
      </x:c>
      <x:c r="P619" t="n">
        <x:v>1060137.584986517</x:v>
      </x:c>
    </x:row>
    <x:row r="620" ht="15" hidden="0" customHeight="1">
      <x:c r="A620" s="13" t="str">
        <x:v>2023-09-25</x:v>
      </x:c>
      <x:c r="B620" s="13" t="n">
        <x:v>0</x:v>
      </x:c>
      <x:c r="C620" s="13" t="n">
        <x:v>0</x:v>
      </x:c>
      <x:c r="D620" s="16" t="n">
        <x:v>0</x:v>
      </x:c>
      <x:c r="E620" s="16" t="n">
        <x:v>0</x:v>
      </x:c>
      <x:c r="F620" s="16" t="n">
        <x:v>0</x:v>
      </x:c>
      <x:c r="G620" s="16" t="n">
        <x:v>0</x:v>
      </x:c>
      <x:c r="H620" s="16" t="n">
        <x:v>0</x:v>
      </x:c>
      <x:c r="I620" s="16" t="n">
        <x:v>1060137.584986517</x:v>
      </x:c>
      <x:c r="J620" s="16" t="n">
        <x:v>1060137.584986517</x:v>
      </x:c>
      <x:c r="K620" s="16" t="n">
        <x:v>0</x:v>
      </x:c>
      <x:c r="L620" s="18" t="n">
        <x:v>0</x:v>
      </x:c>
      <x:c r="M620" s="18" t="n">
        <x:v>0</x:v>
      </x:c>
      <x:c r="O620" t="str">
        <x:v>2023-09-25</x:v>
      </x:c>
      <x:c r="P620" t="n">
        <x:v>1060137.584986517</x:v>
      </x:c>
    </x:row>
    <x:row r="621" ht="15" hidden="0" customHeight="1">
      <x:c r="A621" s="13" t="str">
        <x:v>2023-09-26</x:v>
      </x:c>
      <x:c r="B621" s="13" t="n">
        <x:v>0</x:v>
      </x:c>
      <x:c r="C621" s="13" t="n">
        <x:v>0</x:v>
      </x:c>
      <x:c r="D621" s="16" t="n">
        <x:v>0</x:v>
      </x:c>
      <x:c r="E621" s="16" t="n">
        <x:v>0</x:v>
      </x:c>
      <x:c r="F621" s="16" t="n">
        <x:v>0</x:v>
      </x:c>
      <x:c r="G621" s="16" t="n">
        <x:v>0</x:v>
      </x:c>
      <x:c r="H621" s="16" t="n">
        <x:v>0</x:v>
      </x:c>
      <x:c r="I621" s="16" t="n">
        <x:v>1060137.584986517</x:v>
      </x:c>
      <x:c r="J621" s="16" t="n">
        <x:v>1060137.584986517</x:v>
      </x:c>
      <x:c r="K621" s="16" t="n">
        <x:v>0</x:v>
      </x:c>
      <x:c r="L621" s="18" t="n">
        <x:v>0</x:v>
      </x:c>
      <x:c r="M621" s="18" t="n">
        <x:v>0</x:v>
      </x:c>
      <x:c r="O621" t="str">
        <x:v>2023-09-26</x:v>
      </x:c>
      <x:c r="P621" t="n">
        <x:v>1060137.584986517</x:v>
      </x:c>
    </x:row>
    <x:row r="622" ht="15" hidden="0" customHeight="1">
      <x:c r="A622" s="13" t="str">
        <x:v>2023-09-27</x:v>
      </x:c>
      <x:c r="B622" s="13" t="n">
        <x:v>0</x:v>
      </x:c>
      <x:c r="C622" s="13" t="n">
        <x:v>0</x:v>
      </x:c>
      <x:c r="D622" s="16" t="n">
        <x:v>0</x:v>
      </x:c>
      <x:c r="E622" s="16" t="n">
        <x:v>0</x:v>
      </x:c>
      <x:c r="F622" s="16" t="n">
        <x:v>0</x:v>
      </x:c>
      <x:c r="G622" s="16" t="n">
        <x:v>0</x:v>
      </x:c>
      <x:c r="H622" s="16" t="n">
        <x:v>0</x:v>
      </x:c>
      <x:c r="I622" s="16" t="n">
        <x:v>1060137.584986517</x:v>
      </x:c>
      <x:c r="J622" s="16" t="n">
        <x:v>1060137.584986517</x:v>
      </x:c>
      <x:c r="K622" s="16" t="n">
        <x:v>0</x:v>
      </x:c>
      <x:c r="L622" s="18" t="n">
        <x:v>0</x:v>
      </x:c>
      <x:c r="M622" s="18" t="n">
        <x:v>0</x:v>
      </x:c>
      <x:c r="O622" t="str">
        <x:v>2023-09-27</x:v>
      </x:c>
      <x:c r="P622" t="n">
        <x:v>1060137.584986517</x:v>
      </x:c>
    </x:row>
    <x:row r="623" ht="15" hidden="0" customHeight="1">
      <x:c r="A623" s="13" t="str">
        <x:v>2023-09-28</x:v>
      </x:c>
      <x:c r="B623" s="13" t="n">
        <x:v>0</x:v>
      </x:c>
      <x:c r="C623" s="13" t="n">
        <x:v>0</x:v>
      </x:c>
      <x:c r="D623" s="16" t="n">
        <x:v>0</x:v>
      </x:c>
      <x:c r="E623" s="16" t="n">
        <x:v>0</x:v>
      </x:c>
      <x:c r="F623" s="16" t="n">
        <x:v>0</x:v>
      </x:c>
      <x:c r="G623" s="16" t="n">
        <x:v>0</x:v>
      </x:c>
      <x:c r="H623" s="16" t="n">
        <x:v>0</x:v>
      </x:c>
      <x:c r="I623" s="16" t="n">
        <x:v>1060137.584986517</x:v>
      </x:c>
      <x:c r="J623" s="16" t="n">
        <x:v>1060137.584986517</x:v>
      </x:c>
      <x:c r="K623" s="16" t="n">
        <x:v>0</x:v>
      </x:c>
      <x:c r="L623" s="18" t="n">
        <x:v>0</x:v>
      </x:c>
      <x:c r="M623" s="18" t="n">
        <x:v>0</x:v>
      </x:c>
      <x:c r="O623" t="str">
        <x:v>2023-09-28</x:v>
      </x:c>
      <x:c r="P623" t="n">
        <x:v>1060137.584986517</x:v>
      </x:c>
    </x:row>
    <x:row r="624" ht="15" hidden="0" customHeight="1">
      <x:c r="A624" s="13" t="str">
        <x:v>2023-09-29</x:v>
      </x:c>
      <x:c r="B624" s="13" t="n">
        <x:v>0</x:v>
      </x:c>
      <x:c r="C624" s="13" t="n">
        <x:v>0</x:v>
      </x:c>
      <x:c r="D624" s="16" t="n">
        <x:v>0</x:v>
      </x:c>
      <x:c r="E624" s="16" t="n">
        <x:v>0</x:v>
      </x:c>
      <x:c r="F624" s="16" t="n">
        <x:v>0</x:v>
      </x:c>
      <x:c r="G624" s="16" t="n">
        <x:v>0</x:v>
      </x:c>
      <x:c r="H624" s="16" t="n">
        <x:v>0</x:v>
      </x:c>
      <x:c r="I624" s="16" t="n">
        <x:v>1060137.584986517</x:v>
      </x:c>
      <x:c r="J624" s="16" t="n">
        <x:v>1060137.584986517</x:v>
      </x:c>
      <x:c r="K624" s="16" t="n">
        <x:v>0</x:v>
      </x:c>
      <x:c r="L624" s="18" t="n">
        <x:v>0</x:v>
      </x:c>
      <x:c r="M624" s="18" t="n">
        <x:v>0</x:v>
      </x:c>
      <x:c r="O624" t="str">
        <x:v>2023-09-29</x:v>
      </x:c>
      <x:c r="P624" t="n">
        <x:v>1060137.584986517</x:v>
      </x:c>
    </x:row>
    <x:row r="625" ht="15" hidden="0" customHeight="1">
      <x:c r="A625" s="13" t="str">
        <x:v>2023-10-02</x:v>
      </x:c>
      <x:c r="B625" s="13" t="n">
        <x:v>0</x:v>
      </x:c>
      <x:c r="C625" s="13" t="n">
        <x:v>0</x:v>
      </x:c>
      <x:c r="D625" s="16" t="n">
        <x:v>0</x:v>
      </x:c>
      <x:c r="E625" s="16" t="n">
        <x:v>0</x:v>
      </x:c>
      <x:c r="F625" s="16" t="n">
        <x:v>0</x:v>
      </x:c>
      <x:c r="G625" s="16" t="n">
        <x:v>0</x:v>
      </x:c>
      <x:c r="H625" s="16" t="n">
        <x:v>0</x:v>
      </x:c>
      <x:c r="I625" s="16" t="n">
        <x:v>1060137.584986517</x:v>
      </x:c>
      <x:c r="J625" s="16" t="n">
        <x:v>1060137.584986517</x:v>
      </x:c>
      <x:c r="K625" s="16" t="n">
        <x:v>0</x:v>
      </x:c>
      <x:c r="L625" s="18" t="n">
        <x:v>0</x:v>
      </x:c>
      <x:c r="M625" s="18" t="n">
        <x:v>0</x:v>
      </x:c>
      <x:c r="O625" t="str">
        <x:v>2023-10-02</x:v>
      </x:c>
      <x:c r="P625" t="n">
        <x:v>1060137.584986517</x:v>
      </x:c>
    </x:row>
    <x:row r="626" ht="15" hidden="0" customHeight="1">
      <x:c r="A626" s="13" t="str">
        <x:v>2023-10-03</x:v>
      </x:c>
      <x:c r="B626" s="13" t="n">
        <x:v>0</x:v>
      </x:c>
      <x:c r="C626" s="13" t="n">
        <x:v>0</x:v>
      </x:c>
      <x:c r="D626" s="16" t="n">
        <x:v>0</x:v>
      </x:c>
      <x:c r="E626" s="16" t="n">
        <x:v>0</x:v>
      </x:c>
      <x:c r="F626" s="16" t="n">
        <x:v>0</x:v>
      </x:c>
      <x:c r="G626" s="16" t="n">
        <x:v>0</x:v>
      </x:c>
      <x:c r="H626" s="16" t="n">
        <x:v>0</x:v>
      </x:c>
      <x:c r="I626" s="16" t="n">
        <x:v>1060137.584986517</x:v>
      </x:c>
      <x:c r="J626" s="16" t="n">
        <x:v>1060137.584986517</x:v>
      </x:c>
      <x:c r="K626" s="16" t="n">
        <x:v>0</x:v>
      </x:c>
      <x:c r="L626" s="18" t="n">
        <x:v>0</x:v>
      </x:c>
      <x:c r="M626" s="18" t="n">
        <x:v>0</x:v>
      </x:c>
      <x:c r="O626" t="str">
        <x:v>2023-10-03</x:v>
      </x:c>
      <x:c r="P626" t="n">
        <x:v>1060137.584986517</x:v>
      </x:c>
    </x:row>
    <x:row r="627" ht="15" hidden="0" customHeight="1">
      <x:c r="A627" s="13" t="str">
        <x:v>2023-10-04</x:v>
      </x:c>
      <x:c r="B627" s="13" t="n">
        <x:v>0</x:v>
      </x:c>
      <x:c r="C627" s="13" t="n">
        <x:v>0</x:v>
      </x:c>
      <x:c r="D627" s="16" t="n">
        <x:v>0</x:v>
      </x:c>
      <x:c r="E627" s="16" t="n">
        <x:v>0</x:v>
      </x:c>
      <x:c r="F627" s="16" t="n">
        <x:v>0</x:v>
      </x:c>
      <x:c r="G627" s="16" t="n">
        <x:v>0</x:v>
      </x:c>
      <x:c r="H627" s="16" t="n">
        <x:v>0</x:v>
      </x:c>
      <x:c r="I627" s="16" t="n">
        <x:v>1060137.584986517</x:v>
      </x:c>
      <x:c r="J627" s="16" t="n">
        <x:v>1060137.584986517</x:v>
      </x:c>
      <x:c r="K627" s="16" t="n">
        <x:v>0</x:v>
      </x:c>
      <x:c r="L627" s="18" t="n">
        <x:v>0</x:v>
      </x:c>
      <x:c r="M627" s="18" t="n">
        <x:v>0</x:v>
      </x:c>
      <x:c r="O627" t="str">
        <x:v>2023-10-04</x:v>
      </x:c>
      <x:c r="P627" t="n">
        <x:v>1060137.584986517</x:v>
      </x:c>
    </x:row>
    <x:row r="628" ht="15" hidden="0" customHeight="1">
      <x:c r="A628" s="13" t="str">
        <x:v>2023-10-05</x:v>
      </x:c>
      <x:c r="B628" s="13" t="n">
        <x:v>0</x:v>
      </x:c>
      <x:c r="C628" s="13" t="n">
        <x:v>0</x:v>
      </x:c>
      <x:c r="D628" s="16" t="n">
        <x:v>0</x:v>
      </x:c>
      <x:c r="E628" s="16" t="n">
        <x:v>0</x:v>
      </x:c>
      <x:c r="F628" s="16" t="n">
        <x:v>0</x:v>
      </x:c>
      <x:c r="G628" s="16" t="n">
        <x:v>0</x:v>
      </x:c>
      <x:c r="H628" s="16" t="n">
        <x:v>0</x:v>
      </x:c>
      <x:c r="I628" s="16" t="n">
        <x:v>1060137.584986517</x:v>
      </x:c>
      <x:c r="J628" s="16" t="n">
        <x:v>1060137.584986517</x:v>
      </x:c>
      <x:c r="K628" s="16" t="n">
        <x:v>0</x:v>
      </x:c>
      <x:c r="L628" s="18" t="n">
        <x:v>0</x:v>
      </x:c>
      <x:c r="M628" s="18" t="n">
        <x:v>0</x:v>
      </x:c>
      <x:c r="O628" t="str">
        <x:v>2023-10-05</x:v>
      </x:c>
      <x:c r="P628" t="n">
        <x:v>1060137.584986517</x:v>
      </x:c>
    </x:row>
    <x:row r="629" ht="15" hidden="0" customHeight="1">
      <x:c r="A629" s="13" t="str">
        <x:v>2023-10-06</x:v>
      </x:c>
      <x:c r="B629" s="13" t="n">
        <x:v>0</x:v>
      </x:c>
      <x:c r="C629" s="13" t="n">
        <x:v>0</x:v>
      </x:c>
      <x:c r="D629" s="16" t="n">
        <x:v>0</x:v>
      </x:c>
      <x:c r="E629" s="16" t="n">
        <x:v>0</x:v>
      </x:c>
      <x:c r="F629" s="16" t="n">
        <x:v>0</x:v>
      </x:c>
      <x:c r="G629" s="16" t="n">
        <x:v>0</x:v>
      </x:c>
      <x:c r="H629" s="16" t="n">
        <x:v>0</x:v>
      </x:c>
      <x:c r="I629" s="16" t="n">
        <x:v>1060137.584986517</x:v>
      </x:c>
      <x:c r="J629" s="16" t="n">
        <x:v>1060137.584986517</x:v>
      </x:c>
      <x:c r="K629" s="16" t="n">
        <x:v>0</x:v>
      </x:c>
      <x:c r="L629" s="18" t="n">
        <x:v>0</x:v>
      </x:c>
      <x:c r="M629" s="18" t="n">
        <x:v>0</x:v>
      </x:c>
      <x:c r="O629" t="str">
        <x:v>2023-10-06</x:v>
      </x:c>
      <x:c r="P629" t="n">
        <x:v>1060137.584986517</x:v>
      </x:c>
    </x:row>
    <x:row r="630" ht="15" hidden="0" customHeight="1">
      <x:c r="A630" s="13" t="str">
        <x:v>2023-10-09</x:v>
      </x:c>
      <x:c r="B630" s="13" t="n">
        <x:v>0</x:v>
      </x:c>
      <x:c r="C630" s="13" t="n">
        <x:v>0</x:v>
      </x:c>
      <x:c r="D630" s="16" t="n">
        <x:v>0</x:v>
      </x:c>
      <x:c r="E630" s="16" t="n">
        <x:v>0</x:v>
      </x:c>
      <x:c r="F630" s="16" t="n">
        <x:v>0</x:v>
      </x:c>
      <x:c r="G630" s="16" t="n">
        <x:v>0</x:v>
      </x:c>
      <x:c r="H630" s="16" t="n">
        <x:v>0</x:v>
      </x:c>
      <x:c r="I630" s="16" t="n">
        <x:v>1060137.584986517</x:v>
      </x:c>
      <x:c r="J630" s="16" t="n">
        <x:v>1060137.584986517</x:v>
      </x:c>
      <x:c r="K630" s="16" t="n">
        <x:v>0</x:v>
      </x:c>
      <x:c r="L630" s="18" t="n">
        <x:v>0</x:v>
      </x:c>
      <x:c r="M630" s="18" t="n">
        <x:v>0</x:v>
      </x:c>
      <x:c r="O630" t="str">
        <x:v>2023-10-09</x:v>
      </x:c>
      <x:c r="P630" t="n">
        <x:v>1060137.584986517</x:v>
      </x:c>
    </x:row>
    <x:row r="631" ht="15" hidden="0" customHeight="1">
      <x:c r="A631" s="13" t="str">
        <x:v>2023-10-10</x:v>
      </x:c>
      <x:c r="B631" s="13" t="n">
        <x:v>0</x:v>
      </x:c>
      <x:c r="C631" s="13" t="n">
        <x:v>0</x:v>
      </x:c>
      <x:c r="D631" s="16" t="n">
        <x:v>0</x:v>
      </x:c>
      <x:c r="E631" s="16" t="n">
        <x:v>0</x:v>
      </x:c>
      <x:c r="F631" s="16" t="n">
        <x:v>0</x:v>
      </x:c>
      <x:c r="G631" s="16" t="n">
        <x:v>0</x:v>
      </x:c>
      <x:c r="H631" s="16" t="n">
        <x:v>0</x:v>
      </x:c>
      <x:c r="I631" s="16" t="n">
        <x:v>1060137.584986517</x:v>
      </x:c>
      <x:c r="J631" s="16" t="n">
        <x:v>1060137.584986517</x:v>
      </x:c>
      <x:c r="K631" s="16" t="n">
        <x:v>0</x:v>
      </x:c>
      <x:c r="L631" s="18" t="n">
        <x:v>0</x:v>
      </x:c>
      <x:c r="M631" s="18" t="n">
        <x:v>0</x:v>
      </x:c>
      <x:c r="O631" t="str">
        <x:v>2023-10-10</x:v>
      </x:c>
      <x:c r="P631" t="n">
        <x:v>1060137.584986517</x:v>
      </x:c>
    </x:row>
    <x:row r="632" ht="15" hidden="0" customHeight="1">
      <x:c r="A632" s="13" t="str">
        <x:v>2023-10-11</x:v>
      </x:c>
      <x:c r="B632" s="13" t="n">
        <x:v>0</x:v>
      </x:c>
      <x:c r="C632" s="13" t="n">
        <x:v>0</x:v>
      </x:c>
      <x:c r="D632" s="16" t="n">
        <x:v>0</x:v>
      </x:c>
      <x:c r="E632" s="16" t="n">
        <x:v>0</x:v>
      </x:c>
      <x:c r="F632" s="16" t="n">
        <x:v>0</x:v>
      </x:c>
      <x:c r="G632" s="16" t="n">
        <x:v>0</x:v>
      </x:c>
      <x:c r="H632" s="16" t="n">
        <x:v>0</x:v>
      </x:c>
      <x:c r="I632" s="16" t="n">
        <x:v>1060137.584986517</x:v>
      </x:c>
      <x:c r="J632" s="16" t="n">
        <x:v>1060137.584986517</x:v>
      </x:c>
      <x:c r="K632" s="16" t="n">
        <x:v>0</x:v>
      </x:c>
      <x:c r="L632" s="18" t="n">
        <x:v>0</x:v>
      </x:c>
      <x:c r="M632" s="18" t="n">
        <x:v>0</x:v>
      </x:c>
      <x:c r="O632" t="str">
        <x:v>2023-10-11</x:v>
      </x:c>
      <x:c r="P632" t="n">
        <x:v>1060137.584986517</x:v>
      </x:c>
    </x:row>
    <x:row r="633" ht="15" hidden="0" customHeight="1">
      <x:c r="A633" s="13" t="str">
        <x:v>2023-10-12</x:v>
      </x:c>
      <x:c r="B633" s="13" t="n">
        <x:v>0</x:v>
      </x:c>
      <x:c r="C633" s="13" t="n">
        <x:v>0</x:v>
      </x:c>
      <x:c r="D633" s="16" t="n">
        <x:v>0</x:v>
      </x:c>
      <x:c r="E633" s="16" t="n">
        <x:v>0</x:v>
      </x:c>
      <x:c r="F633" s="16" t="n">
        <x:v>0</x:v>
      </x:c>
      <x:c r="G633" s="16" t="n">
        <x:v>0</x:v>
      </x:c>
      <x:c r="H633" s="16" t="n">
        <x:v>0</x:v>
      </x:c>
      <x:c r="I633" s="16" t="n">
        <x:v>1060137.584986517</x:v>
      </x:c>
      <x:c r="J633" s="16" t="n">
        <x:v>1060137.584986517</x:v>
      </x:c>
      <x:c r="K633" s="16" t="n">
        <x:v>0</x:v>
      </x:c>
      <x:c r="L633" s="18" t="n">
        <x:v>0</x:v>
      </x:c>
      <x:c r="M633" s="18" t="n">
        <x:v>0</x:v>
      </x:c>
      <x:c r="O633" t="str">
        <x:v>2023-10-12</x:v>
      </x:c>
      <x:c r="P633" t="n">
        <x:v>1060137.584986517</x:v>
      </x:c>
    </x:row>
    <x:row r="634" ht="15" hidden="0" customHeight="1">
      <x:c r="A634" s="13" t="str">
        <x:v>2023-10-13</x:v>
      </x:c>
      <x:c r="B634" s="13" t="n">
        <x:v>0</x:v>
      </x:c>
      <x:c r="C634" s="13" t="n">
        <x:v>0</x:v>
      </x:c>
      <x:c r="D634" s="16" t="n">
        <x:v>0</x:v>
      </x:c>
      <x:c r="E634" s="16" t="n">
        <x:v>0</x:v>
      </x:c>
      <x:c r="F634" s="16" t="n">
        <x:v>0</x:v>
      </x:c>
      <x:c r="G634" s="16" t="n">
        <x:v>0</x:v>
      </x:c>
      <x:c r="H634" s="16" t="n">
        <x:v>0</x:v>
      </x:c>
      <x:c r="I634" s="16" t="n">
        <x:v>1060137.584986517</x:v>
      </x:c>
      <x:c r="J634" s="16" t="n">
        <x:v>1060137.584986517</x:v>
      </x:c>
      <x:c r="K634" s="16" t="n">
        <x:v>0</x:v>
      </x:c>
      <x:c r="L634" s="18" t="n">
        <x:v>0</x:v>
      </x:c>
      <x:c r="M634" s="18" t="n">
        <x:v>0</x:v>
      </x:c>
      <x:c r="O634" t="str">
        <x:v>2023-10-13</x:v>
      </x:c>
      <x:c r="P634" t="n">
        <x:v>1060137.584986517</x:v>
      </x:c>
    </x:row>
    <x:row r="635" ht="15" hidden="0" customHeight="1">
      <x:c r="A635" s="13" t="str">
        <x:v>2023-10-16</x:v>
      </x:c>
      <x:c r="B635" s="13" t="n">
        <x:v>0</x:v>
      </x:c>
      <x:c r="C635" s="13" t="n">
        <x:v>0</x:v>
      </x:c>
      <x:c r="D635" s="16" t="n">
        <x:v>0</x:v>
      </x:c>
      <x:c r="E635" s="16" t="n">
        <x:v>0</x:v>
      </x:c>
      <x:c r="F635" s="16" t="n">
        <x:v>0</x:v>
      </x:c>
      <x:c r="G635" s="16" t="n">
        <x:v>0</x:v>
      </x:c>
      <x:c r="H635" s="16" t="n">
        <x:v>0</x:v>
      </x:c>
      <x:c r="I635" s="16" t="n">
        <x:v>1060137.584986517</x:v>
      </x:c>
      <x:c r="J635" s="16" t="n">
        <x:v>1060137.584986517</x:v>
      </x:c>
      <x:c r="K635" s="16" t="n">
        <x:v>0</x:v>
      </x:c>
      <x:c r="L635" s="18" t="n">
        <x:v>0</x:v>
      </x:c>
      <x:c r="M635" s="18" t="n">
        <x:v>0</x:v>
      </x:c>
      <x:c r="O635" t="str">
        <x:v>2023-10-16</x:v>
      </x:c>
      <x:c r="P635" t="n">
        <x:v>1060137.584986517</x:v>
      </x:c>
    </x:row>
    <x:row r="636" ht="15" hidden="0" customHeight="1">
      <x:c r="A636" s="13" t="str">
        <x:v>2023-10-17</x:v>
      </x:c>
      <x:c r="B636" s="13" t="n">
        <x:v>0</x:v>
      </x:c>
      <x:c r="C636" s="13" t="n">
        <x:v>0</x:v>
      </x:c>
      <x:c r="D636" s="16" t="n">
        <x:v>0</x:v>
      </x:c>
      <x:c r="E636" s="16" t="n">
        <x:v>0</x:v>
      </x:c>
      <x:c r="F636" s="16" t="n">
        <x:v>0</x:v>
      </x:c>
      <x:c r="G636" s="16" t="n">
        <x:v>0</x:v>
      </x:c>
      <x:c r="H636" s="16" t="n">
        <x:v>0</x:v>
      </x:c>
      <x:c r="I636" s="16" t="n">
        <x:v>1060137.584986517</x:v>
      </x:c>
      <x:c r="J636" s="16" t="n">
        <x:v>1060137.584986517</x:v>
      </x:c>
      <x:c r="K636" s="16" t="n">
        <x:v>0</x:v>
      </x:c>
      <x:c r="L636" s="18" t="n">
        <x:v>0</x:v>
      </x:c>
      <x:c r="M636" s="18" t="n">
        <x:v>0</x:v>
      </x:c>
      <x:c r="O636" t="str">
        <x:v>2023-10-17</x:v>
      </x:c>
      <x:c r="P636" t="n">
        <x:v>1060137.584986517</x:v>
      </x:c>
    </x:row>
    <x:row r="637" ht="15" hidden="0" customHeight="1">
      <x:c r="A637" s="13" t="str">
        <x:v>2023-10-18</x:v>
      </x:c>
      <x:c r="B637" s="13" t="n">
        <x:v>0</x:v>
      </x:c>
      <x:c r="C637" s="13" t="n">
        <x:v>0</x:v>
      </x:c>
      <x:c r="D637" s="16" t="n">
        <x:v>0</x:v>
      </x:c>
      <x:c r="E637" s="16" t="n">
        <x:v>0</x:v>
      </x:c>
      <x:c r="F637" s="16" t="n">
        <x:v>0</x:v>
      </x:c>
      <x:c r="G637" s="16" t="n">
        <x:v>0</x:v>
      </x:c>
      <x:c r="H637" s="16" t="n">
        <x:v>0</x:v>
      </x:c>
      <x:c r="I637" s="16" t="n">
        <x:v>1060137.584986517</x:v>
      </x:c>
      <x:c r="J637" s="16" t="n">
        <x:v>1060137.584986517</x:v>
      </x:c>
      <x:c r="K637" s="16" t="n">
        <x:v>0</x:v>
      </x:c>
      <x:c r="L637" s="18" t="n">
        <x:v>0</x:v>
      </x:c>
      <x:c r="M637" s="18" t="n">
        <x:v>0</x:v>
      </x:c>
      <x:c r="O637" t="str">
        <x:v>2023-10-18</x:v>
      </x:c>
      <x:c r="P637" t="n">
        <x:v>1060137.584986517</x:v>
      </x:c>
    </x:row>
    <x:row r="638" ht="15" hidden="0" customHeight="1">
      <x:c r="A638" s="13" t="str">
        <x:v>2023-10-19</x:v>
      </x:c>
      <x:c r="B638" s="13" t="n">
        <x:v>0</x:v>
      </x:c>
      <x:c r="C638" s="13" t="n">
        <x:v>0</x:v>
      </x:c>
      <x:c r="D638" s="16" t="n">
        <x:v>0</x:v>
      </x:c>
      <x:c r="E638" s="16" t="n">
        <x:v>0</x:v>
      </x:c>
      <x:c r="F638" s="16" t="n">
        <x:v>0</x:v>
      </x:c>
      <x:c r="G638" s="16" t="n">
        <x:v>0</x:v>
      </x:c>
      <x:c r="H638" s="16" t="n">
        <x:v>0</x:v>
      </x:c>
      <x:c r="I638" s="16" t="n">
        <x:v>1060137.584986517</x:v>
      </x:c>
      <x:c r="J638" s="16" t="n">
        <x:v>1060137.584986517</x:v>
      </x:c>
      <x:c r="K638" s="16" t="n">
        <x:v>0</x:v>
      </x:c>
      <x:c r="L638" s="18" t="n">
        <x:v>0</x:v>
      </x:c>
      <x:c r="M638" s="18" t="n">
        <x:v>0</x:v>
      </x:c>
      <x:c r="O638" t="str">
        <x:v>2023-10-19</x:v>
      </x:c>
      <x:c r="P638" t="n">
        <x:v>1060137.584986517</x:v>
      </x:c>
    </x:row>
    <x:row r="639" ht="15" hidden="0" customHeight="1">
      <x:c r="A639" s="13" t="str">
        <x:v>2023-10-20</x:v>
      </x:c>
      <x:c r="B639" s="13" t="n">
        <x:v>0</x:v>
      </x:c>
      <x:c r="C639" s="13" t="n">
        <x:v>0</x:v>
      </x:c>
      <x:c r="D639" s="16" t="n">
        <x:v>0</x:v>
      </x:c>
      <x:c r="E639" s="16" t="n">
        <x:v>0</x:v>
      </x:c>
      <x:c r="F639" s="16" t="n">
        <x:v>0</x:v>
      </x:c>
      <x:c r="G639" s="16" t="n">
        <x:v>0</x:v>
      </x:c>
      <x:c r="H639" s="16" t="n">
        <x:v>0</x:v>
      </x:c>
      <x:c r="I639" s="16" t="n">
        <x:v>1060137.584986517</x:v>
      </x:c>
      <x:c r="J639" s="16" t="n">
        <x:v>1060137.584986517</x:v>
      </x:c>
      <x:c r="K639" s="16" t="n">
        <x:v>0</x:v>
      </x:c>
      <x:c r="L639" s="18" t="n">
        <x:v>0</x:v>
      </x:c>
      <x:c r="M639" s="18" t="n">
        <x:v>0</x:v>
      </x:c>
      <x:c r="O639" t="str">
        <x:v>2023-10-20</x:v>
      </x:c>
      <x:c r="P639" t="n">
        <x:v>1060137.584986517</x:v>
      </x:c>
    </x:row>
    <x:row r="640" ht="15" hidden="0" customHeight="1">
      <x:c r="A640" s="13" t="str">
        <x:v>2023-10-23</x:v>
      </x:c>
      <x:c r="B640" s="13" t="n">
        <x:v>0</x:v>
      </x:c>
      <x:c r="C640" s="13" t="n">
        <x:v>0</x:v>
      </x:c>
      <x:c r="D640" s="16" t="n">
        <x:v>0</x:v>
      </x:c>
      <x:c r="E640" s="16" t="n">
        <x:v>0</x:v>
      </x:c>
      <x:c r="F640" s="16" t="n">
        <x:v>0</x:v>
      </x:c>
      <x:c r="G640" s="16" t="n">
        <x:v>0</x:v>
      </x:c>
      <x:c r="H640" s="16" t="n">
        <x:v>0</x:v>
      </x:c>
      <x:c r="I640" s="16" t="n">
        <x:v>1060137.584986517</x:v>
      </x:c>
      <x:c r="J640" s="16" t="n">
        <x:v>1060137.584986517</x:v>
      </x:c>
      <x:c r="K640" s="16" t="n">
        <x:v>0</x:v>
      </x:c>
      <x:c r="L640" s="18" t="n">
        <x:v>0</x:v>
      </x:c>
      <x:c r="M640" s="18" t="n">
        <x:v>0</x:v>
      </x:c>
      <x:c r="O640" t="str">
        <x:v>2023-10-23</x:v>
      </x:c>
      <x:c r="P640" t="n">
        <x:v>1060137.584986517</x:v>
      </x:c>
    </x:row>
    <x:row r="641" ht="15" hidden="0" customHeight="1">
      <x:c r="A641" s="13" t="str">
        <x:v>2023-10-24</x:v>
      </x:c>
      <x:c r="B641" s="13" t="n">
        <x:v>0</x:v>
      </x:c>
      <x:c r="C641" s="13" t="n">
        <x:v>0</x:v>
      </x:c>
      <x:c r="D641" s="16" t="n">
        <x:v>0</x:v>
      </x:c>
      <x:c r="E641" s="16" t="n">
        <x:v>0</x:v>
      </x:c>
      <x:c r="F641" s="16" t="n">
        <x:v>0</x:v>
      </x:c>
      <x:c r="G641" s="16" t="n">
        <x:v>0</x:v>
      </x:c>
      <x:c r="H641" s="16" t="n">
        <x:v>0</x:v>
      </x:c>
      <x:c r="I641" s="16" t="n">
        <x:v>1060137.584986517</x:v>
      </x:c>
      <x:c r="J641" s="16" t="n">
        <x:v>1060137.584986517</x:v>
      </x:c>
      <x:c r="K641" s="16" t="n">
        <x:v>0</x:v>
      </x:c>
      <x:c r="L641" s="18" t="n">
        <x:v>0</x:v>
      </x:c>
      <x:c r="M641" s="18" t="n">
        <x:v>0</x:v>
      </x:c>
      <x:c r="O641" t="str">
        <x:v>2023-10-24</x:v>
      </x:c>
      <x:c r="P641" t="n">
        <x:v>1060137.584986517</x:v>
      </x:c>
    </x:row>
    <x:row r="642" ht="15" hidden="0" customHeight="1">
      <x:c r="A642" s="13" t="str">
        <x:v>2023-10-25</x:v>
      </x:c>
      <x:c r="B642" s="13" t="n">
        <x:v>0</x:v>
      </x:c>
      <x:c r="C642" s="13" t="n">
        <x:v>0</x:v>
      </x:c>
      <x:c r="D642" s="16" t="n">
        <x:v>0</x:v>
      </x:c>
      <x:c r="E642" s="16" t="n">
        <x:v>0</x:v>
      </x:c>
      <x:c r="F642" s="16" t="n">
        <x:v>0</x:v>
      </x:c>
      <x:c r="G642" s="16" t="n">
        <x:v>0</x:v>
      </x:c>
      <x:c r="H642" s="16" t="n">
        <x:v>0</x:v>
      </x:c>
      <x:c r="I642" s="16" t="n">
        <x:v>1060137.584986517</x:v>
      </x:c>
      <x:c r="J642" s="16" t="n">
        <x:v>1060137.584986517</x:v>
      </x:c>
      <x:c r="K642" s="16" t="n">
        <x:v>0</x:v>
      </x:c>
      <x:c r="L642" s="18" t="n">
        <x:v>0</x:v>
      </x:c>
      <x:c r="M642" s="18" t="n">
        <x:v>0</x:v>
      </x:c>
      <x:c r="O642" t="str">
        <x:v>2023-10-25</x:v>
      </x:c>
      <x:c r="P642" t="n">
        <x:v>1060137.584986517</x:v>
      </x:c>
    </x:row>
    <x:row r="643" ht="15" hidden="0" customHeight="1">
      <x:c r="A643" s="13" t="str">
        <x:v>2023-10-26</x:v>
      </x:c>
      <x:c r="B643" s="13" t="n">
        <x:v>0</x:v>
      </x:c>
      <x:c r="C643" s="13" t="n">
        <x:v>0</x:v>
      </x:c>
      <x:c r="D643" s="16" t="n">
        <x:v>0</x:v>
      </x:c>
      <x:c r="E643" s="16" t="n">
        <x:v>0</x:v>
      </x:c>
      <x:c r="F643" s="16" t="n">
        <x:v>0</x:v>
      </x:c>
      <x:c r="G643" s="16" t="n">
        <x:v>0</x:v>
      </x:c>
      <x:c r="H643" s="16" t="n">
        <x:v>0</x:v>
      </x:c>
      <x:c r="I643" s="16" t="n">
        <x:v>1060137.584986517</x:v>
      </x:c>
      <x:c r="J643" s="16" t="n">
        <x:v>1060137.584986517</x:v>
      </x:c>
      <x:c r="K643" s="16" t="n">
        <x:v>0</x:v>
      </x:c>
      <x:c r="L643" s="18" t="n">
        <x:v>0</x:v>
      </x:c>
      <x:c r="M643" s="18" t="n">
        <x:v>0</x:v>
      </x:c>
      <x:c r="O643" t="str">
        <x:v>2023-10-26</x:v>
      </x:c>
      <x:c r="P643" t="n">
        <x:v>1060137.584986517</x:v>
      </x:c>
    </x:row>
    <x:row r="644" ht="15" hidden="0" customHeight="1">
      <x:c r="A644" s="13" t="str">
        <x:v>2023-10-27</x:v>
      </x:c>
      <x:c r="B644" s="13" t="n">
        <x:v>0</x:v>
      </x:c>
      <x:c r="C644" s="13" t="n">
        <x:v>0</x:v>
      </x:c>
      <x:c r="D644" s="16" t="n">
        <x:v>0</x:v>
      </x:c>
      <x:c r="E644" s="16" t="n">
        <x:v>0</x:v>
      </x:c>
      <x:c r="F644" s="16" t="n">
        <x:v>0</x:v>
      </x:c>
      <x:c r="G644" s="16" t="n">
        <x:v>0</x:v>
      </x:c>
      <x:c r="H644" s="16" t="n">
        <x:v>0</x:v>
      </x:c>
      <x:c r="I644" s="16" t="n">
        <x:v>1060137.584986517</x:v>
      </x:c>
      <x:c r="J644" s="16" t="n">
        <x:v>1060137.584986517</x:v>
      </x:c>
      <x:c r="K644" s="16" t="n">
        <x:v>0</x:v>
      </x:c>
      <x:c r="L644" s="18" t="n">
        <x:v>0</x:v>
      </x:c>
      <x:c r="M644" s="18" t="n">
        <x:v>0</x:v>
      </x:c>
      <x:c r="O644" t="str">
        <x:v>2023-10-27</x:v>
      </x:c>
      <x:c r="P644" t="n">
        <x:v>1060137.584986517</x:v>
      </x:c>
    </x:row>
    <x:row r="645" ht="15" hidden="0" customHeight="1">
      <x:c r="A645" s="13" t="str">
        <x:v>2023-10-30</x:v>
      </x:c>
      <x:c r="B645" s="13" t="n">
        <x:v>0</x:v>
      </x:c>
      <x:c r="C645" s="13" t="n">
        <x:v>0</x:v>
      </x:c>
      <x:c r="D645" s="16" t="n">
        <x:v>0</x:v>
      </x:c>
      <x:c r="E645" s="16" t="n">
        <x:v>0</x:v>
      </x:c>
      <x:c r="F645" s="16" t="n">
        <x:v>0</x:v>
      </x:c>
      <x:c r="G645" s="16" t="n">
        <x:v>0</x:v>
      </x:c>
      <x:c r="H645" s="16" t="n">
        <x:v>0</x:v>
      </x:c>
      <x:c r="I645" s="16" t="n">
        <x:v>1060137.584986517</x:v>
      </x:c>
      <x:c r="J645" s="16" t="n">
        <x:v>1060137.584986517</x:v>
      </x:c>
      <x:c r="K645" s="16" t="n">
        <x:v>0</x:v>
      </x:c>
      <x:c r="L645" s="18" t="n">
        <x:v>0</x:v>
      </x:c>
      <x:c r="M645" s="18" t="n">
        <x:v>0</x:v>
      </x:c>
      <x:c r="O645" t="str">
        <x:v>2023-10-30</x:v>
      </x:c>
      <x:c r="P645" t="n">
        <x:v>1060137.584986517</x:v>
      </x:c>
    </x:row>
    <x:row r="646" ht="15" hidden="0" customHeight="1">
      <x:c r="A646" s="13" t="str">
        <x:v>2023-10-31</x:v>
      </x:c>
      <x:c r="B646" s="13" t="n">
        <x:v>0</x:v>
      </x:c>
      <x:c r="C646" s="13" t="n">
        <x:v>0</x:v>
      </x:c>
      <x:c r="D646" s="16" t="n">
        <x:v>0</x:v>
      </x:c>
      <x:c r="E646" s="16" t="n">
        <x:v>0</x:v>
      </x:c>
      <x:c r="F646" s="16" t="n">
        <x:v>0</x:v>
      </x:c>
      <x:c r="G646" s="16" t="n">
        <x:v>0</x:v>
      </x:c>
      <x:c r="H646" s="16" t="n">
        <x:v>0</x:v>
      </x:c>
      <x:c r="I646" s="16" t="n">
        <x:v>1060137.584986517</x:v>
      </x:c>
      <x:c r="J646" s="16" t="n">
        <x:v>1060137.584986517</x:v>
      </x:c>
      <x:c r="K646" s="16" t="n">
        <x:v>0</x:v>
      </x:c>
      <x:c r="L646" s="18" t="n">
        <x:v>0</x:v>
      </x:c>
      <x:c r="M646" s="18" t="n">
        <x:v>0</x:v>
      </x:c>
      <x:c r="O646" t="str">
        <x:v>2023-10-31</x:v>
      </x:c>
      <x:c r="P646" t="n">
        <x:v>1060137.584986517</x:v>
      </x:c>
    </x:row>
    <x:row r="647" ht="15" hidden="0" customHeight="1">
      <x:c r="A647" s="13" t="str">
        <x:v>2023-11-01</x:v>
      </x:c>
      <x:c r="B647" s="13" t="n">
        <x:v>0</x:v>
      </x:c>
      <x:c r="C647" s="13" t="n">
        <x:v>0</x:v>
      </x:c>
      <x:c r="D647" s="16" t="n">
        <x:v>0</x:v>
      </x:c>
      <x:c r="E647" s="16" t="n">
        <x:v>0</x:v>
      </x:c>
      <x:c r="F647" s="16" t="n">
        <x:v>0</x:v>
      </x:c>
      <x:c r="G647" s="16" t="n">
        <x:v>0</x:v>
      </x:c>
      <x:c r="H647" s="16" t="n">
        <x:v>0</x:v>
      </x:c>
      <x:c r="I647" s="16" t="n">
        <x:v>1060137.584986517</x:v>
      </x:c>
      <x:c r="J647" s="16" t="n">
        <x:v>1060137.584986517</x:v>
      </x:c>
      <x:c r="K647" s="16" t="n">
        <x:v>0</x:v>
      </x:c>
      <x:c r="L647" s="18" t="n">
        <x:v>0</x:v>
      </x:c>
      <x:c r="M647" s="18" t="n">
        <x:v>0</x:v>
      </x:c>
      <x:c r="O647" t="str">
        <x:v>2023-11-01</x:v>
      </x:c>
      <x:c r="P647" t="n">
        <x:v>1060137.584986517</x:v>
      </x:c>
    </x:row>
    <x:row r="648" ht="15" hidden="0" customHeight="1">
      <x:c r="A648" s="13" t="str">
        <x:v>2023-11-02</x:v>
      </x:c>
      <x:c r="B648" s="13" t="n">
        <x:v>0</x:v>
      </x:c>
      <x:c r="C648" s="13" t="n">
        <x:v>0</x:v>
      </x:c>
      <x:c r="D648" s="16" t="n">
        <x:v>0</x:v>
      </x:c>
      <x:c r="E648" s="16" t="n">
        <x:v>0</x:v>
      </x:c>
      <x:c r="F648" s="16" t="n">
        <x:v>0</x:v>
      </x:c>
      <x:c r="G648" s="16" t="n">
        <x:v>0</x:v>
      </x:c>
      <x:c r="H648" s="16" t="n">
        <x:v>0</x:v>
      </x:c>
      <x:c r="I648" s="16" t="n">
        <x:v>1060137.584986517</x:v>
      </x:c>
      <x:c r="J648" s="16" t="n">
        <x:v>1060137.584986517</x:v>
      </x:c>
      <x:c r="K648" s="16" t="n">
        <x:v>0</x:v>
      </x:c>
      <x:c r="L648" s="18" t="n">
        <x:v>0</x:v>
      </x:c>
      <x:c r="M648" s="18" t="n">
        <x:v>0</x:v>
      </x:c>
      <x:c r="O648" t="str">
        <x:v>2023-11-02</x:v>
      </x:c>
      <x:c r="P648" t="n">
        <x:v>1060137.584986517</x:v>
      </x:c>
    </x:row>
    <x:row r="649" ht="15" hidden="0" customHeight="1">
      <x:c r="A649" s="13" t="str">
        <x:v>2023-11-03</x:v>
      </x:c>
      <x:c r="B649" s="13" t="n">
        <x:v>0</x:v>
      </x:c>
      <x:c r="C649" s="13" t="n">
        <x:v>0</x:v>
      </x:c>
      <x:c r="D649" s="16" t="n">
        <x:v>0</x:v>
      </x:c>
      <x:c r="E649" s="16" t="n">
        <x:v>0</x:v>
      </x:c>
      <x:c r="F649" s="16" t="n">
        <x:v>0</x:v>
      </x:c>
      <x:c r="G649" s="16" t="n">
        <x:v>0</x:v>
      </x:c>
      <x:c r="H649" s="16" t="n">
        <x:v>0</x:v>
      </x:c>
      <x:c r="I649" s="16" t="n">
        <x:v>1060137.584986517</x:v>
      </x:c>
      <x:c r="J649" s="16" t="n">
        <x:v>1060137.584986517</x:v>
      </x:c>
      <x:c r="K649" s="16" t="n">
        <x:v>0</x:v>
      </x:c>
      <x:c r="L649" s="18" t="n">
        <x:v>0</x:v>
      </x:c>
      <x:c r="M649" s="18" t="n">
        <x:v>0</x:v>
      </x:c>
      <x:c r="O649" t="str">
        <x:v>2023-11-03</x:v>
      </x:c>
      <x:c r="P649" t="n">
        <x:v>1060137.584986517</x:v>
      </x:c>
    </x:row>
    <x:row r="650" ht="15" hidden="0" customHeight="1">
      <x:c r="A650" s="13" t="str">
        <x:v>2023-11-06</x:v>
      </x:c>
      <x:c r="B650" s="13" t="n">
        <x:v>0</x:v>
      </x:c>
      <x:c r="C650" s="13" t="n">
        <x:v>0</x:v>
      </x:c>
      <x:c r="D650" s="16" t="n">
        <x:v>0</x:v>
      </x:c>
      <x:c r="E650" s="16" t="n">
        <x:v>0</x:v>
      </x:c>
      <x:c r="F650" s="16" t="n">
        <x:v>0</x:v>
      </x:c>
      <x:c r="G650" s="16" t="n">
        <x:v>0</x:v>
      </x:c>
      <x:c r="H650" s="16" t="n">
        <x:v>0</x:v>
      </x:c>
      <x:c r="I650" s="16" t="n">
        <x:v>1060137.584986517</x:v>
      </x:c>
      <x:c r="J650" s="16" t="n">
        <x:v>1060137.584986517</x:v>
      </x:c>
      <x:c r="K650" s="16" t="n">
        <x:v>0</x:v>
      </x:c>
      <x:c r="L650" s="18" t="n">
        <x:v>0</x:v>
      </x:c>
      <x:c r="M650" s="18" t="n">
        <x:v>0</x:v>
      </x:c>
      <x:c r="O650" t="str">
        <x:v>2023-11-06</x:v>
      </x:c>
      <x:c r="P650" t="n">
        <x:v>1060137.584986517</x:v>
      </x:c>
    </x:row>
    <x:row r="651" ht="15" hidden="0" customHeight="1">
      <x:c r="A651" s="13" t="str">
        <x:v>2023-11-07</x:v>
      </x:c>
      <x:c r="B651" s="13" t="n">
        <x:v>0</x:v>
      </x:c>
      <x:c r="C651" s="13" t="n">
        <x:v>0</x:v>
      </x:c>
      <x:c r="D651" s="16" t="n">
        <x:v>0</x:v>
      </x:c>
      <x:c r="E651" s="16" t="n">
        <x:v>0</x:v>
      </x:c>
      <x:c r="F651" s="16" t="n">
        <x:v>0</x:v>
      </x:c>
      <x:c r="G651" s="16" t="n">
        <x:v>0</x:v>
      </x:c>
      <x:c r="H651" s="16" t="n">
        <x:v>0</x:v>
      </x:c>
      <x:c r="I651" s="16" t="n">
        <x:v>1060137.584986517</x:v>
      </x:c>
      <x:c r="J651" s="16" t="n">
        <x:v>1060137.584986517</x:v>
      </x:c>
      <x:c r="K651" s="16" t="n">
        <x:v>0</x:v>
      </x:c>
      <x:c r="L651" s="18" t="n">
        <x:v>0</x:v>
      </x:c>
      <x:c r="M651" s="18" t="n">
        <x:v>0</x:v>
      </x:c>
      <x:c r="O651" t="str">
        <x:v>2023-11-07</x:v>
      </x:c>
      <x:c r="P651" t="n">
        <x:v>1060137.584986517</x:v>
      </x:c>
    </x:row>
    <x:row r="652" ht="15" hidden="0" customHeight="1">
      <x:c r="A652" s="13" t="str">
        <x:v>2023-11-08</x:v>
      </x:c>
      <x:c r="B652" s="13" t="n">
        <x:v>0</x:v>
      </x:c>
      <x:c r="C652" s="13" t="n">
        <x:v>0</x:v>
      </x:c>
      <x:c r="D652" s="16" t="n">
        <x:v>0</x:v>
      </x:c>
      <x:c r="E652" s="16" t="n">
        <x:v>0</x:v>
      </x:c>
      <x:c r="F652" s="16" t="n">
        <x:v>0</x:v>
      </x:c>
      <x:c r="G652" s="16" t="n">
        <x:v>0</x:v>
      </x:c>
      <x:c r="H652" s="16" t="n">
        <x:v>0</x:v>
      </x:c>
      <x:c r="I652" s="16" t="n">
        <x:v>1060137.584986517</x:v>
      </x:c>
      <x:c r="J652" s="16" t="n">
        <x:v>1060137.584986517</x:v>
      </x:c>
      <x:c r="K652" s="16" t="n">
        <x:v>0</x:v>
      </x:c>
      <x:c r="L652" s="18" t="n">
        <x:v>0</x:v>
      </x:c>
      <x:c r="M652" s="18" t="n">
        <x:v>0</x:v>
      </x:c>
      <x:c r="O652" t="str">
        <x:v>2023-11-08</x:v>
      </x:c>
      <x:c r="P652" t="n">
        <x:v>1060137.584986517</x:v>
      </x:c>
    </x:row>
    <x:row r="653" ht="15" hidden="0" customHeight="1">
      <x:c r="A653" s="13" t="str">
        <x:v>2023-11-09</x:v>
      </x:c>
      <x:c r="B653" s="13" t="n">
        <x:v>0</x:v>
      </x:c>
      <x:c r="C653" s="13" t="n">
        <x:v>0</x:v>
      </x:c>
      <x:c r="D653" s="16" t="n">
        <x:v>0</x:v>
      </x:c>
      <x:c r="E653" s="16" t="n">
        <x:v>0</x:v>
      </x:c>
      <x:c r="F653" s="16" t="n">
        <x:v>0</x:v>
      </x:c>
      <x:c r="G653" s="16" t="n">
        <x:v>0</x:v>
      </x:c>
      <x:c r="H653" s="16" t="n">
        <x:v>0</x:v>
      </x:c>
      <x:c r="I653" s="16" t="n">
        <x:v>1060137.584986517</x:v>
      </x:c>
      <x:c r="J653" s="16" t="n">
        <x:v>1060137.584986517</x:v>
      </x:c>
      <x:c r="K653" s="16" t="n">
        <x:v>0</x:v>
      </x:c>
      <x:c r="L653" s="18" t="n">
        <x:v>0</x:v>
      </x:c>
      <x:c r="M653" s="18" t="n">
        <x:v>0</x:v>
      </x:c>
      <x:c r="O653" t="str">
        <x:v>2023-11-09</x:v>
      </x:c>
      <x:c r="P653" t="n">
        <x:v>1060137.584986517</x:v>
      </x:c>
    </x:row>
    <x:row r="654" ht="15" hidden="0" customHeight="1">
      <x:c r="A654" s="13" t="str">
        <x:v>2023-11-10</x:v>
      </x:c>
      <x:c r="B654" s="13" t="n">
        <x:v>0</x:v>
      </x:c>
      <x:c r="C654" s="13" t="n">
        <x:v>0</x:v>
      </x:c>
      <x:c r="D654" s="16" t="n">
        <x:v>0</x:v>
      </x:c>
      <x:c r="E654" s="16" t="n">
        <x:v>0</x:v>
      </x:c>
      <x:c r="F654" s="16" t="n">
        <x:v>0</x:v>
      </x:c>
      <x:c r="G654" s="16" t="n">
        <x:v>0</x:v>
      </x:c>
      <x:c r="H654" s="16" t="n">
        <x:v>0</x:v>
      </x:c>
      <x:c r="I654" s="16" t="n">
        <x:v>1060137.584986517</x:v>
      </x:c>
      <x:c r="J654" s="16" t="n">
        <x:v>1060137.584986517</x:v>
      </x:c>
      <x:c r="K654" s="16" t="n">
        <x:v>0</x:v>
      </x:c>
      <x:c r="L654" s="18" t="n">
        <x:v>0</x:v>
      </x:c>
      <x:c r="M654" s="18" t="n">
        <x:v>0</x:v>
      </x:c>
      <x:c r="O654" t="str">
        <x:v>2023-11-10</x:v>
      </x:c>
      <x:c r="P654" t="n">
        <x:v>1060137.584986517</x:v>
      </x:c>
    </x:row>
    <x:row r="655" ht="15" hidden="0" customHeight="1">
      <x:c r="A655" s="13" t="str">
        <x:v>2023-11-13</x:v>
      </x:c>
      <x:c r="B655" s="13" t="n">
        <x:v>0</x:v>
      </x:c>
      <x:c r="C655" s="13" t="n">
        <x:v>0</x:v>
      </x:c>
      <x:c r="D655" s="16" t="n">
        <x:v>0</x:v>
      </x:c>
      <x:c r="E655" s="16" t="n">
        <x:v>0</x:v>
      </x:c>
      <x:c r="F655" s="16" t="n">
        <x:v>0</x:v>
      </x:c>
      <x:c r="G655" s="16" t="n">
        <x:v>0</x:v>
      </x:c>
      <x:c r="H655" s="16" t="n">
        <x:v>0</x:v>
      </x:c>
      <x:c r="I655" s="16" t="n">
        <x:v>1060137.584986517</x:v>
      </x:c>
      <x:c r="J655" s="16" t="n">
        <x:v>1060137.584986517</x:v>
      </x:c>
      <x:c r="K655" s="16" t="n">
        <x:v>0</x:v>
      </x:c>
      <x:c r="L655" s="18" t="n">
        <x:v>0</x:v>
      </x:c>
      <x:c r="M655" s="18" t="n">
        <x:v>0</x:v>
      </x:c>
      <x:c r="O655" t="str">
        <x:v>2023-11-13</x:v>
      </x:c>
      <x:c r="P655" t="n">
        <x:v>1060137.584986517</x:v>
      </x:c>
    </x:row>
    <x:row r="656" ht="15" hidden="0" customHeight="1">
      <x:c r="A656" s="13" t="str">
        <x:v>2023-11-14</x:v>
      </x:c>
      <x:c r="B656" s="13" t="n">
        <x:v>0</x:v>
      </x:c>
      <x:c r="C656" s="13" t="n">
        <x:v>0</x:v>
      </x:c>
      <x:c r="D656" s="16" t="n">
        <x:v>0</x:v>
      </x:c>
      <x:c r="E656" s="16" t="n">
        <x:v>0</x:v>
      </x:c>
      <x:c r="F656" s="16" t="n">
        <x:v>0</x:v>
      </x:c>
      <x:c r="G656" s="16" t="n">
        <x:v>0</x:v>
      </x:c>
      <x:c r="H656" s="16" t="n">
        <x:v>0</x:v>
      </x:c>
      <x:c r="I656" s="16" t="n">
        <x:v>1060137.584986517</x:v>
      </x:c>
      <x:c r="J656" s="16" t="n">
        <x:v>1060137.584986517</x:v>
      </x:c>
      <x:c r="K656" s="16" t="n">
        <x:v>0</x:v>
      </x:c>
      <x:c r="L656" s="18" t="n">
        <x:v>0</x:v>
      </x:c>
      <x:c r="M656" s="18" t="n">
        <x:v>0</x:v>
      </x:c>
      <x:c r="O656" t="str">
        <x:v>2023-11-14</x:v>
      </x:c>
      <x:c r="P656" t="n">
        <x:v>1060137.584986517</x:v>
      </x:c>
    </x:row>
    <x:row r="657" ht="15" hidden="0" customHeight="1">
      <x:c r="A657" s="13" t="str">
        <x:v>2023-11-15</x:v>
      </x:c>
      <x:c r="B657" s="13" t="n">
        <x:v>0</x:v>
      </x:c>
      <x:c r="C657" s="13" t="n">
        <x:v>0</x:v>
      </x:c>
      <x:c r="D657" s="16" t="n">
        <x:v>0</x:v>
      </x:c>
      <x:c r="E657" s="16" t="n">
        <x:v>0</x:v>
      </x:c>
      <x:c r="F657" s="16" t="n">
        <x:v>0</x:v>
      </x:c>
      <x:c r="G657" s="16" t="n">
        <x:v>0</x:v>
      </x:c>
      <x:c r="H657" s="16" t="n">
        <x:v>0</x:v>
      </x:c>
      <x:c r="I657" s="16" t="n">
        <x:v>1060137.584986517</x:v>
      </x:c>
      <x:c r="J657" s="16" t="n">
        <x:v>1060137.584986517</x:v>
      </x:c>
      <x:c r="K657" s="16" t="n">
        <x:v>0</x:v>
      </x:c>
      <x:c r="L657" s="18" t="n">
        <x:v>0</x:v>
      </x:c>
      <x:c r="M657" s="18" t="n">
        <x:v>0</x:v>
      </x:c>
      <x:c r="O657" t="str">
        <x:v>2023-11-15</x:v>
      </x:c>
      <x:c r="P657" t="n">
        <x:v>1060137.584986517</x:v>
      </x:c>
    </x:row>
    <x:row r="658" ht="15" hidden="0" customHeight="1">
      <x:c r="A658" s="13" t="str">
        <x:v>2023-11-16</x:v>
      </x:c>
      <x:c r="B658" s="13" t="n">
        <x:v>0</x:v>
      </x:c>
      <x:c r="C658" s="13" t="n">
        <x:v>0</x:v>
      </x:c>
      <x:c r="D658" s="16" t="n">
        <x:v>0</x:v>
      </x:c>
      <x:c r="E658" s="16" t="n">
        <x:v>0</x:v>
      </x:c>
      <x:c r="F658" s="16" t="n">
        <x:v>0</x:v>
      </x:c>
      <x:c r="G658" s="16" t="n">
        <x:v>0</x:v>
      </x:c>
      <x:c r="H658" s="16" t="n">
        <x:v>0</x:v>
      </x:c>
      <x:c r="I658" s="16" t="n">
        <x:v>1060137.584986517</x:v>
      </x:c>
      <x:c r="J658" s="16" t="n">
        <x:v>1060137.584986517</x:v>
      </x:c>
      <x:c r="K658" s="16" t="n">
        <x:v>0</x:v>
      </x:c>
      <x:c r="L658" s="18" t="n">
        <x:v>0</x:v>
      </x:c>
      <x:c r="M658" s="18" t="n">
        <x:v>0</x:v>
      </x:c>
      <x:c r="O658" t="str">
        <x:v>2023-11-16</x:v>
      </x:c>
      <x:c r="P658" t="n">
        <x:v>1060137.584986517</x:v>
      </x:c>
    </x:row>
    <x:row r="659" ht="15" hidden="0" customHeight="1">
      <x:c r="A659" s="13" t="str">
        <x:v>2023-11-17</x:v>
      </x:c>
      <x:c r="B659" s="13" t="n">
        <x:v>0</x:v>
      </x:c>
      <x:c r="C659" s="13" t="n">
        <x:v>0</x:v>
      </x:c>
      <x:c r="D659" s="16" t="n">
        <x:v>0</x:v>
      </x:c>
      <x:c r="E659" s="16" t="n">
        <x:v>0</x:v>
      </x:c>
      <x:c r="F659" s="16" t="n">
        <x:v>0</x:v>
      </x:c>
      <x:c r="G659" s="16" t="n">
        <x:v>0</x:v>
      </x:c>
      <x:c r="H659" s="16" t="n">
        <x:v>0</x:v>
      </x:c>
      <x:c r="I659" s="16" t="n">
        <x:v>1060137.584986517</x:v>
      </x:c>
      <x:c r="J659" s="16" t="n">
        <x:v>1060137.584986517</x:v>
      </x:c>
      <x:c r="K659" s="16" t="n">
        <x:v>0</x:v>
      </x:c>
      <x:c r="L659" s="18" t="n">
        <x:v>0</x:v>
      </x:c>
      <x:c r="M659" s="18" t="n">
        <x:v>0</x:v>
      </x:c>
      <x:c r="O659" t="str">
        <x:v>2023-11-17</x:v>
      </x:c>
      <x:c r="P659" t="n">
        <x:v>1060137.584986517</x:v>
      </x:c>
    </x:row>
    <x:row r="660" ht="15" hidden="0" customHeight="1">
      <x:c r="A660" s="13" t="str">
        <x:v>2023-11-20</x:v>
      </x:c>
      <x:c r="B660" s="13" t="n">
        <x:v>0</x:v>
      </x:c>
      <x:c r="C660" s="13" t="n">
        <x:v>0</x:v>
      </x:c>
      <x:c r="D660" s="16" t="n">
        <x:v>0</x:v>
      </x:c>
      <x:c r="E660" s="16" t="n">
        <x:v>0</x:v>
      </x:c>
      <x:c r="F660" s="16" t="n">
        <x:v>0</x:v>
      </x:c>
      <x:c r="G660" s="16" t="n">
        <x:v>0</x:v>
      </x:c>
      <x:c r="H660" s="16" t="n">
        <x:v>0</x:v>
      </x:c>
      <x:c r="I660" s="16" t="n">
        <x:v>1060137.584986517</x:v>
      </x:c>
      <x:c r="J660" s="16" t="n">
        <x:v>1060137.584986517</x:v>
      </x:c>
      <x:c r="K660" s="16" t="n">
        <x:v>0</x:v>
      </x:c>
      <x:c r="L660" s="18" t="n">
        <x:v>0</x:v>
      </x:c>
      <x:c r="M660" s="18" t="n">
        <x:v>0</x:v>
      </x:c>
      <x:c r="O660" t="str">
        <x:v>2023-11-20</x:v>
      </x:c>
      <x:c r="P660" t="n">
        <x:v>1060137.584986517</x:v>
      </x:c>
    </x:row>
    <x:row r="661" ht="15" hidden="0" customHeight="1">
      <x:c r="A661" s="13" t="str">
        <x:v>2023-11-21</x:v>
      </x:c>
      <x:c r="B661" s="13" t="n">
        <x:v>0</x:v>
      </x:c>
      <x:c r="C661" s="13" t="n">
        <x:v>0</x:v>
      </x:c>
      <x:c r="D661" s="16" t="n">
        <x:v>0</x:v>
      </x:c>
      <x:c r="E661" s="16" t="n">
        <x:v>0</x:v>
      </x:c>
      <x:c r="F661" s="16" t="n">
        <x:v>0</x:v>
      </x:c>
      <x:c r="G661" s="16" t="n">
        <x:v>0</x:v>
      </x:c>
      <x:c r="H661" s="16" t="n">
        <x:v>0</x:v>
      </x:c>
      <x:c r="I661" s="16" t="n">
        <x:v>1060137.584986517</x:v>
      </x:c>
      <x:c r="J661" s="16" t="n">
        <x:v>1060137.584986517</x:v>
      </x:c>
      <x:c r="K661" s="16" t="n">
        <x:v>0</x:v>
      </x:c>
      <x:c r="L661" s="18" t="n">
        <x:v>0</x:v>
      </x:c>
      <x:c r="M661" s="18" t="n">
        <x:v>0</x:v>
      </x:c>
      <x:c r="O661" t="str">
        <x:v>2023-11-21</x:v>
      </x:c>
      <x:c r="P661" t="n">
        <x:v>1060137.584986517</x:v>
      </x:c>
    </x:row>
    <x:row r="662" ht="15" hidden="0" customHeight="1">
      <x:c r="A662" s="13" t="str">
        <x:v>2023-11-22</x:v>
      </x:c>
      <x:c r="B662" s="13" t="n">
        <x:v>0</x:v>
      </x:c>
      <x:c r="C662" s="13" t="n">
        <x:v>0</x:v>
      </x:c>
      <x:c r="D662" s="16" t="n">
        <x:v>0</x:v>
      </x:c>
      <x:c r="E662" s="16" t="n">
        <x:v>0</x:v>
      </x:c>
      <x:c r="F662" s="16" t="n">
        <x:v>0</x:v>
      </x:c>
      <x:c r="G662" s="16" t="n">
        <x:v>0</x:v>
      </x:c>
      <x:c r="H662" s="16" t="n">
        <x:v>0</x:v>
      </x:c>
      <x:c r="I662" s="16" t="n">
        <x:v>1060137.584986517</x:v>
      </x:c>
      <x:c r="J662" s="16" t="n">
        <x:v>1060137.584986517</x:v>
      </x:c>
      <x:c r="K662" s="16" t="n">
        <x:v>0</x:v>
      </x:c>
      <x:c r="L662" s="18" t="n">
        <x:v>0</x:v>
      </x:c>
      <x:c r="M662" s="18" t="n">
        <x:v>0</x:v>
      </x:c>
      <x:c r="O662" t="str">
        <x:v>2023-11-22</x:v>
      </x:c>
      <x:c r="P662" t="n">
        <x:v>1060137.584986517</x:v>
      </x:c>
    </x:row>
    <x:row r="663" ht="15" hidden="0" customHeight="1">
      <x:c r="A663" s="13" t="str">
        <x:v>2023-11-23</x:v>
      </x:c>
      <x:c r="B663" s="13" t="n">
        <x:v>0</x:v>
      </x:c>
      <x:c r="C663" s="13" t="n">
        <x:v>0</x:v>
      </x:c>
      <x:c r="D663" s="16" t="n">
        <x:v>0</x:v>
      </x:c>
      <x:c r="E663" s="16" t="n">
        <x:v>0</x:v>
      </x:c>
      <x:c r="F663" s="16" t="n">
        <x:v>0</x:v>
      </x:c>
      <x:c r="G663" s="16" t="n">
        <x:v>0</x:v>
      </x:c>
      <x:c r="H663" s="16" t="n">
        <x:v>0</x:v>
      </x:c>
      <x:c r="I663" s="16" t="n">
        <x:v>1060137.584986517</x:v>
      </x:c>
      <x:c r="J663" s="16" t="n">
        <x:v>1060137.584986517</x:v>
      </x:c>
      <x:c r="K663" s="16" t="n">
        <x:v>0</x:v>
      </x:c>
      <x:c r="L663" s="18" t="n">
        <x:v>0</x:v>
      </x:c>
      <x:c r="M663" s="18" t="n">
        <x:v>0</x:v>
      </x:c>
      <x:c r="O663" t="str">
        <x:v>2023-11-23</x:v>
      </x:c>
      <x:c r="P663" t="n">
        <x:v>1060137.584986517</x:v>
      </x:c>
    </x:row>
    <x:row r="664" ht="15" hidden="0" customHeight="1">
      <x:c r="A664" s="13" t="str">
        <x:v>2023-11-24</x:v>
      </x:c>
      <x:c r="B664" s="13" t="n">
        <x:v>0</x:v>
      </x:c>
      <x:c r="C664" s="13" t="n">
        <x:v>0</x:v>
      </x:c>
      <x:c r="D664" s="16" t="n">
        <x:v>0</x:v>
      </x:c>
      <x:c r="E664" s="16" t="n">
        <x:v>0</x:v>
      </x:c>
      <x:c r="F664" s="16" t="n">
        <x:v>0</x:v>
      </x:c>
      <x:c r="G664" s="16" t="n">
        <x:v>0</x:v>
      </x:c>
      <x:c r="H664" s="16" t="n">
        <x:v>0</x:v>
      </x:c>
      <x:c r="I664" s="16" t="n">
        <x:v>1060137.584986517</x:v>
      </x:c>
      <x:c r="J664" s="16" t="n">
        <x:v>1060137.584986517</x:v>
      </x:c>
      <x:c r="K664" s="16" t="n">
        <x:v>0</x:v>
      </x:c>
      <x:c r="L664" s="18" t="n">
        <x:v>0</x:v>
      </x:c>
      <x:c r="M664" s="18" t="n">
        <x:v>0</x:v>
      </x:c>
      <x:c r="O664" t="str">
        <x:v>2023-11-24</x:v>
      </x:c>
      <x:c r="P664" t="n">
        <x:v>1060137.584986517</x:v>
      </x:c>
    </x:row>
    <x:row r="665" ht="15" hidden="0" customHeight="1">
      <x:c r="A665" s="13" t="str">
        <x:v>2023-11-27</x:v>
      </x:c>
      <x:c r="B665" s="13" t="n">
        <x:v>0</x:v>
      </x:c>
      <x:c r="C665" s="13" t="n">
        <x:v>0</x:v>
      </x:c>
      <x:c r="D665" s="16" t="n">
        <x:v>0</x:v>
      </x:c>
      <x:c r="E665" s="16" t="n">
        <x:v>0</x:v>
      </x:c>
      <x:c r="F665" s="16" t="n">
        <x:v>0</x:v>
      </x:c>
      <x:c r="G665" s="16" t="n">
        <x:v>0</x:v>
      </x:c>
      <x:c r="H665" s="16" t="n">
        <x:v>0</x:v>
      </x:c>
      <x:c r="I665" s="16" t="n">
        <x:v>1060137.584986517</x:v>
      </x:c>
      <x:c r="J665" s="16" t="n">
        <x:v>1060137.584986517</x:v>
      </x:c>
      <x:c r="K665" s="16" t="n">
        <x:v>0</x:v>
      </x:c>
      <x:c r="L665" s="18" t="n">
        <x:v>0</x:v>
      </x:c>
      <x:c r="M665" s="18" t="n">
        <x:v>0</x:v>
      </x:c>
      <x:c r="O665" t="str">
        <x:v>2023-11-27</x:v>
      </x:c>
      <x:c r="P665" t="n">
        <x:v>1060137.584986517</x:v>
      </x:c>
    </x:row>
    <x:row r="666" ht="15" hidden="0" customHeight="1">
      <x:c r="A666" s="13" t="str">
        <x:v>2023-11-28</x:v>
      </x:c>
      <x:c r="B666" s="13" t="n">
        <x:v>0</x:v>
      </x:c>
      <x:c r="C666" s="13" t="n">
        <x:v>0</x:v>
      </x:c>
      <x:c r="D666" s="16" t="n">
        <x:v>0</x:v>
      </x:c>
      <x:c r="E666" s="16" t="n">
        <x:v>0</x:v>
      </x:c>
      <x:c r="F666" s="16" t="n">
        <x:v>0</x:v>
      </x:c>
      <x:c r="G666" s="16" t="n">
        <x:v>0</x:v>
      </x:c>
      <x:c r="H666" s="16" t="n">
        <x:v>0</x:v>
      </x:c>
      <x:c r="I666" s="16" t="n">
        <x:v>1060137.584986517</x:v>
      </x:c>
      <x:c r="J666" s="16" t="n">
        <x:v>1060137.584986517</x:v>
      </x:c>
      <x:c r="K666" s="16" t="n">
        <x:v>0</x:v>
      </x:c>
      <x:c r="L666" s="18" t="n">
        <x:v>0</x:v>
      </x:c>
      <x:c r="M666" s="18" t="n">
        <x:v>0</x:v>
      </x:c>
      <x:c r="O666" t="str">
        <x:v>2023-11-28</x:v>
      </x:c>
      <x:c r="P666" t="n">
        <x:v>1060137.584986517</x:v>
      </x:c>
    </x:row>
    <x:row r="667" ht="15" hidden="0" customHeight="1">
      <x:c r="A667" s="13" t="str">
        <x:v>2023-11-29</x:v>
      </x:c>
      <x:c r="B667" s="13" t="n">
        <x:v>0</x:v>
      </x:c>
      <x:c r="C667" s="13" t="n">
        <x:v>0</x:v>
      </x:c>
      <x:c r="D667" s="16" t="n">
        <x:v>0</x:v>
      </x:c>
      <x:c r="E667" s="16" t="n">
        <x:v>0</x:v>
      </x:c>
      <x:c r="F667" s="16" t="n">
        <x:v>0</x:v>
      </x:c>
      <x:c r="G667" s="16" t="n">
        <x:v>0</x:v>
      </x:c>
      <x:c r="H667" s="16" t="n">
        <x:v>0</x:v>
      </x:c>
      <x:c r="I667" s="16" t="n">
        <x:v>1060137.584986517</x:v>
      </x:c>
      <x:c r="J667" s="16" t="n">
        <x:v>1060137.584986517</x:v>
      </x:c>
      <x:c r="K667" s="16" t="n">
        <x:v>0</x:v>
      </x:c>
      <x:c r="L667" s="18" t="n">
        <x:v>0</x:v>
      </x:c>
      <x:c r="M667" s="18" t="n">
        <x:v>0</x:v>
      </x:c>
      <x:c r="O667" t="str">
        <x:v>2023-11-29</x:v>
      </x:c>
      <x:c r="P667" t="n">
        <x:v>1060137.584986517</x:v>
      </x:c>
    </x:row>
    <x:row r="668" ht="15" hidden="0" customHeight="1">
      <x:c r="A668" s="13" t="str">
        <x:v>2023-11-30</x:v>
      </x:c>
      <x:c r="B668" s="13" t="n">
        <x:v>0</x:v>
      </x:c>
      <x:c r="C668" s="13" t="n">
        <x:v>0</x:v>
      </x:c>
      <x:c r="D668" s="16" t="n">
        <x:v>0</x:v>
      </x:c>
      <x:c r="E668" s="16" t="n">
        <x:v>0</x:v>
      </x:c>
      <x:c r="F668" s="16" t="n">
        <x:v>0</x:v>
      </x:c>
      <x:c r="G668" s="16" t="n">
        <x:v>0</x:v>
      </x:c>
      <x:c r="H668" s="16" t="n">
        <x:v>0</x:v>
      </x:c>
      <x:c r="I668" s="16" t="n">
        <x:v>1060137.584986517</x:v>
      </x:c>
      <x:c r="J668" s="16" t="n">
        <x:v>1060137.584986517</x:v>
      </x:c>
      <x:c r="K668" s="16" t="n">
        <x:v>0</x:v>
      </x:c>
      <x:c r="L668" s="18" t="n">
        <x:v>0</x:v>
      </x:c>
      <x:c r="M668" s="18" t="n">
        <x:v>0</x:v>
      </x:c>
      <x:c r="O668" t="str">
        <x:v>2023-11-30</x:v>
      </x:c>
      <x:c r="P668" t="n">
        <x:v>1060137.584986517</x:v>
      </x:c>
    </x:row>
    <x:row r="669" ht="15" hidden="0" customHeight="1">
      <x:c r="A669" s="13" t="str">
        <x:v>2023-12-01</x:v>
      </x:c>
      <x:c r="B669" s="13" t="n">
        <x:v>0</x:v>
      </x:c>
      <x:c r="C669" s="13" t="n">
        <x:v>0</x:v>
      </x:c>
      <x:c r="D669" s="16" t="n">
        <x:v>0</x:v>
      </x:c>
      <x:c r="E669" s="16" t="n">
        <x:v>0</x:v>
      </x:c>
      <x:c r="F669" s="16" t="n">
        <x:v>0</x:v>
      </x:c>
      <x:c r="G669" s="16" t="n">
        <x:v>0</x:v>
      </x:c>
      <x:c r="H669" s="16" t="n">
        <x:v>0</x:v>
      </x:c>
      <x:c r="I669" s="16" t="n">
        <x:v>1060137.584986517</x:v>
      </x:c>
      <x:c r="J669" s="16" t="n">
        <x:v>1060137.584986517</x:v>
      </x:c>
      <x:c r="K669" s="16" t="n">
        <x:v>0</x:v>
      </x:c>
      <x:c r="L669" s="18" t="n">
        <x:v>0</x:v>
      </x:c>
      <x:c r="M669" s="18" t="n">
        <x:v>0</x:v>
      </x:c>
      <x:c r="O669" t="str">
        <x:v>2023-12-01</x:v>
      </x:c>
      <x:c r="P669" t="n">
        <x:v>1060137.584986517</x:v>
      </x:c>
    </x:row>
    <x:row r="670" ht="15" hidden="0" customHeight="1">
      <x:c r="A670" s="13" t="str">
        <x:v>2023-12-04</x:v>
      </x:c>
      <x:c r="B670" s="13" t="n">
        <x:v>0</x:v>
      </x:c>
      <x:c r="C670" s="13" t="n">
        <x:v>0</x:v>
      </x:c>
      <x:c r="D670" s="16" t="n">
        <x:v>0</x:v>
      </x:c>
      <x:c r="E670" s="16" t="n">
        <x:v>0</x:v>
      </x:c>
      <x:c r="F670" s="16" t="n">
        <x:v>0</x:v>
      </x:c>
      <x:c r="G670" s="16" t="n">
        <x:v>0</x:v>
      </x:c>
      <x:c r="H670" s="16" t="n">
        <x:v>0</x:v>
      </x:c>
      <x:c r="I670" s="16" t="n">
        <x:v>1060137.584986517</x:v>
      </x:c>
      <x:c r="J670" s="16" t="n">
        <x:v>1060137.584986517</x:v>
      </x:c>
      <x:c r="K670" s="16" t="n">
        <x:v>0</x:v>
      </x:c>
      <x:c r="L670" s="18" t="n">
        <x:v>0</x:v>
      </x:c>
      <x:c r="M670" s="18" t="n">
        <x:v>0</x:v>
      </x:c>
      <x:c r="O670" t="str">
        <x:v>2023-12-04</x:v>
      </x:c>
      <x:c r="P670" t="n">
        <x:v>1060137.584986517</x:v>
      </x:c>
    </x:row>
    <x:row r="671" ht="15" hidden="0" customHeight="1">
      <x:c r="A671" s="13" t="str">
        <x:v>2023-12-05</x:v>
      </x:c>
      <x:c r="B671" s="13" t="n">
        <x:v>0</x:v>
      </x:c>
      <x:c r="C671" s="13" t="n">
        <x:v>0</x:v>
      </x:c>
      <x:c r="D671" s="16" t="n">
        <x:v>0</x:v>
      </x:c>
      <x:c r="E671" s="16" t="n">
        <x:v>0</x:v>
      </x:c>
      <x:c r="F671" s="16" t="n">
        <x:v>0</x:v>
      </x:c>
      <x:c r="G671" s="16" t="n">
        <x:v>0</x:v>
      </x:c>
      <x:c r="H671" s="16" t="n">
        <x:v>0</x:v>
      </x:c>
      <x:c r="I671" s="16" t="n">
        <x:v>1060137.584986517</x:v>
      </x:c>
      <x:c r="J671" s="16" t="n">
        <x:v>1060137.584986517</x:v>
      </x:c>
      <x:c r="K671" s="16" t="n">
        <x:v>0</x:v>
      </x:c>
      <x:c r="L671" s="18" t="n">
        <x:v>0</x:v>
      </x:c>
      <x:c r="M671" s="18" t="n">
        <x:v>0</x:v>
      </x:c>
      <x:c r="O671" t="str">
        <x:v>2023-12-05</x:v>
      </x:c>
      <x:c r="P671" t="n">
        <x:v>1060137.584986517</x:v>
      </x:c>
    </x:row>
    <x:row r="672" ht="15" hidden="0" customHeight="1">
      <x:c r="A672" s="13" t="str">
        <x:v>2023-12-06</x:v>
      </x:c>
      <x:c r="B672" s="13" t="n">
        <x:v>0</x:v>
      </x:c>
      <x:c r="C672" s="13" t="n">
        <x:v>0</x:v>
      </x:c>
      <x:c r="D672" s="16" t="n">
        <x:v>0</x:v>
      </x:c>
      <x:c r="E672" s="16" t="n">
        <x:v>0</x:v>
      </x:c>
      <x:c r="F672" s="16" t="n">
        <x:v>0</x:v>
      </x:c>
      <x:c r="G672" s="16" t="n">
        <x:v>0</x:v>
      </x:c>
      <x:c r="H672" s="16" t="n">
        <x:v>0</x:v>
      </x:c>
      <x:c r="I672" s="16" t="n">
        <x:v>1060137.584986517</x:v>
      </x:c>
      <x:c r="J672" s="16" t="n">
        <x:v>1060137.584986517</x:v>
      </x:c>
      <x:c r="K672" s="16" t="n">
        <x:v>0</x:v>
      </x:c>
      <x:c r="L672" s="18" t="n">
        <x:v>0</x:v>
      </x:c>
      <x:c r="M672" s="18" t="n">
        <x:v>0</x:v>
      </x:c>
      <x:c r="O672" t="str">
        <x:v>2023-12-06</x:v>
      </x:c>
      <x:c r="P672" t="n">
        <x:v>1060137.584986517</x:v>
      </x:c>
    </x:row>
    <x:row r="673" ht="15" hidden="0" customHeight="1">
      <x:c r="A673" s="13" t="str">
        <x:v>2023-12-07</x:v>
      </x:c>
      <x:c r="B673" s="13" t="n">
        <x:v>0</x:v>
      </x:c>
      <x:c r="C673" s="13" t="n">
        <x:v>0</x:v>
      </x:c>
      <x:c r="D673" s="16" t="n">
        <x:v>0</x:v>
      </x:c>
      <x:c r="E673" s="16" t="n">
        <x:v>0</x:v>
      </x:c>
      <x:c r="F673" s="16" t="n">
        <x:v>0</x:v>
      </x:c>
      <x:c r="G673" s="16" t="n">
        <x:v>0</x:v>
      </x:c>
      <x:c r="H673" s="16" t="n">
        <x:v>0</x:v>
      </x:c>
      <x:c r="I673" s="16" t="n">
        <x:v>1060137.584986517</x:v>
      </x:c>
      <x:c r="J673" s="16" t="n">
        <x:v>1060137.584986517</x:v>
      </x:c>
      <x:c r="K673" s="16" t="n">
        <x:v>0</x:v>
      </x:c>
      <x:c r="L673" s="18" t="n">
        <x:v>0</x:v>
      </x:c>
      <x:c r="M673" s="18" t="n">
        <x:v>0</x:v>
      </x:c>
      <x:c r="O673" t="str">
        <x:v>2023-12-07</x:v>
      </x:c>
      <x:c r="P673" t="n">
        <x:v>1060137.584986517</x:v>
      </x:c>
    </x:row>
    <x:row r="674" ht="15" hidden="0" customHeight="1">
      <x:c r="A674" s="13" t="str">
        <x:v>2023-12-08</x:v>
      </x:c>
      <x:c r="B674" s="13" t="n">
        <x:v>0</x:v>
      </x:c>
      <x:c r="C674" s="13" t="n">
        <x:v>0</x:v>
      </x:c>
      <x:c r="D674" s="16" t="n">
        <x:v>0</x:v>
      </x:c>
      <x:c r="E674" s="16" t="n">
        <x:v>0</x:v>
      </x:c>
      <x:c r="F674" s="16" t="n">
        <x:v>0</x:v>
      </x:c>
      <x:c r="G674" s="16" t="n">
        <x:v>0</x:v>
      </x:c>
      <x:c r="H674" s="16" t="n">
        <x:v>0</x:v>
      </x:c>
      <x:c r="I674" s="16" t="n">
        <x:v>1060137.584986517</x:v>
      </x:c>
      <x:c r="J674" s="16" t="n">
        <x:v>1060137.584986517</x:v>
      </x:c>
      <x:c r="K674" s="16" t="n">
        <x:v>0</x:v>
      </x:c>
      <x:c r="L674" s="18" t="n">
        <x:v>0</x:v>
      </x:c>
      <x:c r="M674" s="18" t="n">
        <x:v>0</x:v>
      </x:c>
      <x:c r="O674" t="str">
        <x:v>2023-12-08</x:v>
      </x:c>
      <x:c r="P674" t="n">
        <x:v>1060137.584986517</x:v>
      </x:c>
    </x:row>
    <x:row r="675" ht="15" hidden="0" customHeight="1">
      <x:c r="A675" s="13" t="str">
        <x:v>2023-12-11</x:v>
      </x:c>
      <x:c r="B675" s="13" t="n">
        <x:v>0</x:v>
      </x:c>
      <x:c r="C675" s="13" t="n">
        <x:v>0</x:v>
      </x:c>
      <x:c r="D675" s="16" t="n">
        <x:v>0</x:v>
      </x:c>
      <x:c r="E675" s="16" t="n">
        <x:v>0</x:v>
      </x:c>
      <x:c r="F675" s="16" t="n">
        <x:v>0</x:v>
      </x:c>
      <x:c r="G675" s="16" t="n">
        <x:v>0</x:v>
      </x:c>
      <x:c r="H675" s="16" t="n">
        <x:v>0</x:v>
      </x:c>
      <x:c r="I675" s="16" t="n">
        <x:v>1060137.584986517</x:v>
      </x:c>
      <x:c r="J675" s="16" t="n">
        <x:v>1060137.584986517</x:v>
      </x:c>
      <x:c r="K675" s="16" t="n">
        <x:v>0</x:v>
      </x:c>
      <x:c r="L675" s="18" t="n">
        <x:v>0</x:v>
      </x:c>
      <x:c r="M675" s="18" t="n">
        <x:v>0</x:v>
      </x:c>
      <x:c r="O675" t="str">
        <x:v>2023-12-11</x:v>
      </x:c>
      <x:c r="P675" t="n">
        <x:v>1060137.584986517</x:v>
      </x:c>
    </x:row>
    <x:row r="676" ht="15" hidden="0" customHeight="1">
      <x:c r="A676" s="13" t="str">
        <x:v>2023-12-12</x:v>
      </x:c>
      <x:c r="B676" s="13" t="n">
        <x:v>0</x:v>
      </x:c>
      <x:c r="C676" s="13" t="n">
        <x:v>0</x:v>
      </x:c>
      <x:c r="D676" s="16" t="n">
        <x:v>0</x:v>
      </x:c>
      <x:c r="E676" s="16" t="n">
        <x:v>0</x:v>
      </x:c>
      <x:c r="F676" s="16" t="n">
        <x:v>0</x:v>
      </x:c>
      <x:c r="G676" s="16" t="n">
        <x:v>0</x:v>
      </x:c>
      <x:c r="H676" s="16" t="n">
        <x:v>0</x:v>
      </x:c>
      <x:c r="I676" s="16" t="n">
        <x:v>1060137.584986517</x:v>
      </x:c>
      <x:c r="J676" s="16" t="n">
        <x:v>1060137.584986517</x:v>
      </x:c>
      <x:c r="K676" s="16" t="n">
        <x:v>0</x:v>
      </x:c>
      <x:c r="L676" s="18" t="n">
        <x:v>0</x:v>
      </x:c>
      <x:c r="M676" s="18" t="n">
        <x:v>0</x:v>
      </x:c>
      <x:c r="O676" t="str">
        <x:v>2023-12-12</x:v>
      </x:c>
      <x:c r="P676" t="n">
        <x:v>1060137.584986517</x:v>
      </x:c>
    </x:row>
    <x:row r="677" ht="15" hidden="0" customHeight="1">
      <x:c r="A677" s="13" t="str">
        <x:v>2023-12-13</x:v>
      </x:c>
      <x:c r="B677" s="13" t="n">
        <x:v>0</x:v>
      </x:c>
      <x:c r="C677" s="13" t="n">
        <x:v>0</x:v>
      </x:c>
      <x:c r="D677" s="16" t="n">
        <x:v>0</x:v>
      </x:c>
      <x:c r="E677" s="16" t="n">
        <x:v>0</x:v>
      </x:c>
      <x:c r="F677" s="16" t="n">
        <x:v>0</x:v>
      </x:c>
      <x:c r="G677" s="16" t="n">
        <x:v>0</x:v>
      </x:c>
      <x:c r="H677" s="16" t="n">
        <x:v>0</x:v>
      </x:c>
      <x:c r="I677" s="16" t="n">
        <x:v>1060137.584986517</x:v>
      </x:c>
      <x:c r="J677" s="16" t="n">
        <x:v>1060137.584986517</x:v>
      </x:c>
      <x:c r="K677" s="16" t="n">
        <x:v>0</x:v>
      </x:c>
      <x:c r="L677" s="18" t="n">
        <x:v>0</x:v>
      </x:c>
      <x:c r="M677" s="18" t="n">
        <x:v>0</x:v>
      </x:c>
      <x:c r="O677" t="str">
        <x:v>2023-12-13</x:v>
      </x:c>
      <x:c r="P677" t="n">
        <x:v>1060137.584986517</x:v>
      </x:c>
    </x:row>
    <x:row r="678" ht="15" hidden="0" customHeight="1">
      <x:c r="A678" s="13" t="str">
        <x:v>2023-12-14</x:v>
      </x:c>
      <x:c r="B678" s="13" t="n">
        <x:v>0</x:v>
      </x:c>
      <x:c r="C678" s="13" t="n">
        <x:v>0</x:v>
      </x:c>
      <x:c r="D678" s="16" t="n">
        <x:v>0</x:v>
      </x:c>
      <x:c r="E678" s="16" t="n">
        <x:v>0</x:v>
      </x:c>
      <x:c r="F678" s="16" t="n">
        <x:v>0</x:v>
      </x:c>
      <x:c r="G678" s="16" t="n">
        <x:v>0</x:v>
      </x:c>
      <x:c r="H678" s="16" t="n">
        <x:v>0</x:v>
      </x:c>
      <x:c r="I678" s="16" t="n">
        <x:v>1060137.584986517</x:v>
      </x:c>
      <x:c r="J678" s="16" t="n">
        <x:v>1060137.584986517</x:v>
      </x:c>
      <x:c r="K678" s="16" t="n">
        <x:v>0</x:v>
      </x:c>
      <x:c r="L678" s="18" t="n">
        <x:v>0</x:v>
      </x:c>
      <x:c r="M678" s="18" t="n">
        <x:v>0</x:v>
      </x:c>
      <x:c r="O678" t="str">
        <x:v>2023-12-14</x:v>
      </x:c>
      <x:c r="P678" t="n">
        <x:v>1060137.584986517</x:v>
      </x:c>
    </x:row>
    <x:row r="679" ht="15" hidden="0" customHeight="1">
      <x:c r="A679" s="13" t="str">
        <x:v>2023-12-15</x:v>
      </x:c>
      <x:c r="B679" s="13" t="n">
        <x:v>0</x:v>
      </x:c>
      <x:c r="C679" s="13" t="n">
        <x:v>0</x:v>
      </x:c>
      <x:c r="D679" s="16" t="n">
        <x:v>0</x:v>
      </x:c>
      <x:c r="E679" s="16" t="n">
        <x:v>0</x:v>
      </x:c>
      <x:c r="F679" s="16" t="n">
        <x:v>0</x:v>
      </x:c>
      <x:c r="G679" s="16" t="n">
        <x:v>0</x:v>
      </x:c>
      <x:c r="H679" s="16" t="n">
        <x:v>0</x:v>
      </x:c>
      <x:c r="I679" s="16" t="n">
        <x:v>1060137.584986517</x:v>
      </x:c>
      <x:c r="J679" s="16" t="n">
        <x:v>1060137.584986517</x:v>
      </x:c>
      <x:c r="K679" s="16" t="n">
        <x:v>0</x:v>
      </x:c>
      <x:c r="L679" s="18" t="n">
        <x:v>0</x:v>
      </x:c>
      <x:c r="M679" s="18" t="n">
        <x:v>0</x:v>
      </x:c>
      <x:c r="O679" t="str">
        <x:v>2023-12-15</x:v>
      </x:c>
      <x:c r="P679" t="n">
        <x:v>1060137.584986517</x:v>
      </x:c>
    </x:row>
    <x:row r="680" ht="15" hidden="0" customHeight="1">
      <x:c r="A680" s="13" t="str">
        <x:v>2023-12-18</x:v>
      </x:c>
      <x:c r="B680" s="13" t="n">
        <x:v>0</x:v>
      </x:c>
      <x:c r="C680" s="13" t="n">
        <x:v>0</x:v>
      </x:c>
      <x:c r="D680" s="16" t="n">
        <x:v>0</x:v>
      </x:c>
      <x:c r="E680" s="16" t="n">
        <x:v>0</x:v>
      </x:c>
      <x:c r="F680" s="16" t="n">
        <x:v>0</x:v>
      </x:c>
      <x:c r="G680" s="16" t="n">
        <x:v>0</x:v>
      </x:c>
      <x:c r="H680" s="16" t="n">
        <x:v>0</x:v>
      </x:c>
      <x:c r="I680" s="16" t="n">
        <x:v>1060137.584986517</x:v>
      </x:c>
      <x:c r="J680" s="16" t="n">
        <x:v>1060137.584986517</x:v>
      </x:c>
      <x:c r="K680" s="16" t="n">
        <x:v>0</x:v>
      </x:c>
      <x:c r="L680" s="18" t="n">
        <x:v>0</x:v>
      </x:c>
      <x:c r="M680" s="18" t="n">
        <x:v>0</x:v>
      </x:c>
      <x:c r="O680" t="str">
        <x:v>2023-12-18</x:v>
      </x:c>
      <x:c r="P680" t="n">
        <x:v>1060137.584986517</x:v>
      </x:c>
    </x:row>
    <x:row r="681" ht="15" hidden="0" customHeight="1">
      <x:c r="A681" s="13" t="str">
        <x:v>2023-12-19</x:v>
      </x:c>
      <x:c r="B681" s="13" t="n">
        <x:v>0</x:v>
      </x:c>
      <x:c r="C681" s="13" t="n">
        <x:v>0</x:v>
      </x:c>
      <x:c r="D681" s="16" t="n">
        <x:v>0</x:v>
      </x:c>
      <x:c r="E681" s="16" t="n">
        <x:v>0</x:v>
      </x:c>
      <x:c r="F681" s="16" t="n">
        <x:v>0</x:v>
      </x:c>
      <x:c r="G681" s="16" t="n">
        <x:v>0</x:v>
      </x:c>
      <x:c r="H681" s="16" t="n">
        <x:v>0</x:v>
      </x:c>
      <x:c r="I681" s="16" t="n">
        <x:v>1060137.584986517</x:v>
      </x:c>
      <x:c r="J681" s="16" t="n">
        <x:v>1060137.584986517</x:v>
      </x:c>
      <x:c r="K681" s="16" t="n">
        <x:v>0</x:v>
      </x:c>
      <x:c r="L681" s="18" t="n">
        <x:v>0</x:v>
      </x:c>
      <x:c r="M681" s="18" t="n">
        <x:v>0</x:v>
      </x:c>
      <x:c r="O681" t="str">
        <x:v>2023-12-19</x:v>
      </x:c>
      <x:c r="P681" t="n">
        <x:v>1060137.584986517</x:v>
      </x:c>
    </x:row>
    <x:row r="682" ht="15" hidden="0" customHeight="1">
      <x:c r="A682" s="13" t="str">
        <x:v>2023-12-20</x:v>
      </x:c>
      <x:c r="B682" s="13" t="n">
        <x:v>0</x:v>
      </x:c>
      <x:c r="C682" s="13" t="n">
        <x:v>0</x:v>
      </x:c>
      <x:c r="D682" s="16" t="n">
        <x:v>0</x:v>
      </x:c>
      <x:c r="E682" s="16" t="n">
        <x:v>0</x:v>
      </x:c>
      <x:c r="F682" s="16" t="n">
        <x:v>0</x:v>
      </x:c>
      <x:c r="G682" s="16" t="n">
        <x:v>0</x:v>
      </x:c>
      <x:c r="H682" s="16" t="n">
        <x:v>0</x:v>
      </x:c>
      <x:c r="I682" s="16" t="n">
        <x:v>1060137.584986517</x:v>
      </x:c>
      <x:c r="J682" s="16" t="n">
        <x:v>1060137.584986517</x:v>
      </x:c>
      <x:c r="K682" s="16" t="n">
        <x:v>0</x:v>
      </x:c>
      <x:c r="L682" s="18" t="n">
        <x:v>0</x:v>
      </x:c>
      <x:c r="M682" s="18" t="n">
        <x:v>0</x:v>
      </x:c>
      <x:c r="O682" t="str">
        <x:v>2023-12-20</x:v>
      </x:c>
      <x:c r="P682" t="n">
        <x:v>1060137.584986517</x:v>
      </x:c>
    </x:row>
    <x:row r="683" ht="15" hidden="0" customHeight="1">
      <x:c r="A683" s="13" t="str">
        <x:v>2023-12-21</x:v>
      </x:c>
      <x:c r="B683" s="13" t="n">
        <x:v>1</x:v>
      </x:c>
      <x:c r="C683" s="13" t="n">
        <x:v>7</x:v>
      </x:c>
      <x:c r="D683" s="16" t="n">
        <x:v>5477.5</x:v>
      </x:c>
      <x:c r="E683" s="16" t="n">
        <x:v>418.5565226842242</x:v>
      </x:c>
      <x:c r="F683" s="16" t="n">
        <x:v>5058.943477315775</x:v>
      </x:c>
      <x:c r="G683" s="16" t="n">
        <x:v>54545.47833351495</x:v>
      </x:c>
      <x:c r="H683" s="16" t="n">
        <x:v>358609.020963383</x:v>
      </x:c>
      <x:c r="I683" s="16" t="n">
        <x:v>1065196.5284638328</x:v>
      </x:c>
      <x:c r="J683" s="16" t="n">
        <x:v>1065196.5284638328</x:v>
      </x:c>
      <x:c r="K683" s="16" t="n">
        <x:v>0</x:v>
      </x:c>
      <x:c r="L683" s="18" t="n">
        <x:v>0</x:v>
      </x:c>
      <x:c r="M683" s="18" t="n">
        <x:v>0.0047719687981633</x:v>
      </x:c>
      <x:c r="O683" t="str">
        <x:v>2023-12-21</x:v>
      </x:c>
      <x:c r="P683" t="n">
        <x:v>1065196.5284638328</x:v>
      </x:c>
    </x:row>
    <x:row r="684" ht="15" hidden="0" customHeight="1">
      <x:c r="A684" s="13" t="str">
        <x:v>2023-12-22</x:v>
      </x:c>
      <x:c r="B684" s="13" t="n">
        <x:v>0</x:v>
      </x:c>
      <x:c r="C684" s="13" t="n">
        <x:v>0</x:v>
      </x:c>
      <x:c r="D684" s="16" t="n">
        <x:v>0</x:v>
      </x:c>
      <x:c r="E684" s="16" t="n">
        <x:v>0</x:v>
      </x:c>
      <x:c r="F684" s="16" t="n">
        <x:v>0</x:v>
      </x:c>
      <x:c r="G684" s="16" t="n">
        <x:v>0</x:v>
      </x:c>
      <x:c r="H684" s="16" t="n">
        <x:v>0</x:v>
      </x:c>
      <x:c r="I684" s="16" t="n">
        <x:v>1065196.5284638328</x:v>
      </x:c>
      <x:c r="J684" s="16" t="n">
        <x:v>1065196.5284638328</x:v>
      </x:c>
      <x:c r="K684" s="16" t="n">
        <x:v>0</x:v>
      </x:c>
      <x:c r="L684" s="18" t="n">
        <x:v>0</x:v>
      </x:c>
      <x:c r="M684" s="18" t="n">
        <x:v>0</x:v>
      </x:c>
      <x:c r="O684" t="str">
        <x:v>2023-12-22</x:v>
      </x:c>
      <x:c r="P684" t="n">
        <x:v>1065196.5284638328</x:v>
      </x:c>
    </x:row>
    <x:row r="685" ht="15" hidden="0" customHeight="1">
      <x:c r="A685" s="13" t="str">
        <x:v>2023-12-25</x:v>
      </x:c>
      <x:c r="B685" s="13" t="n">
        <x:v>0</x:v>
      </x:c>
      <x:c r="C685" s="13" t="n">
        <x:v>0</x:v>
      </x:c>
      <x:c r="D685" s="16" t="n">
        <x:v>0</x:v>
      </x:c>
      <x:c r="E685" s="16" t="n">
        <x:v>0</x:v>
      </x:c>
      <x:c r="F685" s="16" t="n">
        <x:v>0</x:v>
      </x:c>
      <x:c r="G685" s="16" t="n">
        <x:v>0</x:v>
      </x:c>
      <x:c r="H685" s="16" t="n">
        <x:v>0</x:v>
      </x:c>
      <x:c r="I685" s="16" t="n">
        <x:v>1065196.5284638328</x:v>
      </x:c>
      <x:c r="J685" s="16" t="n">
        <x:v>1065196.5284638328</x:v>
      </x:c>
      <x:c r="K685" s="16" t="n">
        <x:v>0</x:v>
      </x:c>
      <x:c r="L685" s="18" t="n">
        <x:v>0</x:v>
      </x:c>
      <x:c r="M685" s="18" t="n">
        <x:v>0</x:v>
      </x:c>
      <x:c r="O685" t="str">
        <x:v>2023-12-25</x:v>
      </x:c>
      <x:c r="P685" t="n">
        <x:v>1065196.5284638328</x:v>
      </x:c>
    </x:row>
    <x:row r="686" ht="15" hidden="0" customHeight="1">
      <x:c r="A686" s="13" t="str">
        <x:v>2023-12-26</x:v>
      </x:c>
      <x:c r="B686" s="13" t="n">
        <x:v>0</x:v>
      </x:c>
      <x:c r="C686" s="13" t="n">
        <x:v>0</x:v>
      </x:c>
      <x:c r="D686" s="16" t="n">
        <x:v>0</x:v>
      </x:c>
      <x:c r="E686" s="16" t="n">
        <x:v>0</x:v>
      </x:c>
      <x:c r="F686" s="16" t="n">
        <x:v>0</x:v>
      </x:c>
      <x:c r="G686" s="16" t="n">
        <x:v>0</x:v>
      </x:c>
      <x:c r="H686" s="16" t="n">
        <x:v>0</x:v>
      </x:c>
      <x:c r="I686" s="16" t="n">
        <x:v>1065196.5284638328</x:v>
      </x:c>
      <x:c r="J686" s="16" t="n">
        <x:v>1065196.5284638328</x:v>
      </x:c>
      <x:c r="K686" s="16" t="n">
        <x:v>0</x:v>
      </x:c>
      <x:c r="L686" s="18" t="n">
        <x:v>0</x:v>
      </x:c>
      <x:c r="M686" s="18" t="n">
        <x:v>0</x:v>
      </x:c>
      <x:c r="O686" t="str">
        <x:v>2023-12-26</x:v>
      </x:c>
      <x:c r="P686" t="n">
        <x:v>1065196.5284638328</x:v>
      </x:c>
    </x:row>
    <x:row r="687" ht="15" hidden="0" customHeight="1">
      <x:c r="A687" s="13" t="str">
        <x:v>2023-12-27</x:v>
      </x:c>
      <x:c r="B687" s="13" t="n">
        <x:v>0</x:v>
      </x:c>
      <x:c r="C687" s="13" t="n">
        <x:v>0</x:v>
      </x:c>
      <x:c r="D687" s="16" t="n">
        <x:v>0</x:v>
      </x:c>
      <x:c r="E687" s="16" t="n">
        <x:v>0</x:v>
      </x:c>
      <x:c r="F687" s="16" t="n">
        <x:v>0</x:v>
      </x:c>
      <x:c r="G687" s="16" t="n">
        <x:v>0</x:v>
      </x:c>
      <x:c r="H687" s="16" t="n">
        <x:v>0</x:v>
      </x:c>
      <x:c r="I687" s="16" t="n">
        <x:v>1065196.5284638328</x:v>
      </x:c>
      <x:c r="J687" s="16" t="n">
        <x:v>1065196.5284638328</x:v>
      </x:c>
      <x:c r="K687" s="16" t="n">
        <x:v>0</x:v>
      </x:c>
      <x:c r="L687" s="18" t="n">
        <x:v>0</x:v>
      </x:c>
      <x:c r="M687" s="18" t="n">
        <x:v>0</x:v>
      </x:c>
      <x:c r="O687" t="str">
        <x:v>2023-12-27</x:v>
      </x:c>
      <x:c r="P687" t="n">
        <x:v>1065196.5284638328</x:v>
      </x:c>
    </x:row>
    <x:row r="688" ht="15" hidden="0" customHeight="1">
      <x:c r="A688" s="13" t="str">
        <x:v>2023-12-28</x:v>
      </x:c>
      <x:c r="B688" s="13" t="n">
        <x:v>1</x:v>
      </x:c>
      <x:c r="C688" s="13" t="n">
        <x:v>7</x:v>
      </x:c>
      <x:c r="D688" s="16" t="n">
        <x:v>6055</x:v>
      </x:c>
      <x:c r="E688" s="16" t="n">
        <x:v>416.27211313510986</x:v>
      </x:c>
      <x:c r="F688" s="16" t="n">
        <x:v>5638.72788686489</x:v>
      </x:c>
      <x:c r="G688" s="16" t="n">
        <x:v>47128.621119479954</x:v>
      </x:c>
      <x:c r="H688" s="16" t="n">
        <x:v>366034.66865605896</x:v>
      </x:c>
      <x:c r="I688" s="16" t="n">
        <x:v>1070835.2563506975</x:v>
      </x:c>
      <x:c r="J688" s="16" t="n">
        <x:v>1070835.2563506975</x:v>
      </x:c>
      <x:c r="K688" s="16" t="n">
        <x:v>0</x:v>
      </x:c>
      <x:c r="L688" s="18" t="n">
        <x:v>0</x:v>
      </x:c>
      <x:c r="M688" s="18" t="n">
        <x:v>0.0052936033268871</x:v>
      </x:c>
      <x:c r="O688" t="str">
        <x:v>2023-12-28</x:v>
      </x:c>
      <x:c r="P688" t="n">
        <x:v>1070835.2563506975</x:v>
      </x:c>
    </x:row>
    <x:row r="689" ht="15" hidden="0" customHeight="1">
      <x:c r="A689" s="13" t="str">
        <x:v>2023-12-29</x:v>
      </x:c>
      <x:c r="B689" s="13" t="n">
        <x:v>0</x:v>
      </x:c>
      <x:c r="C689" s="13" t="n">
        <x:v>0</x:v>
      </x:c>
      <x:c r="D689" s="16" t="n">
        <x:v>0</x:v>
      </x:c>
      <x:c r="E689" s="16" t="n">
        <x:v>0</x:v>
      </x:c>
      <x:c r="F689" s="16" t="n">
        <x:v>0</x:v>
      </x:c>
      <x:c r="G689" s="16" t="n">
        <x:v>0</x:v>
      </x:c>
      <x:c r="H689" s="16" t="n">
        <x:v>0</x:v>
      </x:c>
      <x:c r="I689" s="16" t="n">
        <x:v>1070835.2563506975</x:v>
      </x:c>
      <x:c r="J689" s="16" t="n">
        <x:v>1070835.2563506975</x:v>
      </x:c>
      <x:c r="K689" s="16" t="n">
        <x:v>0</x:v>
      </x:c>
      <x:c r="L689" s="18" t="n">
        <x:v>0</x:v>
      </x:c>
      <x:c r="M689" s="18" t="n">
        <x:v>0</x:v>
      </x:c>
      <x:c r="O689" t="str">
        <x:v>2023-12-29</x:v>
      </x:c>
      <x:c r="P689" t="n">
        <x:v>1070835.2563506975</x:v>
      </x:c>
    </x:row>
    <x:row r="690" ht="15" hidden="0" customHeight="1">
      <x:c r="A690" s="13" t="str">
        <x:v>2024-01-01</x:v>
      </x:c>
      <x:c r="B690" s="13" t="n">
        <x:v>0</x:v>
      </x:c>
      <x:c r="C690" s="13" t="n">
        <x:v>0</x:v>
      </x:c>
      <x:c r="D690" s="16" t="n">
        <x:v>0</x:v>
      </x:c>
      <x:c r="E690" s="16" t="n">
        <x:v>0</x:v>
      </x:c>
      <x:c r="F690" s="16" t="n">
        <x:v>0</x:v>
      </x:c>
      <x:c r="G690" s="16" t="n">
        <x:v>0</x:v>
      </x:c>
      <x:c r="H690" s="16" t="n">
        <x:v>0</x:v>
      </x:c>
      <x:c r="I690" s="16" t="n">
        <x:v>1070835.2563506975</x:v>
      </x:c>
      <x:c r="J690" s="16" t="n">
        <x:v>1070835.2563506975</x:v>
      </x:c>
      <x:c r="K690" s="16" t="n">
        <x:v>0</x:v>
      </x:c>
      <x:c r="L690" s="18" t="n">
        <x:v>0</x:v>
      </x:c>
      <x:c r="M690" s="18" t="n">
        <x:v>0</x:v>
      </x:c>
      <x:c r="O690" t="str">
        <x:v>2024-01-01</x:v>
      </x:c>
      <x:c r="P690" t="n">
        <x:v>1070835.2563506975</x:v>
      </x:c>
    </x:row>
    <x:row r="691" ht="15" hidden="0" customHeight="1">
      <x:c r="A691" s="13" t="str">
        <x:v>2024-01-02</x:v>
      </x:c>
      <x:c r="B691" s="13" t="n">
        <x:v>0</x:v>
      </x:c>
      <x:c r="C691" s="13" t="n">
        <x:v>0</x:v>
      </x:c>
      <x:c r="D691" s="16" t="n">
        <x:v>0</x:v>
      </x:c>
      <x:c r="E691" s="16" t="n">
        <x:v>0</x:v>
      </x:c>
      <x:c r="F691" s="16" t="n">
        <x:v>0</x:v>
      </x:c>
      <x:c r="G691" s="16" t="n">
        <x:v>0</x:v>
      </x:c>
      <x:c r="H691" s="16" t="n">
        <x:v>0</x:v>
      </x:c>
      <x:c r="I691" s="16" t="n">
        <x:v>1070835.2563506975</x:v>
      </x:c>
      <x:c r="J691" s="16" t="n">
        <x:v>1070835.2563506975</x:v>
      </x:c>
      <x:c r="K691" s="16" t="n">
        <x:v>0</x:v>
      </x:c>
      <x:c r="L691" s="18" t="n">
        <x:v>0</x:v>
      </x:c>
      <x:c r="M691" s="18" t="n">
        <x:v>0</x:v>
      </x:c>
      <x:c r="O691" t="str">
        <x:v>2024-01-02</x:v>
      </x:c>
      <x:c r="P691" t="n">
        <x:v>1070835.2563506975</x:v>
      </x:c>
    </x:row>
    <x:row r="692" ht="15" hidden="0" customHeight="1">
      <x:c r="A692" s="13" t="str">
        <x:v>2024-01-03</x:v>
      </x:c>
      <x:c r="B692" s="13" t="n">
        <x:v>0</x:v>
      </x:c>
      <x:c r="C692" s="13" t="n">
        <x:v>0</x:v>
      </x:c>
      <x:c r="D692" s="16" t="n">
        <x:v>0</x:v>
      </x:c>
      <x:c r="E692" s="16" t="n">
        <x:v>0</x:v>
      </x:c>
      <x:c r="F692" s="16" t="n">
        <x:v>0</x:v>
      </x:c>
      <x:c r="G692" s="16" t="n">
        <x:v>0</x:v>
      </x:c>
      <x:c r="H692" s="16" t="n">
        <x:v>0</x:v>
      </x:c>
      <x:c r="I692" s="16" t="n">
        <x:v>1070835.2563506975</x:v>
      </x:c>
      <x:c r="J692" s="16" t="n">
        <x:v>1070835.2563506975</x:v>
      </x:c>
      <x:c r="K692" s="16" t="n">
        <x:v>0</x:v>
      </x:c>
      <x:c r="L692" s="18" t="n">
        <x:v>0</x:v>
      </x:c>
      <x:c r="M692" s="18" t="n">
        <x:v>0</x:v>
      </x:c>
      <x:c r="O692" t="str">
        <x:v>2024-01-03</x:v>
      </x:c>
      <x:c r="P692" t="n">
        <x:v>1070835.2563506975</x:v>
      </x:c>
    </x:row>
    <x:row r="693" ht="15" hidden="0" customHeight="1">
      <x:c r="A693" s="13" t="str">
        <x:v>2024-01-04</x:v>
      </x:c>
      <x:c r="B693" s="13" t="n">
        <x:v>0</x:v>
      </x:c>
      <x:c r="C693" s="13" t="n">
        <x:v>0</x:v>
      </x:c>
      <x:c r="D693" s="16" t="n">
        <x:v>0</x:v>
      </x:c>
      <x:c r="E693" s="16" t="n">
        <x:v>0</x:v>
      </x:c>
      <x:c r="F693" s="16" t="n">
        <x:v>0</x:v>
      </x:c>
      <x:c r="G693" s="16" t="n">
        <x:v>0</x:v>
      </x:c>
      <x:c r="H693" s="16" t="n">
        <x:v>0</x:v>
      </x:c>
      <x:c r="I693" s="16" t="n">
        <x:v>1070835.2563506975</x:v>
      </x:c>
      <x:c r="J693" s="16" t="n">
        <x:v>1070835.2563506975</x:v>
      </x:c>
      <x:c r="K693" s="16" t="n">
        <x:v>0</x:v>
      </x:c>
      <x:c r="L693" s="18" t="n">
        <x:v>0</x:v>
      </x:c>
      <x:c r="M693" s="18" t="n">
        <x:v>0</x:v>
      </x:c>
      <x:c r="O693" t="str">
        <x:v>2024-01-04</x:v>
      </x:c>
      <x:c r="P693" t="n">
        <x:v>1070835.2563506975</x:v>
      </x:c>
    </x:row>
    <x:row r="694" ht="15" hidden="0" customHeight="1">
      <x:c r="A694" s="13" t="str">
        <x:v>2024-01-05</x:v>
      </x:c>
      <x:c r="B694" s="13" t="n">
        <x:v>0</x:v>
      </x:c>
      <x:c r="C694" s="13" t="n">
        <x:v>0</x:v>
      </x:c>
      <x:c r="D694" s="16" t="n">
        <x:v>0</x:v>
      </x:c>
      <x:c r="E694" s="16" t="n">
        <x:v>0</x:v>
      </x:c>
      <x:c r="F694" s="16" t="n">
        <x:v>0</x:v>
      </x:c>
      <x:c r="G694" s="16" t="n">
        <x:v>0</x:v>
      </x:c>
      <x:c r="H694" s="16" t="n">
        <x:v>0</x:v>
      </x:c>
      <x:c r="I694" s="16" t="n">
        <x:v>1070835.2563506975</x:v>
      </x:c>
      <x:c r="J694" s="16" t="n">
        <x:v>1070835.2563506975</x:v>
      </x:c>
      <x:c r="K694" s="16" t="n">
        <x:v>0</x:v>
      </x:c>
      <x:c r="L694" s="18" t="n">
        <x:v>0</x:v>
      </x:c>
      <x:c r="M694" s="18" t="n">
        <x:v>0</x:v>
      </x:c>
      <x:c r="O694" t="str">
        <x:v>2024-01-05</x:v>
      </x:c>
      <x:c r="P694" t="n">
        <x:v>1070835.2563506975</x:v>
      </x:c>
    </x:row>
    <x:row r="695" ht="15" hidden="0" customHeight="1">
      <x:c r="A695" s="13" t="str">
        <x:v>2024-01-08</x:v>
      </x:c>
      <x:c r="B695" s="13" t="n">
        <x:v>0</x:v>
      </x:c>
      <x:c r="C695" s="13" t="n">
        <x:v>0</x:v>
      </x:c>
      <x:c r="D695" s="16" t="n">
        <x:v>0</x:v>
      </x:c>
      <x:c r="E695" s="16" t="n">
        <x:v>0</x:v>
      </x:c>
      <x:c r="F695" s="16" t="n">
        <x:v>0</x:v>
      </x:c>
      <x:c r="G695" s="16" t="n">
        <x:v>0</x:v>
      </x:c>
      <x:c r="H695" s="16" t="n">
        <x:v>0</x:v>
      </x:c>
      <x:c r="I695" s="16" t="n">
        <x:v>1070835.2563506975</x:v>
      </x:c>
      <x:c r="J695" s="16" t="n">
        <x:v>1070835.2563506975</x:v>
      </x:c>
      <x:c r="K695" s="16" t="n">
        <x:v>0</x:v>
      </x:c>
      <x:c r="L695" s="18" t="n">
        <x:v>0</x:v>
      </x:c>
      <x:c r="M695" s="18" t="n">
        <x:v>0</x:v>
      </x:c>
      <x:c r="O695" t="str">
        <x:v>2024-01-08</x:v>
      </x:c>
      <x:c r="P695" t="n">
        <x:v>1070835.2563506975</x:v>
      </x:c>
    </x:row>
    <x:row r="696" ht="15" hidden="0" customHeight="1">
      <x:c r="A696" s="13" t="str">
        <x:v>2024-01-09</x:v>
      </x:c>
      <x:c r="B696" s="13" t="n">
        <x:v>0</x:v>
      </x:c>
      <x:c r="C696" s="13" t="n">
        <x:v>0</x:v>
      </x:c>
      <x:c r="D696" s="16" t="n">
        <x:v>0</x:v>
      </x:c>
      <x:c r="E696" s="16" t="n">
        <x:v>0</x:v>
      </x:c>
      <x:c r="F696" s="16" t="n">
        <x:v>0</x:v>
      </x:c>
      <x:c r="G696" s="16" t="n">
        <x:v>0</x:v>
      </x:c>
      <x:c r="H696" s="16" t="n">
        <x:v>0</x:v>
      </x:c>
      <x:c r="I696" s="16" t="n">
        <x:v>1070835.2563506975</x:v>
      </x:c>
      <x:c r="J696" s="16" t="n">
        <x:v>1070835.2563506975</x:v>
      </x:c>
      <x:c r="K696" s="16" t="n">
        <x:v>0</x:v>
      </x:c>
      <x:c r="L696" s="18" t="n">
        <x:v>0</x:v>
      </x:c>
      <x:c r="M696" s="18" t="n">
        <x:v>0</x:v>
      </x:c>
      <x:c r="O696" t="str">
        <x:v>2024-01-09</x:v>
      </x:c>
      <x:c r="P696" t="n">
        <x:v>1070835.2563506975</x:v>
      </x:c>
    </x:row>
    <x:row r="697" ht="15" hidden="0" customHeight="1">
      <x:c r="A697" s="13" t="str">
        <x:v>2024-01-10</x:v>
      </x:c>
      <x:c r="B697" s="13" t="n">
        <x:v>0</x:v>
      </x:c>
      <x:c r="C697" s="13" t="n">
        <x:v>0</x:v>
      </x:c>
      <x:c r="D697" s="16" t="n">
        <x:v>0</x:v>
      </x:c>
      <x:c r="E697" s="16" t="n">
        <x:v>0</x:v>
      </x:c>
      <x:c r="F697" s="16" t="n">
        <x:v>0</x:v>
      </x:c>
      <x:c r="G697" s="16" t="n">
        <x:v>0</x:v>
      </x:c>
      <x:c r="H697" s="16" t="n">
        <x:v>0</x:v>
      </x:c>
      <x:c r="I697" s="16" t="n">
        <x:v>1070835.2563506975</x:v>
      </x:c>
      <x:c r="J697" s="16" t="n">
        <x:v>1070835.2563506975</x:v>
      </x:c>
      <x:c r="K697" s="16" t="n">
        <x:v>0</x:v>
      </x:c>
      <x:c r="L697" s="18" t="n">
        <x:v>0</x:v>
      </x:c>
      <x:c r="M697" s="18" t="n">
        <x:v>0</x:v>
      </x:c>
      <x:c r="O697" t="str">
        <x:v>2024-01-10</x:v>
      </x:c>
      <x:c r="P697" t="n">
        <x:v>1070835.2563506975</x:v>
      </x:c>
    </x:row>
    <x:row r="698" ht="15" hidden="0" customHeight="1">
      <x:c r="A698" s="13" t="str">
        <x:v>2024-01-11</x:v>
      </x:c>
      <x:c r="B698" s="13" t="n">
        <x:v>1</x:v>
      </x:c>
      <x:c r="C698" s="13" t="n">
        <x:v>7</x:v>
      </x:c>
      <x:c r="D698" s="16" t="n">
        <x:v>-1697.4999999999995</x:v>
      </x:c>
      <x:c r="E698" s="16" t="n">
        <x:v>387.3128412152107</x:v>
      </x:c>
      <x:c r="F698" s="16" t="n">
        <x:v>-2084.81284121521</x:v>
      </x:c>
      <x:c r="G698" s="16" t="n">
        <x:v>32386.44549839864</x:v>
      </x:c>
      <x:c r="H698" s="16" t="n">
        <x:v>356259.9229403439</x:v>
      </x:c>
      <x:c r="I698" s="16" t="n">
        <x:v>1068750.4435094823</x:v>
      </x:c>
      <x:c r="J698" s="16" t="n">
        <x:v>1070835.2563506975</x:v>
      </x:c>
      <x:c r="K698" s="16" t="n">
        <x:v>-2084.812841215171</x:v>
      </x:c>
      <x:c r="L698" s="18" t="n">
        <x:v>-0.0019469034371543</x:v>
      </x:c>
      <x:c r="M698" s="18" t="n">
        <x:v>-0.0019469034371543</x:v>
      </x:c>
      <x:c r="O698" t="str">
        <x:v>2024-01-11</x:v>
      </x:c>
      <x:c r="P698" t="n">
        <x:v>1068750.4435094823</x:v>
      </x:c>
    </x:row>
    <x:row r="699" ht="15" hidden="0" customHeight="1">
      <x:c r="A699" s="13" t="str">
        <x:v>2024-01-12</x:v>
      </x:c>
      <x:c r="B699" s="13" t="n">
        <x:v>0</x:v>
      </x:c>
      <x:c r="C699" s="13" t="n">
        <x:v>0</x:v>
      </x:c>
      <x:c r="D699" s="16" t="n">
        <x:v>0</x:v>
      </x:c>
      <x:c r="E699" s="16" t="n">
        <x:v>0</x:v>
      </x:c>
      <x:c r="F699" s="16" t="n">
        <x:v>0</x:v>
      </x:c>
      <x:c r="G699" s="16" t="n">
        <x:v>0</x:v>
      </x:c>
      <x:c r="H699" s="16" t="n">
        <x:v>0</x:v>
      </x:c>
      <x:c r="I699" s="16" t="n">
        <x:v>1068750.4435094823</x:v>
      </x:c>
      <x:c r="J699" s="16" t="n">
        <x:v>1070835.2563506975</x:v>
      </x:c>
      <x:c r="K699" s="16" t="n">
        <x:v>-2084.812841215171</x:v>
      </x:c>
      <x:c r="L699" s="18" t="n">
        <x:v>-0.0019469034371543</x:v>
      </x:c>
      <x:c r="M699" s="18" t="n">
        <x:v>0</x:v>
      </x:c>
      <x:c r="O699" t="str">
        <x:v>2024-01-12</x:v>
      </x:c>
      <x:c r="P699" t="n">
        <x:v>1068750.4435094823</x:v>
      </x:c>
    </x:row>
    <x:row r="700" ht="15" hidden="0" customHeight="1">
      <x:c r="A700" s="13" t="str">
        <x:v>2024-01-15</x:v>
      </x:c>
      <x:c r="B700" s="13" t="n">
        <x:v>0</x:v>
      </x:c>
      <x:c r="C700" s="13" t="n">
        <x:v>0</x:v>
      </x:c>
      <x:c r="D700" s="16" t="n">
        <x:v>0</x:v>
      </x:c>
      <x:c r="E700" s="16" t="n">
        <x:v>0</x:v>
      </x:c>
      <x:c r="F700" s="16" t="n">
        <x:v>0</x:v>
      </x:c>
      <x:c r="G700" s="16" t="n">
        <x:v>0</x:v>
      </x:c>
      <x:c r="H700" s="16" t="n">
        <x:v>0</x:v>
      </x:c>
      <x:c r="I700" s="16" t="n">
        <x:v>1068750.4435094823</x:v>
      </x:c>
      <x:c r="J700" s="16" t="n">
        <x:v>1070835.2563506975</x:v>
      </x:c>
      <x:c r="K700" s="16" t="n">
        <x:v>-2084.812841215171</x:v>
      </x:c>
      <x:c r="L700" s="18" t="n">
        <x:v>-0.0019469034371543</x:v>
      </x:c>
      <x:c r="M700" s="18" t="n">
        <x:v>0</x:v>
      </x:c>
      <x:c r="O700" t="str">
        <x:v>2024-01-15</x:v>
      </x:c>
      <x:c r="P700" t="n">
        <x:v>1068750.4435094823</x:v>
      </x:c>
    </x:row>
    <x:row r="701" ht="15" hidden="0" customHeight="1">
      <x:c r="A701" s="13" t="str">
        <x:v>2024-01-16</x:v>
      </x:c>
      <x:c r="B701" s="13" t="n">
        <x:v>0</x:v>
      </x:c>
      <x:c r="C701" s="13" t="n">
        <x:v>0</x:v>
      </x:c>
      <x:c r="D701" s="16" t="n">
        <x:v>0</x:v>
      </x:c>
      <x:c r="E701" s="16" t="n">
        <x:v>0</x:v>
      </x:c>
      <x:c r="F701" s="16" t="n">
        <x:v>0</x:v>
      </x:c>
      <x:c r="G701" s="16" t="n">
        <x:v>0</x:v>
      </x:c>
      <x:c r="H701" s="16" t="n">
        <x:v>0</x:v>
      </x:c>
      <x:c r="I701" s="16" t="n">
        <x:v>1068750.4435094823</x:v>
      </x:c>
      <x:c r="J701" s="16" t="n">
        <x:v>1070835.2563506975</x:v>
      </x:c>
      <x:c r="K701" s="16" t="n">
        <x:v>-2084.812841215171</x:v>
      </x:c>
      <x:c r="L701" s="18" t="n">
        <x:v>-0.0019469034371543</x:v>
      </x:c>
      <x:c r="M701" s="18" t="n">
        <x:v>0</x:v>
      </x:c>
      <x:c r="O701" t="str">
        <x:v>2024-01-16</x:v>
      </x:c>
      <x:c r="P701" t="n">
        <x:v>1068750.4435094823</x:v>
      </x:c>
    </x:row>
    <x:row r="702" ht="15" hidden="0" customHeight="1">
      <x:c r="A702" s="13" t="str">
        <x:v>2024-01-17</x:v>
      </x:c>
      <x:c r="B702" s="13" t="n">
        <x:v>0</x:v>
      </x:c>
      <x:c r="C702" s="13" t="n">
        <x:v>0</x:v>
      </x:c>
      <x:c r="D702" s="16" t="n">
        <x:v>0</x:v>
      </x:c>
      <x:c r="E702" s="16" t="n">
        <x:v>0</x:v>
      </x:c>
      <x:c r="F702" s="16" t="n">
        <x:v>0</x:v>
      </x:c>
      <x:c r="G702" s="16" t="n">
        <x:v>0</x:v>
      </x:c>
      <x:c r="H702" s="16" t="n">
        <x:v>0</x:v>
      </x:c>
      <x:c r="I702" s="16" t="n">
        <x:v>1068750.4435094823</x:v>
      </x:c>
      <x:c r="J702" s="16" t="n">
        <x:v>1070835.2563506975</x:v>
      </x:c>
      <x:c r="K702" s="16" t="n">
        <x:v>-2084.812841215171</x:v>
      </x:c>
      <x:c r="L702" s="18" t="n">
        <x:v>-0.0019469034371543</x:v>
      </x:c>
      <x:c r="M702" s="18" t="n">
        <x:v>0</x:v>
      </x:c>
      <x:c r="O702" t="str">
        <x:v>2024-01-17</x:v>
      </x:c>
      <x:c r="P702" t="n">
        <x:v>1068750.4435094823</x:v>
      </x:c>
    </x:row>
    <x:row r="703" ht="15" hidden="0" customHeight="1">
      <x:c r="A703" s="13" t="str">
        <x:v>2024-01-18</x:v>
      </x:c>
      <x:c r="B703" s="13" t="n">
        <x:v>0</x:v>
      </x:c>
      <x:c r="C703" s="13" t="n">
        <x:v>0</x:v>
      </x:c>
      <x:c r="D703" s="16" t="n">
        <x:v>0</x:v>
      </x:c>
      <x:c r="E703" s="16" t="n">
        <x:v>0</x:v>
      </x:c>
      <x:c r="F703" s="16" t="n">
        <x:v>0</x:v>
      </x:c>
      <x:c r="G703" s="16" t="n">
        <x:v>0</x:v>
      </x:c>
      <x:c r="H703" s="16" t="n">
        <x:v>0</x:v>
      </x:c>
      <x:c r="I703" s="16" t="n">
        <x:v>1068750.4435094823</x:v>
      </x:c>
      <x:c r="J703" s="16" t="n">
        <x:v>1070835.2563506975</x:v>
      </x:c>
      <x:c r="K703" s="16" t="n">
        <x:v>-2084.812841215171</x:v>
      </x:c>
      <x:c r="L703" s="18" t="n">
        <x:v>-0.0019469034371543</x:v>
      </x:c>
      <x:c r="M703" s="18" t="n">
        <x:v>0</x:v>
      </x:c>
      <x:c r="O703" t="str">
        <x:v>2024-01-18</x:v>
      </x:c>
      <x:c r="P703" t="n">
        <x:v>1068750.4435094823</x:v>
      </x:c>
    </x:row>
    <x:row r="704" ht="15" hidden="0" customHeight="1">
      <x:c r="A704" s="13" t="str">
        <x:v>2024-01-19</x:v>
      </x:c>
      <x:c r="B704" s="13" t="n">
        <x:v>0</x:v>
      </x:c>
      <x:c r="C704" s="13" t="n">
        <x:v>0</x:v>
      </x:c>
      <x:c r="D704" s="16" t="n">
        <x:v>0</x:v>
      </x:c>
      <x:c r="E704" s="16" t="n">
        <x:v>0</x:v>
      </x:c>
      <x:c r="F704" s="16" t="n">
        <x:v>0</x:v>
      </x:c>
      <x:c r="G704" s="16" t="n">
        <x:v>0</x:v>
      </x:c>
      <x:c r="H704" s="16" t="n">
        <x:v>0</x:v>
      </x:c>
      <x:c r="I704" s="16" t="n">
        <x:v>1068750.4435094823</x:v>
      </x:c>
      <x:c r="J704" s="16" t="n">
        <x:v>1070835.2563506975</x:v>
      </x:c>
      <x:c r="K704" s="16" t="n">
        <x:v>-2084.812841215171</x:v>
      </x:c>
      <x:c r="L704" s="18" t="n">
        <x:v>-0.0019469034371543</x:v>
      </x:c>
      <x:c r="M704" s="18" t="n">
        <x:v>0</x:v>
      </x:c>
      <x:c r="O704" t="str">
        <x:v>2024-01-19</x:v>
      </x:c>
      <x:c r="P704" t="n">
        <x:v>1068750.4435094823</x:v>
      </x:c>
    </x:row>
    <x:row r="705" ht="15" hidden="0" customHeight="1">
      <x:c r="A705" s="13" t="str">
        <x:v>2024-01-22</x:v>
      </x:c>
      <x:c r="B705" s="13" t="n">
        <x:v>0</x:v>
      </x:c>
      <x:c r="C705" s="13" t="n">
        <x:v>0</x:v>
      </x:c>
      <x:c r="D705" s="16" t="n">
        <x:v>0</x:v>
      </x:c>
      <x:c r="E705" s="16" t="n">
        <x:v>0</x:v>
      </x:c>
      <x:c r="F705" s="16" t="n">
        <x:v>0</x:v>
      </x:c>
      <x:c r="G705" s="16" t="n">
        <x:v>0</x:v>
      </x:c>
      <x:c r="H705" s="16" t="n">
        <x:v>0</x:v>
      </x:c>
      <x:c r="I705" s="16" t="n">
        <x:v>1068750.4435094823</x:v>
      </x:c>
      <x:c r="J705" s="16" t="n">
        <x:v>1070835.2563506975</x:v>
      </x:c>
      <x:c r="K705" s="16" t="n">
        <x:v>-2084.812841215171</x:v>
      </x:c>
      <x:c r="L705" s="18" t="n">
        <x:v>-0.0019469034371543</x:v>
      </x:c>
      <x:c r="M705" s="18" t="n">
        <x:v>0</x:v>
      </x:c>
      <x:c r="O705" t="str">
        <x:v>2024-01-22</x:v>
      </x:c>
      <x:c r="P705" t="n">
        <x:v>1068750.4435094823</x:v>
      </x:c>
    </x:row>
    <x:row r="706" ht="15" hidden="0" customHeight="1">
      <x:c r="A706" s="13" t="str">
        <x:v>2024-01-23</x:v>
      </x:c>
      <x:c r="B706" s="13" t="n">
        <x:v>0</x:v>
      </x:c>
      <x:c r="C706" s="13" t="n">
        <x:v>0</x:v>
      </x:c>
      <x:c r="D706" s="16" t="n">
        <x:v>0</x:v>
      </x:c>
      <x:c r="E706" s="16" t="n">
        <x:v>0</x:v>
      </x:c>
      <x:c r="F706" s="16" t="n">
        <x:v>0</x:v>
      </x:c>
      <x:c r="G706" s="16" t="n">
        <x:v>0</x:v>
      </x:c>
      <x:c r="H706" s="16" t="n">
        <x:v>0</x:v>
      </x:c>
      <x:c r="I706" s="16" t="n">
        <x:v>1068750.4435094823</x:v>
      </x:c>
      <x:c r="J706" s="16" t="n">
        <x:v>1070835.2563506975</x:v>
      </x:c>
      <x:c r="K706" s="16" t="n">
        <x:v>-2084.812841215171</x:v>
      </x:c>
      <x:c r="L706" s="18" t="n">
        <x:v>-0.0019469034371543</x:v>
      </x:c>
      <x:c r="M706" s="18" t="n">
        <x:v>0</x:v>
      </x:c>
      <x:c r="O706" t="str">
        <x:v>2024-01-23</x:v>
      </x:c>
      <x:c r="P706" t="n">
        <x:v>1068750.4435094823</x:v>
      </x:c>
    </x:row>
    <x:row r="707" ht="15" hidden="0" customHeight="1">
      <x:c r="A707" s="13" t="str">
        <x:v>2024-01-24</x:v>
      </x:c>
      <x:c r="B707" s="13" t="n">
        <x:v>0</x:v>
      </x:c>
      <x:c r="C707" s="13" t="n">
        <x:v>0</x:v>
      </x:c>
      <x:c r="D707" s="16" t="n">
        <x:v>0</x:v>
      </x:c>
      <x:c r="E707" s="16" t="n">
        <x:v>0</x:v>
      </x:c>
      <x:c r="F707" s="16" t="n">
        <x:v>0</x:v>
      </x:c>
      <x:c r="G707" s="16" t="n">
        <x:v>0</x:v>
      </x:c>
      <x:c r="H707" s="16" t="n">
        <x:v>0</x:v>
      </x:c>
      <x:c r="I707" s="16" t="n">
        <x:v>1068750.4435094823</x:v>
      </x:c>
      <x:c r="J707" s="16" t="n">
        <x:v>1070835.2563506975</x:v>
      </x:c>
      <x:c r="K707" s="16" t="n">
        <x:v>-2084.812841215171</x:v>
      </x:c>
      <x:c r="L707" s="18" t="n">
        <x:v>-0.0019469034371543</x:v>
      </x:c>
      <x:c r="M707" s="18" t="n">
        <x:v>0</x:v>
      </x:c>
      <x:c r="O707" t="str">
        <x:v>2024-01-24</x:v>
      </x:c>
      <x:c r="P707" t="n">
        <x:v>1068750.4435094823</x:v>
      </x:c>
    </x:row>
    <x:row r="708" ht="15" hidden="0" customHeight="1">
      <x:c r="A708" s="13" t="str">
        <x:v>2024-01-25</x:v>
      </x:c>
      <x:c r="B708" s="13" t="n">
        <x:v>0</x:v>
      </x:c>
      <x:c r="C708" s="13" t="n">
        <x:v>0</x:v>
      </x:c>
      <x:c r="D708" s="16" t="n">
        <x:v>0</x:v>
      </x:c>
      <x:c r="E708" s="16" t="n">
        <x:v>0</x:v>
      </x:c>
      <x:c r="F708" s="16" t="n">
        <x:v>0</x:v>
      </x:c>
      <x:c r="G708" s="16" t="n">
        <x:v>0</x:v>
      </x:c>
      <x:c r="H708" s="16" t="n">
        <x:v>0</x:v>
      </x:c>
      <x:c r="I708" s="16" t="n">
        <x:v>1068750.4435094823</x:v>
      </x:c>
      <x:c r="J708" s="16" t="n">
        <x:v>1070835.2563506975</x:v>
      </x:c>
      <x:c r="K708" s="16" t="n">
        <x:v>-2084.812841215171</x:v>
      </x:c>
      <x:c r="L708" s="18" t="n">
        <x:v>-0.0019469034371543</x:v>
      </x:c>
      <x:c r="M708" s="18" t="n">
        <x:v>0</x:v>
      </x:c>
      <x:c r="O708" t="str">
        <x:v>2024-01-25</x:v>
      </x:c>
      <x:c r="P708" t="n">
        <x:v>1068750.4435094823</x:v>
      </x:c>
    </x:row>
    <x:row r="709" ht="15" hidden="0" customHeight="1">
      <x:c r="A709" s="13" t="str">
        <x:v>2024-01-26</x:v>
      </x:c>
      <x:c r="B709" s="13" t="n">
        <x:v>0</x:v>
      </x:c>
      <x:c r="C709" s="13" t="n">
        <x:v>0</x:v>
      </x:c>
      <x:c r="D709" s="16" t="n">
        <x:v>0</x:v>
      </x:c>
      <x:c r="E709" s="16" t="n">
        <x:v>0</x:v>
      </x:c>
      <x:c r="F709" s="16" t="n">
        <x:v>0</x:v>
      </x:c>
      <x:c r="G709" s="16" t="n">
        <x:v>0</x:v>
      </x:c>
      <x:c r="H709" s="16" t="n">
        <x:v>0</x:v>
      </x:c>
      <x:c r="I709" s="16" t="n">
        <x:v>1068750.4435094823</x:v>
      </x:c>
      <x:c r="J709" s="16" t="n">
        <x:v>1070835.2563506975</x:v>
      </x:c>
      <x:c r="K709" s="16" t="n">
        <x:v>-2084.812841215171</x:v>
      </x:c>
      <x:c r="L709" s="18" t="n">
        <x:v>-0.0019469034371543</x:v>
      </x:c>
      <x:c r="M709" s="18" t="n">
        <x:v>0</x:v>
      </x:c>
      <x:c r="O709" t="str">
        <x:v>2024-01-26</x:v>
      </x:c>
      <x:c r="P709" t="n">
        <x:v>1068750.4435094823</x:v>
      </x:c>
    </x:row>
    <x:row r="710" ht="15" hidden="0" customHeight="1">
      <x:c r="A710" s="13" t="str">
        <x:v>2024-01-29</x:v>
      </x:c>
      <x:c r="B710" s="13" t="n">
        <x:v>0</x:v>
      </x:c>
      <x:c r="C710" s="13" t="n">
        <x:v>0</x:v>
      </x:c>
      <x:c r="D710" s="16" t="n">
        <x:v>0</x:v>
      </x:c>
      <x:c r="E710" s="16" t="n">
        <x:v>0</x:v>
      </x:c>
      <x:c r="F710" s="16" t="n">
        <x:v>0</x:v>
      </x:c>
      <x:c r="G710" s="16" t="n">
        <x:v>0</x:v>
      </x:c>
      <x:c r="H710" s="16" t="n">
        <x:v>0</x:v>
      </x:c>
      <x:c r="I710" s="16" t="n">
        <x:v>1068750.4435094823</x:v>
      </x:c>
      <x:c r="J710" s="16" t="n">
        <x:v>1070835.2563506975</x:v>
      </x:c>
      <x:c r="K710" s="16" t="n">
        <x:v>-2084.812841215171</x:v>
      </x:c>
      <x:c r="L710" s="18" t="n">
        <x:v>-0.0019469034371543</x:v>
      </x:c>
      <x:c r="M710" s="18" t="n">
        <x:v>0</x:v>
      </x:c>
      <x:c r="O710" t="str">
        <x:v>2024-01-29</x:v>
      </x:c>
      <x:c r="P710" t="n">
        <x:v>1068750.4435094823</x:v>
      </x:c>
    </x:row>
    <x:row r="711" ht="15" hidden="0" customHeight="1">
      <x:c r="A711" s="13" t="str">
        <x:v>2024-01-30</x:v>
      </x:c>
      <x:c r="B711" s="13" t="n">
        <x:v>0</x:v>
      </x:c>
      <x:c r="C711" s="13" t="n">
        <x:v>0</x:v>
      </x:c>
      <x:c r="D711" s="16" t="n">
        <x:v>0</x:v>
      </x:c>
      <x:c r="E711" s="16" t="n">
        <x:v>0</x:v>
      </x:c>
      <x:c r="F711" s="16" t="n">
        <x:v>0</x:v>
      </x:c>
      <x:c r="G711" s="16" t="n">
        <x:v>0</x:v>
      </x:c>
      <x:c r="H711" s="16" t="n">
        <x:v>0</x:v>
      </x:c>
      <x:c r="I711" s="16" t="n">
        <x:v>1068750.4435094823</x:v>
      </x:c>
      <x:c r="J711" s="16" t="n">
        <x:v>1070835.2563506975</x:v>
      </x:c>
      <x:c r="K711" s="16" t="n">
        <x:v>-2084.812841215171</x:v>
      </x:c>
      <x:c r="L711" s="18" t="n">
        <x:v>-0.0019469034371543</x:v>
      </x:c>
      <x:c r="M711" s="18" t="n">
        <x:v>0</x:v>
      </x:c>
      <x:c r="O711" t="str">
        <x:v>2024-01-30</x:v>
      </x:c>
      <x:c r="P711" t="n">
        <x:v>1068750.4435094823</x:v>
      </x:c>
    </x:row>
    <x:row r="712" ht="15" hidden="0" customHeight="1">
      <x:c r="A712" s="13" t="str">
        <x:v>2024-01-31</x:v>
      </x:c>
      <x:c r="B712" s="13" t="n">
        <x:v>0</x:v>
      </x:c>
      <x:c r="C712" s="13" t="n">
        <x:v>0</x:v>
      </x:c>
      <x:c r="D712" s="16" t="n">
        <x:v>0</x:v>
      </x:c>
      <x:c r="E712" s="16" t="n">
        <x:v>0</x:v>
      </x:c>
      <x:c r="F712" s="16" t="n">
        <x:v>0</x:v>
      </x:c>
      <x:c r="G712" s="16" t="n">
        <x:v>0</x:v>
      </x:c>
      <x:c r="H712" s="16" t="n">
        <x:v>0</x:v>
      </x:c>
      <x:c r="I712" s="16" t="n">
        <x:v>1068750.4435094823</x:v>
      </x:c>
      <x:c r="J712" s="16" t="n">
        <x:v>1070835.2563506975</x:v>
      </x:c>
      <x:c r="K712" s="16" t="n">
        <x:v>-2084.812841215171</x:v>
      </x:c>
      <x:c r="L712" s="18" t="n">
        <x:v>-0.0019469034371543</x:v>
      </x:c>
      <x:c r="M712" s="18" t="n">
        <x:v>0</x:v>
      </x:c>
      <x:c r="O712" t="str">
        <x:v>2024-01-31</x:v>
      </x:c>
      <x:c r="P712" t="n">
        <x:v>1068750.4435094823</x:v>
      </x:c>
    </x:row>
    <x:row r="713" ht="15" hidden="0" customHeight="1">
      <x:c r="A713" s="13" t="str">
        <x:v>2024-02-01</x:v>
      </x:c>
      <x:c r="B713" s="13" t="n">
        <x:v>0</x:v>
      </x:c>
      <x:c r="C713" s="13" t="n">
        <x:v>0</x:v>
      </x:c>
      <x:c r="D713" s="16" t="n">
        <x:v>0</x:v>
      </x:c>
      <x:c r="E713" s="16" t="n">
        <x:v>0</x:v>
      </x:c>
      <x:c r="F713" s="16" t="n">
        <x:v>0</x:v>
      </x:c>
      <x:c r="G713" s="16" t="n">
        <x:v>0</x:v>
      </x:c>
      <x:c r="H713" s="16" t="n">
        <x:v>0</x:v>
      </x:c>
      <x:c r="I713" s="16" t="n">
        <x:v>1068750.4435094823</x:v>
      </x:c>
      <x:c r="J713" s="16" t="n">
        <x:v>1070835.2563506975</x:v>
      </x:c>
      <x:c r="K713" s="16" t="n">
        <x:v>-2084.812841215171</x:v>
      </x:c>
      <x:c r="L713" s="18" t="n">
        <x:v>-0.0019469034371543</x:v>
      </x:c>
      <x:c r="M713" s="18" t="n">
        <x:v>0</x:v>
      </x:c>
      <x:c r="O713" t="str">
        <x:v>2024-02-01</x:v>
      </x:c>
      <x:c r="P713" t="n">
        <x:v>1068750.4435094823</x:v>
      </x:c>
    </x:row>
    <x:row r="714" ht="15" hidden="0" customHeight="1">
      <x:c r="A714" s="13" t="str">
        <x:v>2024-02-02</x:v>
      </x:c>
      <x:c r="B714" s="13" t="n">
        <x:v>0</x:v>
      </x:c>
      <x:c r="C714" s="13" t="n">
        <x:v>0</x:v>
      </x:c>
      <x:c r="D714" s="16" t="n">
        <x:v>0</x:v>
      </x:c>
      <x:c r="E714" s="16" t="n">
        <x:v>0</x:v>
      </x:c>
      <x:c r="F714" s="16" t="n">
        <x:v>0</x:v>
      </x:c>
      <x:c r="G714" s="16" t="n">
        <x:v>0</x:v>
      </x:c>
      <x:c r="H714" s="16" t="n">
        <x:v>0</x:v>
      </x:c>
      <x:c r="I714" s="16" t="n">
        <x:v>1068750.4435094823</x:v>
      </x:c>
      <x:c r="J714" s="16" t="n">
        <x:v>1070835.2563506975</x:v>
      </x:c>
      <x:c r="K714" s="16" t="n">
        <x:v>-2084.812841215171</x:v>
      </x:c>
      <x:c r="L714" s="18" t="n">
        <x:v>-0.0019469034371543</x:v>
      </x:c>
      <x:c r="M714" s="18" t="n">
        <x:v>0</x:v>
      </x:c>
      <x:c r="O714" t="str">
        <x:v>2024-02-02</x:v>
      </x:c>
      <x:c r="P714" t="n">
        <x:v>1068750.4435094823</x:v>
      </x:c>
    </x:row>
    <x:row r="715" ht="15" hidden="0" customHeight="1">
      <x:c r="A715" s="13" t="str">
        <x:v>2024-02-05</x:v>
      </x:c>
      <x:c r="B715" s="13" t="n">
        <x:v>0</x:v>
      </x:c>
      <x:c r="C715" s="13" t="n">
        <x:v>0</x:v>
      </x:c>
      <x:c r="D715" s="16" t="n">
        <x:v>0</x:v>
      </x:c>
      <x:c r="E715" s="16" t="n">
        <x:v>0</x:v>
      </x:c>
      <x:c r="F715" s="16" t="n">
        <x:v>0</x:v>
      </x:c>
      <x:c r="G715" s="16" t="n">
        <x:v>0</x:v>
      </x:c>
      <x:c r="H715" s="16" t="n">
        <x:v>0</x:v>
      </x:c>
      <x:c r="I715" s="16" t="n">
        <x:v>1068750.4435094823</x:v>
      </x:c>
      <x:c r="J715" s="16" t="n">
        <x:v>1070835.2563506975</x:v>
      </x:c>
      <x:c r="K715" s="16" t="n">
        <x:v>-2084.812841215171</x:v>
      </x:c>
      <x:c r="L715" s="18" t="n">
        <x:v>-0.0019469034371543</x:v>
      </x:c>
      <x:c r="M715" s="18" t="n">
        <x:v>0</x:v>
      </x:c>
      <x:c r="O715" t="str">
        <x:v>2024-02-05</x:v>
      </x:c>
      <x:c r="P715" t="n">
        <x:v>1068750.4435094823</x:v>
      </x:c>
    </x:row>
    <x:row r="716" ht="15" hidden="0" customHeight="1">
      <x:c r="A716" s="13" t="str">
        <x:v>2024-02-06</x:v>
      </x:c>
      <x:c r="B716" s="13" t="n">
        <x:v>0</x:v>
      </x:c>
      <x:c r="C716" s="13" t="n">
        <x:v>0</x:v>
      </x:c>
      <x:c r="D716" s="16" t="n">
        <x:v>0</x:v>
      </x:c>
      <x:c r="E716" s="16" t="n">
        <x:v>0</x:v>
      </x:c>
      <x:c r="F716" s="16" t="n">
        <x:v>0</x:v>
      </x:c>
      <x:c r="G716" s="16" t="n">
        <x:v>0</x:v>
      </x:c>
      <x:c r="H716" s="16" t="n">
        <x:v>0</x:v>
      </x:c>
      <x:c r="I716" s="16" t="n">
        <x:v>1068750.4435094823</x:v>
      </x:c>
      <x:c r="J716" s="16" t="n">
        <x:v>1070835.2563506975</x:v>
      </x:c>
      <x:c r="K716" s="16" t="n">
        <x:v>-2084.812841215171</x:v>
      </x:c>
      <x:c r="L716" s="18" t="n">
        <x:v>-0.0019469034371543</x:v>
      </x:c>
      <x:c r="M716" s="18" t="n">
        <x:v>0</x:v>
      </x:c>
      <x:c r="O716" t="str">
        <x:v>2024-02-06</x:v>
      </x:c>
      <x:c r="P716" t="n">
        <x:v>1068750.4435094823</x:v>
      </x:c>
    </x:row>
    <x:row r="717" ht="15" hidden="0" customHeight="1">
      <x:c r="A717" s="13" t="str">
        <x:v>2024-02-07</x:v>
      </x:c>
      <x:c r="B717" s="13" t="n">
        <x:v>0</x:v>
      </x:c>
      <x:c r="C717" s="13" t="n">
        <x:v>0</x:v>
      </x:c>
      <x:c r="D717" s="16" t="n">
        <x:v>0</x:v>
      </x:c>
      <x:c r="E717" s="16" t="n">
        <x:v>0</x:v>
      </x:c>
      <x:c r="F717" s="16" t="n">
        <x:v>0</x:v>
      </x:c>
      <x:c r="G717" s="16" t="n">
        <x:v>0</x:v>
      </x:c>
      <x:c r="H717" s="16" t="n">
        <x:v>0</x:v>
      </x:c>
      <x:c r="I717" s="16" t="n">
        <x:v>1068750.4435094823</x:v>
      </x:c>
      <x:c r="J717" s="16" t="n">
        <x:v>1070835.2563506975</x:v>
      </x:c>
      <x:c r="K717" s="16" t="n">
        <x:v>-2084.812841215171</x:v>
      </x:c>
      <x:c r="L717" s="18" t="n">
        <x:v>-0.0019469034371543</x:v>
      </x:c>
      <x:c r="M717" s="18" t="n">
        <x:v>0</x:v>
      </x:c>
      <x:c r="O717" t="str">
        <x:v>2024-02-07</x:v>
      </x:c>
      <x:c r="P717" t="n">
        <x:v>1068750.4435094823</x:v>
      </x:c>
    </x:row>
    <x:row r="718" ht="15" hidden="0" customHeight="1">
      <x:c r="A718" s="13" t="str">
        <x:v>2024-02-08</x:v>
      </x:c>
      <x:c r="B718" s="13" t="n">
        <x:v>0</x:v>
      </x:c>
      <x:c r="C718" s="13" t="n">
        <x:v>0</x:v>
      </x:c>
      <x:c r="D718" s="16" t="n">
        <x:v>0</x:v>
      </x:c>
      <x:c r="E718" s="16" t="n">
        <x:v>0</x:v>
      </x:c>
      <x:c r="F718" s="16" t="n">
        <x:v>0</x:v>
      </x:c>
      <x:c r="G718" s="16" t="n">
        <x:v>0</x:v>
      </x:c>
      <x:c r="H718" s="16" t="n">
        <x:v>0</x:v>
      </x:c>
      <x:c r="I718" s="16" t="n">
        <x:v>1068750.4435094823</x:v>
      </x:c>
      <x:c r="J718" s="16" t="n">
        <x:v>1070835.2563506975</x:v>
      </x:c>
      <x:c r="K718" s="16" t="n">
        <x:v>-2084.812841215171</x:v>
      </x:c>
      <x:c r="L718" s="18" t="n">
        <x:v>-0.0019469034371543</x:v>
      </x:c>
      <x:c r="M718" s="18" t="n">
        <x:v>0</x:v>
      </x:c>
      <x:c r="O718" t="str">
        <x:v>2024-02-08</x:v>
      </x:c>
      <x:c r="P718" t="n">
        <x:v>1068750.4435094823</x:v>
      </x:c>
    </x:row>
    <x:row r="719" ht="15" hidden="0" customHeight="1">
      <x:c r="A719" s="13" t="str">
        <x:v>2024-02-09</x:v>
      </x:c>
      <x:c r="B719" s="13" t="n">
        <x:v>0</x:v>
      </x:c>
      <x:c r="C719" s="13" t="n">
        <x:v>0</x:v>
      </x:c>
      <x:c r="D719" s="16" t="n">
        <x:v>0</x:v>
      </x:c>
      <x:c r="E719" s="16" t="n">
        <x:v>0</x:v>
      </x:c>
      <x:c r="F719" s="16" t="n">
        <x:v>0</x:v>
      </x:c>
      <x:c r="G719" s="16" t="n">
        <x:v>0</x:v>
      </x:c>
      <x:c r="H719" s="16" t="n">
        <x:v>0</x:v>
      </x:c>
      <x:c r="I719" s="16" t="n">
        <x:v>1068750.4435094823</x:v>
      </x:c>
      <x:c r="J719" s="16" t="n">
        <x:v>1070835.2563506975</x:v>
      </x:c>
      <x:c r="K719" s="16" t="n">
        <x:v>-2084.812841215171</x:v>
      </x:c>
      <x:c r="L719" s="18" t="n">
        <x:v>-0.0019469034371543</x:v>
      </x:c>
      <x:c r="M719" s="18" t="n">
        <x:v>0</x:v>
      </x:c>
      <x:c r="O719" t="str">
        <x:v>2024-02-09</x:v>
      </x:c>
      <x:c r="P719" t="n">
        <x:v>1068750.4435094823</x:v>
      </x:c>
    </x:row>
    <x:row r="720" ht="15" hidden="0" customHeight="1">
      <x:c r="A720" s="13" t="str">
        <x:v>2024-02-12</x:v>
      </x:c>
      <x:c r="B720" s="13" t="n">
        <x:v>0</x:v>
      </x:c>
      <x:c r="C720" s="13" t="n">
        <x:v>0</x:v>
      </x:c>
      <x:c r="D720" s="16" t="n">
        <x:v>0</x:v>
      </x:c>
      <x:c r="E720" s="16" t="n">
        <x:v>0</x:v>
      </x:c>
      <x:c r="F720" s="16" t="n">
        <x:v>0</x:v>
      </x:c>
      <x:c r="G720" s="16" t="n">
        <x:v>0</x:v>
      </x:c>
      <x:c r="H720" s="16" t="n">
        <x:v>0</x:v>
      </x:c>
      <x:c r="I720" s="16" t="n">
        <x:v>1068750.4435094823</x:v>
      </x:c>
      <x:c r="J720" s="16" t="n">
        <x:v>1070835.2563506975</x:v>
      </x:c>
      <x:c r="K720" s="16" t="n">
        <x:v>-2084.812841215171</x:v>
      </x:c>
      <x:c r="L720" s="18" t="n">
        <x:v>-0.0019469034371543</x:v>
      </x:c>
      <x:c r="M720" s="18" t="n">
        <x:v>0</x:v>
      </x:c>
      <x:c r="O720" t="str">
        <x:v>2024-02-12</x:v>
      </x:c>
      <x:c r="P720" t="n">
        <x:v>1068750.4435094823</x:v>
      </x:c>
    </x:row>
    <x:row r="721" ht="15" hidden="0" customHeight="1">
      <x:c r="A721" s="13" t="str">
        <x:v>2024-02-13</x:v>
      </x:c>
      <x:c r="B721" s="13" t="n">
        <x:v>0</x:v>
      </x:c>
      <x:c r="C721" s="13" t="n">
        <x:v>0</x:v>
      </x:c>
      <x:c r="D721" s="16" t="n">
        <x:v>0</x:v>
      </x:c>
      <x:c r="E721" s="16" t="n">
        <x:v>0</x:v>
      </x:c>
      <x:c r="F721" s="16" t="n">
        <x:v>0</x:v>
      </x:c>
      <x:c r="G721" s="16" t="n">
        <x:v>0</x:v>
      </x:c>
      <x:c r="H721" s="16" t="n">
        <x:v>0</x:v>
      </x:c>
      <x:c r="I721" s="16" t="n">
        <x:v>1068750.4435094823</x:v>
      </x:c>
      <x:c r="J721" s="16" t="n">
        <x:v>1070835.2563506975</x:v>
      </x:c>
      <x:c r="K721" s="16" t="n">
        <x:v>-2084.812841215171</x:v>
      </x:c>
      <x:c r="L721" s="18" t="n">
        <x:v>-0.0019469034371543</x:v>
      </x:c>
      <x:c r="M721" s="18" t="n">
        <x:v>0</x:v>
      </x:c>
      <x:c r="O721" t="str">
        <x:v>2024-02-13</x:v>
      </x:c>
      <x:c r="P721" t="n">
        <x:v>1068750.4435094823</x:v>
      </x:c>
    </x:row>
    <x:row r="722" ht="15" hidden="0" customHeight="1">
      <x:c r="A722" s="13" t="str">
        <x:v>2024-02-14</x:v>
      </x:c>
      <x:c r="B722" s="13" t="n">
        <x:v>0</x:v>
      </x:c>
      <x:c r="C722" s="13" t="n">
        <x:v>0</x:v>
      </x:c>
      <x:c r="D722" s="16" t="n">
        <x:v>0</x:v>
      </x:c>
      <x:c r="E722" s="16" t="n">
        <x:v>0</x:v>
      </x:c>
      <x:c r="F722" s="16" t="n">
        <x:v>0</x:v>
      </x:c>
      <x:c r="G722" s="16" t="n">
        <x:v>0</x:v>
      </x:c>
      <x:c r="H722" s="16" t="n">
        <x:v>0</x:v>
      </x:c>
      <x:c r="I722" s="16" t="n">
        <x:v>1068750.4435094823</x:v>
      </x:c>
      <x:c r="J722" s="16" t="n">
        <x:v>1070835.2563506975</x:v>
      </x:c>
      <x:c r="K722" s="16" t="n">
        <x:v>-2084.812841215171</x:v>
      </x:c>
      <x:c r="L722" s="18" t="n">
        <x:v>-0.0019469034371543</x:v>
      </x:c>
      <x:c r="M722" s="18" t="n">
        <x:v>0</x:v>
      </x:c>
      <x:c r="O722" t="str">
        <x:v>2024-02-14</x:v>
      </x:c>
      <x:c r="P722" t="n">
        <x:v>1068750.4435094823</x:v>
      </x:c>
    </x:row>
    <x:row r="723" ht="15" hidden="0" customHeight="1">
      <x:c r="A723" s="13" t="str">
        <x:v>2024-02-15</x:v>
      </x:c>
      <x:c r="B723" s="13" t="n">
        <x:v>1</x:v>
      </x:c>
      <x:c r="C723" s="13" t="n">
        <x:v>7</x:v>
      </x:c>
      <x:c r="D723" s="16" t="n">
        <x:v>2712.5000000000014</x:v>
      </x:c>
      <x:c r="E723" s="16" t="n">
        <x:v>426.0018465166678</x:v>
      </x:c>
      <x:c r="F723" s="16" t="n">
        <x:v>2286.4981534833337</x:v>
      </x:c>
      <x:c r="G723" s="16" t="n">
        <x:v>50216.16677406376</x:v>
      </x:c>
      <x:c r="H723" s="16" t="n">
        <x:v>362475.8547535316</x:v>
      </x:c>
      <x:c r="I723" s="16" t="n">
        <x:v>1071036.9416629658</x:v>
      </x:c>
      <x:c r="J723" s="16" t="n">
        <x:v>1071036.9416629658</x:v>
      </x:c>
      <x:c r="K723" s="16" t="n">
        <x:v>0</x:v>
      </x:c>
      <x:c r="L723" s="18" t="n">
        <x:v>0</x:v>
      </x:c>
      <x:c r="M723" s="18" t="n">
        <x:v>0.0021394125891309</x:v>
      </x:c>
      <x:c r="O723" t="str">
        <x:v>2024-02-15</x:v>
      </x:c>
      <x:c r="P723" t="n">
        <x:v>1071036.9416629658</x:v>
      </x:c>
    </x:row>
    <x:row r="724" ht="15" hidden="0" customHeight="1">
      <x:c r="A724" s="13" t="str">
        <x:v>2024-02-16</x:v>
      </x:c>
      <x:c r="B724" s="13" t="n">
        <x:v>0</x:v>
      </x:c>
      <x:c r="C724" s="13" t="n">
        <x:v>0</x:v>
      </x:c>
      <x:c r="D724" s="16" t="n">
        <x:v>0</x:v>
      </x:c>
      <x:c r="E724" s="16" t="n">
        <x:v>0</x:v>
      </x:c>
      <x:c r="F724" s="16" t="n">
        <x:v>0</x:v>
      </x:c>
      <x:c r="G724" s="16" t="n">
        <x:v>0</x:v>
      </x:c>
      <x:c r="H724" s="16" t="n">
        <x:v>0</x:v>
      </x:c>
      <x:c r="I724" s="16" t="n">
        <x:v>1071036.9416629658</x:v>
      </x:c>
      <x:c r="J724" s="16" t="n">
        <x:v>1071036.9416629658</x:v>
      </x:c>
      <x:c r="K724" s="16" t="n">
        <x:v>0</x:v>
      </x:c>
      <x:c r="L724" s="18" t="n">
        <x:v>0</x:v>
      </x:c>
      <x:c r="M724" s="18" t="n">
        <x:v>0</x:v>
      </x:c>
      <x:c r="O724" t="str">
        <x:v>2024-02-16</x:v>
      </x:c>
      <x:c r="P724" t="n">
        <x:v>1071036.9416629658</x:v>
      </x:c>
    </x:row>
    <x:row r="725" ht="15" hidden="0" customHeight="1">
      <x:c r="A725" s="13" t="str">
        <x:v>2024-02-19</x:v>
      </x:c>
      <x:c r="B725" s="13" t="n">
        <x:v>0</x:v>
      </x:c>
      <x:c r="C725" s="13" t="n">
        <x:v>0</x:v>
      </x:c>
      <x:c r="D725" s="16" t="n">
        <x:v>0</x:v>
      </x:c>
      <x:c r="E725" s="16" t="n">
        <x:v>0</x:v>
      </x:c>
      <x:c r="F725" s="16" t="n">
        <x:v>0</x:v>
      </x:c>
      <x:c r="G725" s="16" t="n">
        <x:v>0</x:v>
      </x:c>
      <x:c r="H725" s="16" t="n">
        <x:v>0</x:v>
      </x:c>
      <x:c r="I725" s="16" t="n">
        <x:v>1071036.9416629658</x:v>
      </x:c>
      <x:c r="J725" s="16" t="n">
        <x:v>1071036.9416629658</x:v>
      </x:c>
      <x:c r="K725" s="16" t="n">
        <x:v>0</x:v>
      </x:c>
      <x:c r="L725" s="18" t="n">
        <x:v>0</x:v>
      </x:c>
      <x:c r="M725" s="18" t="n">
        <x:v>0</x:v>
      </x:c>
      <x:c r="O725" t="str">
        <x:v>2024-02-19</x:v>
      </x:c>
      <x:c r="P725" t="n">
        <x:v>1071036.9416629658</x:v>
      </x:c>
    </x:row>
    <x:row r="726" ht="15" hidden="0" customHeight="1">
      <x:c r="A726" s="13" t="str">
        <x:v>2024-02-20</x:v>
      </x:c>
      <x:c r="B726" s="13" t="n">
        <x:v>0</x:v>
      </x:c>
      <x:c r="C726" s="13" t="n">
        <x:v>0</x:v>
      </x:c>
      <x:c r="D726" s="16" t="n">
        <x:v>0</x:v>
      </x:c>
      <x:c r="E726" s="16" t="n">
        <x:v>0</x:v>
      </x:c>
      <x:c r="F726" s="16" t="n">
        <x:v>0</x:v>
      </x:c>
      <x:c r="G726" s="16" t="n">
        <x:v>0</x:v>
      </x:c>
      <x:c r="H726" s="16" t="n">
        <x:v>0</x:v>
      </x:c>
      <x:c r="I726" s="16" t="n">
        <x:v>1071036.9416629658</x:v>
      </x:c>
      <x:c r="J726" s="16" t="n">
        <x:v>1071036.9416629658</x:v>
      </x:c>
      <x:c r="K726" s="16" t="n">
        <x:v>0</x:v>
      </x:c>
      <x:c r="L726" s="18" t="n">
        <x:v>0</x:v>
      </x:c>
      <x:c r="M726" s="18" t="n">
        <x:v>0</x:v>
      </x:c>
      <x:c r="O726" t="str">
        <x:v>2024-02-20</x:v>
      </x:c>
      <x:c r="P726" t="n">
        <x:v>1071036.9416629658</x:v>
      </x:c>
    </x:row>
    <x:row r="727" ht="15" hidden="0" customHeight="1">
      <x:c r="A727" s="13" t="str">
        <x:v>2024-02-21</x:v>
      </x:c>
      <x:c r="B727" s="13" t="n">
        <x:v>0</x:v>
      </x:c>
      <x:c r="C727" s="13" t="n">
        <x:v>0</x:v>
      </x:c>
      <x:c r="D727" s="16" t="n">
        <x:v>0</x:v>
      </x:c>
      <x:c r="E727" s="16" t="n">
        <x:v>0</x:v>
      </x:c>
      <x:c r="F727" s="16" t="n">
        <x:v>0</x:v>
      </x:c>
      <x:c r="G727" s="16" t="n">
        <x:v>0</x:v>
      </x:c>
      <x:c r="H727" s="16" t="n">
        <x:v>0</x:v>
      </x:c>
      <x:c r="I727" s="16" t="n">
        <x:v>1071036.9416629658</x:v>
      </x:c>
      <x:c r="J727" s="16" t="n">
        <x:v>1071036.9416629658</x:v>
      </x:c>
      <x:c r="K727" s="16" t="n">
        <x:v>0</x:v>
      </x:c>
      <x:c r="L727" s="18" t="n">
        <x:v>0</x:v>
      </x:c>
      <x:c r="M727" s="18" t="n">
        <x:v>0</x:v>
      </x:c>
      <x:c r="O727" t="str">
        <x:v>2024-02-21</x:v>
      </x:c>
      <x:c r="P727" t="n">
        <x:v>1071036.9416629658</x:v>
      </x:c>
    </x:row>
    <x:row r="728" ht="15" hidden="0" customHeight="1">
      <x:c r="A728" s="13" t="str">
        <x:v>2024-02-22</x:v>
      </x:c>
      <x:c r="B728" s="13" t="n">
        <x:v>0</x:v>
      </x:c>
      <x:c r="C728" s="13" t="n">
        <x:v>0</x:v>
      </x:c>
      <x:c r="D728" s="16" t="n">
        <x:v>0</x:v>
      </x:c>
      <x:c r="E728" s="16" t="n">
        <x:v>0</x:v>
      </x:c>
      <x:c r="F728" s="16" t="n">
        <x:v>0</x:v>
      </x:c>
      <x:c r="G728" s="16" t="n">
        <x:v>0</x:v>
      </x:c>
      <x:c r="H728" s="16" t="n">
        <x:v>0</x:v>
      </x:c>
      <x:c r="I728" s="16" t="n">
        <x:v>1071036.9416629658</x:v>
      </x:c>
      <x:c r="J728" s="16" t="n">
        <x:v>1071036.9416629658</x:v>
      </x:c>
      <x:c r="K728" s="16" t="n">
        <x:v>0</x:v>
      </x:c>
      <x:c r="L728" s="18" t="n">
        <x:v>0</x:v>
      </x:c>
      <x:c r="M728" s="18" t="n">
        <x:v>0</x:v>
      </x:c>
      <x:c r="O728" t="str">
        <x:v>2024-02-22</x:v>
      </x:c>
      <x:c r="P728" t="n">
        <x:v>1071036.9416629658</x:v>
      </x:c>
    </x:row>
    <x:row r="729" ht="15" hidden="0" customHeight="1">
      <x:c r="A729" s="13" t="str">
        <x:v>2024-02-23</x:v>
      </x:c>
      <x:c r="B729" s="13" t="n">
        <x:v>0</x:v>
      </x:c>
      <x:c r="C729" s="13" t="n">
        <x:v>0</x:v>
      </x:c>
      <x:c r="D729" s="16" t="n">
        <x:v>0</x:v>
      </x:c>
      <x:c r="E729" s="16" t="n">
        <x:v>0</x:v>
      </x:c>
      <x:c r="F729" s="16" t="n">
        <x:v>0</x:v>
      </x:c>
      <x:c r="G729" s="16" t="n">
        <x:v>0</x:v>
      </x:c>
      <x:c r="H729" s="16" t="n">
        <x:v>0</x:v>
      </x:c>
      <x:c r="I729" s="16" t="n">
        <x:v>1071036.9416629658</x:v>
      </x:c>
      <x:c r="J729" s="16" t="n">
        <x:v>1071036.9416629658</x:v>
      </x:c>
      <x:c r="K729" s="16" t="n">
        <x:v>0</x:v>
      </x:c>
      <x:c r="L729" s="18" t="n">
        <x:v>0</x:v>
      </x:c>
      <x:c r="M729" s="18" t="n">
        <x:v>0</x:v>
      </x:c>
      <x:c r="O729" t="str">
        <x:v>2024-02-23</x:v>
      </x:c>
      <x:c r="P729" t="n">
        <x:v>1071036.9416629658</x:v>
      </x:c>
    </x:row>
    <x:row r="730" ht="15" hidden="0" customHeight="1">
      <x:c r="A730" s="13" t="str">
        <x:v>2024-02-26</x:v>
      </x:c>
      <x:c r="B730" s="13" t="n">
        <x:v>0</x:v>
      </x:c>
      <x:c r="C730" s="13" t="n">
        <x:v>0</x:v>
      </x:c>
      <x:c r="D730" s="16" t="n">
        <x:v>0</x:v>
      </x:c>
      <x:c r="E730" s="16" t="n">
        <x:v>0</x:v>
      </x:c>
      <x:c r="F730" s="16" t="n">
        <x:v>0</x:v>
      </x:c>
      <x:c r="G730" s="16" t="n">
        <x:v>0</x:v>
      </x:c>
      <x:c r="H730" s="16" t="n">
        <x:v>0</x:v>
      </x:c>
      <x:c r="I730" s="16" t="n">
        <x:v>1071036.9416629658</x:v>
      </x:c>
      <x:c r="J730" s="16" t="n">
        <x:v>1071036.9416629658</x:v>
      </x:c>
      <x:c r="K730" s="16" t="n">
        <x:v>0</x:v>
      </x:c>
      <x:c r="L730" s="18" t="n">
        <x:v>0</x:v>
      </x:c>
      <x:c r="M730" s="18" t="n">
        <x:v>0</x:v>
      </x:c>
      <x:c r="O730" t="str">
        <x:v>2024-02-26</x:v>
      </x:c>
      <x:c r="P730" t="n">
        <x:v>1071036.9416629658</x:v>
      </x:c>
    </x:row>
    <x:row r="731" ht="15" hidden="0" customHeight="1">
      <x:c r="A731" s="13" t="str">
        <x:v>2024-02-27</x:v>
      </x:c>
      <x:c r="B731" s="13" t="n">
        <x:v>0</x:v>
      </x:c>
      <x:c r="C731" s="13" t="n">
        <x:v>0</x:v>
      </x:c>
      <x:c r="D731" s="16" t="n">
        <x:v>0</x:v>
      </x:c>
      <x:c r="E731" s="16" t="n">
        <x:v>0</x:v>
      </x:c>
      <x:c r="F731" s="16" t="n">
        <x:v>0</x:v>
      </x:c>
      <x:c r="G731" s="16" t="n">
        <x:v>0</x:v>
      </x:c>
      <x:c r="H731" s="16" t="n">
        <x:v>0</x:v>
      </x:c>
      <x:c r="I731" s="16" t="n">
        <x:v>1071036.9416629658</x:v>
      </x:c>
      <x:c r="J731" s="16" t="n">
        <x:v>1071036.9416629658</x:v>
      </x:c>
      <x:c r="K731" s="16" t="n">
        <x:v>0</x:v>
      </x:c>
      <x:c r="L731" s="18" t="n">
        <x:v>0</x:v>
      </x:c>
      <x:c r="M731" s="18" t="n">
        <x:v>0</x:v>
      </x:c>
      <x:c r="O731" t="str">
        <x:v>2024-02-27</x:v>
      </x:c>
      <x:c r="P731" t="n">
        <x:v>1071036.9416629658</x:v>
      </x:c>
    </x:row>
    <x:row r="732" ht="15" hidden="0" customHeight="1">
      <x:c r="A732" s="13" t="str">
        <x:v>2024-02-28</x:v>
      </x:c>
      <x:c r="B732" s="13" t="n">
        <x:v>0</x:v>
      </x:c>
      <x:c r="C732" s="13" t="n">
        <x:v>0</x:v>
      </x:c>
      <x:c r="D732" s="16" t="n">
        <x:v>0</x:v>
      </x:c>
      <x:c r="E732" s="16" t="n">
        <x:v>0</x:v>
      </x:c>
      <x:c r="F732" s="16" t="n">
        <x:v>0</x:v>
      </x:c>
      <x:c r="G732" s="16" t="n">
        <x:v>0</x:v>
      </x:c>
      <x:c r="H732" s="16" t="n">
        <x:v>0</x:v>
      </x:c>
      <x:c r="I732" s="16" t="n">
        <x:v>1071036.9416629658</x:v>
      </x:c>
      <x:c r="J732" s="16" t="n">
        <x:v>1071036.9416629658</x:v>
      </x:c>
      <x:c r="K732" s="16" t="n">
        <x:v>0</x:v>
      </x:c>
      <x:c r="L732" s="18" t="n">
        <x:v>0</x:v>
      </x:c>
      <x:c r="M732" s="18" t="n">
        <x:v>0</x:v>
      </x:c>
      <x:c r="O732" t="str">
        <x:v>2024-02-28</x:v>
      </x:c>
      <x:c r="P732" t="n">
        <x:v>1071036.9416629658</x:v>
      </x:c>
    </x:row>
    <x:row r="733" ht="15" hidden="0" customHeight="1">
      <x:c r="A733" s="13" t="str">
        <x:v>2024-02-29</x:v>
      </x:c>
      <x:c r="B733" s="13" t="n">
        <x:v>0</x:v>
      </x:c>
      <x:c r="C733" s="13" t="n">
        <x:v>0</x:v>
      </x:c>
      <x:c r="D733" s="16" t="n">
        <x:v>0</x:v>
      </x:c>
      <x:c r="E733" s="16" t="n">
        <x:v>0</x:v>
      </x:c>
      <x:c r="F733" s="16" t="n">
        <x:v>0</x:v>
      </x:c>
      <x:c r="G733" s="16" t="n">
        <x:v>0</x:v>
      </x:c>
      <x:c r="H733" s="16" t="n">
        <x:v>0</x:v>
      </x:c>
      <x:c r="I733" s="16" t="n">
        <x:v>1071036.9416629658</x:v>
      </x:c>
      <x:c r="J733" s="16" t="n">
        <x:v>1071036.9416629658</x:v>
      </x:c>
      <x:c r="K733" s="16" t="n">
        <x:v>0</x:v>
      </x:c>
      <x:c r="L733" s="18" t="n">
        <x:v>0</x:v>
      </x:c>
      <x:c r="M733" s="18" t="n">
        <x:v>0</x:v>
      </x:c>
      <x:c r="O733" t="str">
        <x:v>2024-02-29</x:v>
      </x:c>
      <x:c r="P733" t="n">
        <x:v>1071036.9416629658</x:v>
      </x:c>
    </x:row>
    <x:row r="734" ht="15" hidden="0" customHeight="1">
      <x:c r="A734" s="13" t="str">
        <x:v>2024-03-01</x:v>
      </x:c>
      <x:c r="B734" s="13" t="n">
        <x:v>0</x:v>
      </x:c>
      <x:c r="C734" s="13" t="n">
        <x:v>0</x:v>
      </x:c>
      <x:c r="D734" s="16" t="n">
        <x:v>0</x:v>
      </x:c>
      <x:c r="E734" s="16" t="n">
        <x:v>0</x:v>
      </x:c>
      <x:c r="F734" s="16" t="n">
        <x:v>0</x:v>
      </x:c>
      <x:c r="G734" s="16" t="n">
        <x:v>0</x:v>
      </x:c>
      <x:c r="H734" s="16" t="n">
        <x:v>0</x:v>
      </x:c>
      <x:c r="I734" s="16" t="n">
        <x:v>1071036.9416629658</x:v>
      </x:c>
      <x:c r="J734" s="16" t="n">
        <x:v>1071036.9416629658</x:v>
      </x:c>
      <x:c r="K734" s="16" t="n">
        <x:v>0</x:v>
      </x:c>
      <x:c r="L734" s="18" t="n">
        <x:v>0</x:v>
      </x:c>
      <x:c r="M734" s="18" t="n">
        <x:v>0</x:v>
      </x:c>
      <x:c r="O734" t="str">
        <x:v>2024-03-01</x:v>
      </x:c>
      <x:c r="P734" t="n">
        <x:v>1071036.9416629658</x:v>
      </x:c>
    </x:row>
    <x:row r="735" ht="15" hidden="0" customHeight="1">
      <x:c r="A735" s="13" t="str">
        <x:v>2024-03-04</x:v>
      </x:c>
      <x:c r="B735" s="13" t="n">
        <x:v>0</x:v>
      </x:c>
      <x:c r="C735" s="13" t="n">
        <x:v>0</x:v>
      </x:c>
      <x:c r="D735" s="16" t="n">
        <x:v>0</x:v>
      </x:c>
      <x:c r="E735" s="16" t="n">
        <x:v>0</x:v>
      </x:c>
      <x:c r="F735" s="16" t="n">
        <x:v>0</x:v>
      </x:c>
      <x:c r="G735" s="16" t="n">
        <x:v>0</x:v>
      </x:c>
      <x:c r="H735" s="16" t="n">
        <x:v>0</x:v>
      </x:c>
      <x:c r="I735" s="16" t="n">
        <x:v>1071036.9416629658</x:v>
      </x:c>
      <x:c r="J735" s="16" t="n">
        <x:v>1071036.9416629658</x:v>
      </x:c>
      <x:c r="K735" s="16" t="n">
        <x:v>0</x:v>
      </x:c>
      <x:c r="L735" s="18" t="n">
        <x:v>0</x:v>
      </x:c>
      <x:c r="M735" s="18" t="n">
        <x:v>0</x:v>
      </x:c>
      <x:c r="O735" t="str">
        <x:v>2024-03-04</x:v>
      </x:c>
      <x:c r="P735" t="n">
        <x:v>1071036.9416629658</x:v>
      </x:c>
    </x:row>
    <x:row r="736" ht="15" hidden="0" customHeight="1">
      <x:c r="A736" s="13" t="str">
        <x:v>2024-03-05</x:v>
      </x:c>
      <x:c r="B736" s="13" t="n">
        <x:v>0</x:v>
      </x:c>
      <x:c r="C736" s="13" t="n">
        <x:v>0</x:v>
      </x:c>
      <x:c r="D736" s="16" t="n">
        <x:v>0</x:v>
      </x:c>
      <x:c r="E736" s="16" t="n">
        <x:v>0</x:v>
      </x:c>
      <x:c r="F736" s="16" t="n">
        <x:v>0</x:v>
      </x:c>
      <x:c r="G736" s="16" t="n">
        <x:v>0</x:v>
      </x:c>
      <x:c r="H736" s="16" t="n">
        <x:v>0</x:v>
      </x:c>
      <x:c r="I736" s="16" t="n">
        <x:v>1071036.9416629658</x:v>
      </x:c>
      <x:c r="J736" s="16" t="n">
        <x:v>1071036.9416629658</x:v>
      </x:c>
      <x:c r="K736" s="16" t="n">
        <x:v>0</x:v>
      </x:c>
      <x:c r="L736" s="18" t="n">
        <x:v>0</x:v>
      </x:c>
      <x:c r="M736" s="18" t="n">
        <x:v>0</x:v>
      </x:c>
      <x:c r="O736" t="str">
        <x:v>2024-03-05</x:v>
      </x:c>
      <x:c r="P736" t="n">
        <x:v>1071036.9416629658</x:v>
      </x:c>
    </x:row>
    <x:row r="737" ht="15" hidden="0" customHeight="1">
      <x:c r="A737" s="13" t="str">
        <x:v>2024-03-06</x:v>
      </x:c>
      <x:c r="B737" s="13" t="n">
        <x:v>0</x:v>
      </x:c>
      <x:c r="C737" s="13" t="n">
        <x:v>0</x:v>
      </x:c>
      <x:c r="D737" s="16" t="n">
        <x:v>0</x:v>
      </x:c>
      <x:c r="E737" s="16" t="n">
        <x:v>0</x:v>
      </x:c>
      <x:c r="F737" s="16" t="n">
        <x:v>0</x:v>
      </x:c>
      <x:c r="G737" s="16" t="n">
        <x:v>0</x:v>
      </x:c>
      <x:c r="H737" s="16" t="n">
        <x:v>0</x:v>
      </x:c>
      <x:c r="I737" s="16" t="n">
        <x:v>1071036.9416629658</x:v>
      </x:c>
      <x:c r="J737" s="16" t="n">
        <x:v>1071036.9416629658</x:v>
      </x:c>
      <x:c r="K737" s="16" t="n">
        <x:v>0</x:v>
      </x:c>
      <x:c r="L737" s="18" t="n">
        <x:v>0</x:v>
      </x:c>
      <x:c r="M737" s="18" t="n">
        <x:v>0</x:v>
      </x:c>
      <x:c r="O737" t="str">
        <x:v>2024-03-06</x:v>
      </x:c>
      <x:c r="P737" t="n">
        <x:v>1071036.9416629658</x:v>
      </x:c>
    </x:row>
    <x:row r="738" ht="15" hidden="0" customHeight="1">
      <x:c r="A738" s="13" t="str">
        <x:v>2024-03-07</x:v>
      </x:c>
      <x:c r="B738" s="13" t="n">
        <x:v>1</x:v>
      </x:c>
      <x:c r="C738" s="13" t="n">
        <x:v>7</x:v>
      </x:c>
      <x:c r="D738" s="16" t="n">
        <x:v>7665</x:v>
      </x:c>
      <x:c r="E738" s="16" t="n">
        <x:v>378.6491962357151</x:v>
      </x:c>
      <x:c r="F738" s="16" t="n">
        <x:v>7286.350803764285</x:v>
      </x:c>
      <x:c r="G738" s="16" t="n">
        <x:v>22189.44862753993</x:v>
      </x:c>
      <x:c r="H738" s="16" t="n">
        <x:v>369992.5578272836</x:v>
      </x:c>
      <x:c r="I738" s="16" t="n">
        <x:v>1078323.29246673</x:v>
      </x:c>
      <x:c r="J738" s="16" t="n">
        <x:v>1078323.29246673</x:v>
      </x:c>
      <x:c r="K738" s="16" t="n">
        <x:v>0</x:v>
      </x:c>
      <x:c r="L738" s="18" t="n">
        <x:v>0</x:v>
      </x:c>
      <x:c r="M738" s="18" t="n">
        <x:v>0.0068030807531724</x:v>
      </x:c>
      <x:c r="O738" t="str">
        <x:v>2024-03-07</x:v>
      </x:c>
      <x:c r="P738" t="n">
        <x:v>1078323.29246673</x:v>
      </x:c>
    </x:row>
    <x:row r="739" ht="15" hidden="0" customHeight="1">
      <x:c r="A739" s="13" t="str">
        <x:v>2024-03-08</x:v>
      </x:c>
      <x:c r="B739" s="13" t="n">
        <x:v>0</x:v>
      </x:c>
      <x:c r="C739" s="13" t="n">
        <x:v>0</x:v>
      </x:c>
      <x:c r="D739" s="16" t="n">
        <x:v>0</x:v>
      </x:c>
      <x:c r="E739" s="16" t="n">
        <x:v>0</x:v>
      </x:c>
      <x:c r="F739" s="16" t="n">
        <x:v>0</x:v>
      </x:c>
      <x:c r="G739" s="16" t="n">
        <x:v>0</x:v>
      </x:c>
      <x:c r="H739" s="16" t="n">
        <x:v>0</x:v>
      </x:c>
      <x:c r="I739" s="16" t="n">
        <x:v>1078323.29246673</x:v>
      </x:c>
      <x:c r="J739" s="16" t="n">
        <x:v>1078323.29246673</x:v>
      </x:c>
      <x:c r="K739" s="16" t="n">
        <x:v>0</x:v>
      </x:c>
      <x:c r="L739" s="18" t="n">
        <x:v>0</x:v>
      </x:c>
      <x:c r="M739" s="18" t="n">
        <x:v>0</x:v>
      </x:c>
      <x:c r="O739" t="str">
        <x:v>2024-03-08</x:v>
      </x:c>
      <x:c r="P739" t="n">
        <x:v>1078323.29246673</x:v>
      </x:c>
    </x:row>
    <x:row r="740" ht="15" hidden="0" customHeight="1">
      <x:c r="A740" s="13" t="str">
        <x:v>2024-03-11</x:v>
      </x:c>
      <x:c r="B740" s="13" t="n">
        <x:v>0</x:v>
      </x:c>
      <x:c r="C740" s="13" t="n">
        <x:v>0</x:v>
      </x:c>
      <x:c r="D740" s="16" t="n">
        <x:v>0</x:v>
      </x:c>
      <x:c r="E740" s="16" t="n">
        <x:v>0</x:v>
      </x:c>
      <x:c r="F740" s="16" t="n">
        <x:v>0</x:v>
      </x:c>
      <x:c r="G740" s="16" t="n">
        <x:v>0</x:v>
      </x:c>
      <x:c r="H740" s="16" t="n">
        <x:v>0</x:v>
      </x:c>
      <x:c r="I740" s="16" t="n">
        <x:v>1078323.29246673</x:v>
      </x:c>
      <x:c r="J740" s="16" t="n">
        <x:v>1078323.29246673</x:v>
      </x:c>
      <x:c r="K740" s="16" t="n">
        <x:v>0</x:v>
      </x:c>
      <x:c r="L740" s="18" t="n">
        <x:v>0</x:v>
      </x:c>
      <x:c r="M740" s="18" t="n">
        <x:v>0</x:v>
      </x:c>
      <x:c r="O740" t="str">
        <x:v>2024-03-11</x:v>
      </x:c>
      <x:c r="P740" t="n">
        <x:v>1078323.29246673</x:v>
      </x:c>
    </x:row>
    <x:row r="741" ht="15" hidden="0" customHeight="1">
      <x:c r="A741" s="13" t="str">
        <x:v>2024-03-12</x:v>
      </x:c>
      <x:c r="B741" s="13" t="n">
        <x:v>0</x:v>
      </x:c>
      <x:c r="C741" s="13" t="n">
        <x:v>0</x:v>
      </x:c>
      <x:c r="D741" s="16" t="n">
        <x:v>0</x:v>
      </x:c>
      <x:c r="E741" s="16" t="n">
        <x:v>0</x:v>
      </x:c>
      <x:c r="F741" s="16" t="n">
        <x:v>0</x:v>
      </x:c>
      <x:c r="G741" s="16" t="n">
        <x:v>0</x:v>
      </x:c>
      <x:c r="H741" s="16" t="n">
        <x:v>0</x:v>
      </x:c>
      <x:c r="I741" s="16" t="n">
        <x:v>1078323.29246673</x:v>
      </x:c>
      <x:c r="J741" s="16" t="n">
        <x:v>1078323.29246673</x:v>
      </x:c>
      <x:c r="K741" s="16" t="n">
        <x:v>0</x:v>
      </x:c>
      <x:c r="L741" s="18" t="n">
        <x:v>0</x:v>
      </x:c>
      <x:c r="M741" s="18" t="n">
        <x:v>0</x:v>
      </x:c>
      <x:c r="O741" t="str">
        <x:v>2024-03-12</x:v>
      </x:c>
      <x:c r="P741" t="n">
        <x:v>1078323.29246673</x:v>
      </x:c>
    </x:row>
    <x:row r="742" ht="15" hidden="0" customHeight="1">
      <x:c r="A742" s="13" t="str">
        <x:v>2024-03-13</x:v>
      </x:c>
      <x:c r="B742" s="13" t="n">
        <x:v>0</x:v>
      </x:c>
      <x:c r="C742" s="13" t="n">
        <x:v>0</x:v>
      </x:c>
      <x:c r="D742" s="16" t="n">
        <x:v>0</x:v>
      </x:c>
      <x:c r="E742" s="16" t="n">
        <x:v>0</x:v>
      </x:c>
      <x:c r="F742" s="16" t="n">
        <x:v>0</x:v>
      </x:c>
      <x:c r="G742" s="16" t="n">
        <x:v>0</x:v>
      </x:c>
      <x:c r="H742" s="16" t="n">
        <x:v>0</x:v>
      </x:c>
      <x:c r="I742" s="16" t="n">
        <x:v>1078323.29246673</x:v>
      </x:c>
      <x:c r="J742" s="16" t="n">
        <x:v>1078323.29246673</x:v>
      </x:c>
      <x:c r="K742" s="16" t="n">
        <x:v>0</x:v>
      </x:c>
      <x:c r="L742" s="18" t="n">
        <x:v>0</x:v>
      </x:c>
      <x:c r="M742" s="18" t="n">
        <x:v>0</x:v>
      </x:c>
      <x:c r="O742" t="str">
        <x:v>2024-03-13</x:v>
      </x:c>
      <x:c r="P742" t="n">
        <x:v>1078323.29246673</x:v>
      </x:c>
    </x:row>
    <x:row r="743" ht="15" hidden="0" customHeight="1">
      <x:c r="A743" s="13" t="str">
        <x:v>2024-03-14</x:v>
      </x:c>
      <x:c r="B743" s="13" t="n">
        <x:v>0</x:v>
      </x:c>
      <x:c r="C743" s="13" t="n">
        <x:v>0</x:v>
      </x:c>
      <x:c r="D743" s="16" t="n">
        <x:v>0</x:v>
      </x:c>
      <x:c r="E743" s="16" t="n">
        <x:v>0</x:v>
      </x:c>
      <x:c r="F743" s="16" t="n">
        <x:v>0</x:v>
      </x:c>
      <x:c r="G743" s="16" t="n">
        <x:v>0</x:v>
      </x:c>
      <x:c r="H743" s="16" t="n">
        <x:v>0</x:v>
      </x:c>
      <x:c r="I743" s="16" t="n">
        <x:v>1078323.29246673</x:v>
      </x:c>
      <x:c r="J743" s="16" t="n">
        <x:v>1078323.29246673</x:v>
      </x:c>
      <x:c r="K743" s="16" t="n">
        <x:v>0</x:v>
      </x:c>
      <x:c r="L743" s="18" t="n">
        <x:v>0</x:v>
      </x:c>
      <x:c r="M743" s="18" t="n">
        <x:v>0</x:v>
      </x:c>
      <x:c r="O743" t="str">
        <x:v>2024-03-14</x:v>
      </x:c>
      <x:c r="P743" t="n">
        <x:v>1078323.29246673</x:v>
      </x:c>
    </x:row>
    <x:row r="744" ht="15" hidden="0" customHeight="1">
      <x:c r="A744" s="13" t="str">
        <x:v>2024-03-15</x:v>
      </x:c>
      <x:c r="B744" s="13" t="n">
        <x:v>0</x:v>
      </x:c>
      <x:c r="C744" s="13" t="n">
        <x:v>0</x:v>
      </x:c>
      <x:c r="D744" s="16" t="n">
        <x:v>0</x:v>
      </x:c>
      <x:c r="E744" s="16" t="n">
        <x:v>0</x:v>
      </x:c>
      <x:c r="F744" s="16" t="n">
        <x:v>0</x:v>
      </x:c>
      <x:c r="G744" s="16" t="n">
        <x:v>0</x:v>
      </x:c>
      <x:c r="H744" s="16" t="n">
        <x:v>0</x:v>
      </x:c>
      <x:c r="I744" s="16" t="n">
        <x:v>1078323.29246673</x:v>
      </x:c>
      <x:c r="J744" s="16" t="n">
        <x:v>1078323.29246673</x:v>
      </x:c>
      <x:c r="K744" s="16" t="n">
        <x:v>0</x:v>
      </x:c>
      <x:c r="L744" s="18" t="n">
        <x:v>0</x:v>
      </x:c>
      <x:c r="M744" s="18" t="n">
        <x:v>0</x:v>
      </x:c>
      <x:c r="O744" t="str">
        <x:v>2024-03-15</x:v>
      </x:c>
      <x:c r="P744" t="n">
        <x:v>1078323.29246673</x:v>
      </x:c>
    </x:row>
    <x:row r="745" ht="15" hidden="0" customHeight="1">
      <x:c r="A745" s="13" t="str">
        <x:v>2024-03-18</x:v>
      </x:c>
      <x:c r="B745" s="13" t="n">
        <x:v>0</x:v>
      </x:c>
      <x:c r="C745" s="13" t="n">
        <x:v>0</x:v>
      </x:c>
      <x:c r="D745" s="16" t="n">
        <x:v>0</x:v>
      </x:c>
      <x:c r="E745" s="16" t="n">
        <x:v>0</x:v>
      </x:c>
      <x:c r="F745" s="16" t="n">
        <x:v>0</x:v>
      </x:c>
      <x:c r="G745" s="16" t="n">
        <x:v>0</x:v>
      </x:c>
      <x:c r="H745" s="16" t="n">
        <x:v>0</x:v>
      </x:c>
      <x:c r="I745" s="16" t="n">
        <x:v>1078323.29246673</x:v>
      </x:c>
      <x:c r="J745" s="16" t="n">
        <x:v>1078323.29246673</x:v>
      </x:c>
      <x:c r="K745" s="16" t="n">
        <x:v>0</x:v>
      </x:c>
      <x:c r="L745" s="18" t="n">
        <x:v>0</x:v>
      </x:c>
      <x:c r="M745" s="18" t="n">
        <x:v>0</x:v>
      </x:c>
      <x:c r="O745" t="str">
        <x:v>2024-03-18</x:v>
      </x:c>
      <x:c r="P745" t="n">
        <x:v>1078323.29246673</x:v>
      </x:c>
    </x:row>
    <x:row r="746" ht="15" hidden="0" customHeight="1">
      <x:c r="A746" s="13" t="str">
        <x:v>2024-03-19</x:v>
      </x:c>
      <x:c r="B746" s="13" t="n">
        <x:v>0</x:v>
      </x:c>
      <x:c r="C746" s="13" t="n">
        <x:v>0</x:v>
      </x:c>
      <x:c r="D746" s="16" t="n">
        <x:v>0</x:v>
      </x:c>
      <x:c r="E746" s="16" t="n">
        <x:v>0</x:v>
      </x:c>
      <x:c r="F746" s="16" t="n">
        <x:v>0</x:v>
      </x:c>
      <x:c r="G746" s="16" t="n">
        <x:v>0</x:v>
      </x:c>
      <x:c r="H746" s="16" t="n">
        <x:v>0</x:v>
      </x:c>
      <x:c r="I746" s="16" t="n">
        <x:v>1078323.29246673</x:v>
      </x:c>
      <x:c r="J746" s="16" t="n">
        <x:v>1078323.29246673</x:v>
      </x:c>
      <x:c r="K746" s="16" t="n">
        <x:v>0</x:v>
      </x:c>
      <x:c r="L746" s="18" t="n">
        <x:v>0</x:v>
      </x:c>
      <x:c r="M746" s="18" t="n">
        <x:v>0</x:v>
      </x:c>
      <x:c r="O746" t="str">
        <x:v>2024-03-19</x:v>
      </x:c>
      <x:c r="P746" t="n">
        <x:v>1078323.29246673</x:v>
      </x:c>
    </x:row>
    <x:row r="747" ht="15" hidden="0" customHeight="1">
      <x:c r="A747" s="13" t="str">
        <x:v>2024-03-20</x:v>
      </x:c>
      <x:c r="B747" s="13" t="n">
        <x:v>0</x:v>
      </x:c>
      <x:c r="C747" s="13" t="n">
        <x:v>0</x:v>
      </x:c>
      <x:c r="D747" s="16" t="n">
        <x:v>0</x:v>
      </x:c>
      <x:c r="E747" s="16" t="n">
        <x:v>0</x:v>
      </x:c>
      <x:c r="F747" s="16" t="n">
        <x:v>0</x:v>
      </x:c>
      <x:c r="G747" s="16" t="n">
        <x:v>0</x:v>
      </x:c>
      <x:c r="H747" s="16" t="n">
        <x:v>0</x:v>
      </x:c>
      <x:c r="I747" s="16" t="n">
        <x:v>1078323.29246673</x:v>
      </x:c>
      <x:c r="J747" s="16" t="n">
        <x:v>1078323.29246673</x:v>
      </x:c>
      <x:c r="K747" s="16" t="n">
        <x:v>0</x:v>
      </x:c>
      <x:c r="L747" s="18" t="n">
        <x:v>0</x:v>
      </x:c>
      <x:c r="M747" s="18" t="n">
        <x:v>0</x:v>
      </x:c>
      <x:c r="O747" t="str">
        <x:v>2024-03-20</x:v>
      </x:c>
      <x:c r="P747" t="n">
        <x:v>1078323.29246673</x:v>
      </x:c>
    </x:row>
    <x:row r="748" ht="15" hidden="0" customHeight="1">
      <x:c r="A748" s="13" t="str">
        <x:v>2024-03-21</x:v>
      </x:c>
      <x:c r="B748" s="13" t="n">
        <x:v>0</x:v>
      </x:c>
      <x:c r="C748" s="13" t="n">
        <x:v>0</x:v>
      </x:c>
      <x:c r="D748" s="16" t="n">
        <x:v>0</x:v>
      </x:c>
      <x:c r="E748" s="16" t="n">
        <x:v>0</x:v>
      </x:c>
      <x:c r="F748" s="16" t="n">
        <x:v>0</x:v>
      </x:c>
      <x:c r="G748" s="16" t="n">
        <x:v>0</x:v>
      </x:c>
      <x:c r="H748" s="16" t="n">
        <x:v>0</x:v>
      </x:c>
      <x:c r="I748" s="16" t="n">
        <x:v>1078323.29246673</x:v>
      </x:c>
      <x:c r="J748" s="16" t="n">
        <x:v>1078323.29246673</x:v>
      </x:c>
      <x:c r="K748" s="16" t="n">
        <x:v>0</x:v>
      </x:c>
      <x:c r="L748" s="18" t="n">
        <x:v>0</x:v>
      </x:c>
      <x:c r="M748" s="18" t="n">
        <x:v>0</x:v>
      </x:c>
      <x:c r="O748" t="str">
        <x:v>2024-03-21</x:v>
      </x:c>
      <x:c r="P748" t="n">
        <x:v>1078323.29246673</x:v>
      </x:c>
    </x:row>
    <x:row r="749" ht="15" hidden="0" customHeight="1">
      <x:c r="A749" s="13" t="str">
        <x:v>2024-03-22</x:v>
      </x:c>
      <x:c r="B749" s="13" t="n">
        <x:v>0</x:v>
      </x:c>
      <x:c r="C749" s="13" t="n">
        <x:v>0</x:v>
      </x:c>
      <x:c r="D749" s="16" t="n">
        <x:v>0</x:v>
      </x:c>
      <x:c r="E749" s="16" t="n">
        <x:v>0</x:v>
      </x:c>
      <x:c r="F749" s="16" t="n">
        <x:v>0</x:v>
      </x:c>
      <x:c r="G749" s="16" t="n">
        <x:v>0</x:v>
      </x:c>
      <x:c r="H749" s="16" t="n">
        <x:v>0</x:v>
      </x:c>
      <x:c r="I749" s="16" t="n">
        <x:v>1078323.29246673</x:v>
      </x:c>
      <x:c r="J749" s="16" t="n">
        <x:v>1078323.29246673</x:v>
      </x:c>
      <x:c r="K749" s="16" t="n">
        <x:v>0</x:v>
      </x:c>
      <x:c r="L749" s="18" t="n">
        <x:v>0</x:v>
      </x:c>
      <x:c r="M749" s="18" t="n">
        <x:v>0</x:v>
      </x:c>
      <x:c r="O749" t="str">
        <x:v>2024-03-22</x:v>
      </x:c>
      <x:c r="P749" t="n">
        <x:v>1078323.29246673</x:v>
      </x:c>
    </x:row>
    <x:row r="750" ht="15" hidden="0" customHeight="1">
      <x:c r="A750" s="13" t="str">
        <x:v>2024-03-25</x:v>
      </x:c>
      <x:c r="B750" s="13" t="n">
        <x:v>0</x:v>
      </x:c>
      <x:c r="C750" s="13" t="n">
        <x:v>0</x:v>
      </x:c>
      <x:c r="D750" s="16" t="n">
        <x:v>0</x:v>
      </x:c>
      <x:c r="E750" s="16" t="n">
        <x:v>0</x:v>
      </x:c>
      <x:c r="F750" s="16" t="n">
        <x:v>0</x:v>
      </x:c>
      <x:c r="G750" s="16" t="n">
        <x:v>0</x:v>
      </x:c>
      <x:c r="H750" s="16" t="n">
        <x:v>0</x:v>
      </x:c>
      <x:c r="I750" s="16" t="n">
        <x:v>1078323.29246673</x:v>
      </x:c>
      <x:c r="J750" s="16" t="n">
        <x:v>1078323.29246673</x:v>
      </x:c>
      <x:c r="K750" s="16" t="n">
        <x:v>0</x:v>
      </x:c>
      <x:c r="L750" s="18" t="n">
        <x:v>0</x:v>
      </x:c>
      <x:c r="M750" s="18" t="n">
        <x:v>0</x:v>
      </x:c>
      <x:c r="O750" t="str">
        <x:v>2024-03-25</x:v>
      </x:c>
      <x:c r="P750" t="n">
        <x:v>1078323.29246673</x:v>
      </x:c>
    </x:row>
    <x:row r="751" ht="15" hidden="0" customHeight="1">
      <x:c r="A751" s="13" t="str">
        <x:v>2024-03-26</x:v>
      </x:c>
      <x:c r="B751" s="13" t="n">
        <x:v>0</x:v>
      </x:c>
      <x:c r="C751" s="13" t="n">
        <x:v>0</x:v>
      </x:c>
      <x:c r="D751" s="16" t="n">
        <x:v>0</x:v>
      </x:c>
      <x:c r="E751" s="16" t="n">
        <x:v>0</x:v>
      </x:c>
      <x:c r="F751" s="16" t="n">
        <x:v>0</x:v>
      </x:c>
      <x:c r="G751" s="16" t="n">
        <x:v>0</x:v>
      </x:c>
      <x:c r="H751" s="16" t="n">
        <x:v>0</x:v>
      </x:c>
      <x:c r="I751" s="16" t="n">
        <x:v>1078323.29246673</x:v>
      </x:c>
      <x:c r="J751" s="16" t="n">
        <x:v>1078323.29246673</x:v>
      </x:c>
      <x:c r="K751" s="16" t="n">
        <x:v>0</x:v>
      </x:c>
      <x:c r="L751" s="18" t="n">
        <x:v>0</x:v>
      </x:c>
      <x:c r="M751" s="18" t="n">
        <x:v>0</x:v>
      </x:c>
      <x:c r="O751" t="str">
        <x:v>2024-03-26</x:v>
      </x:c>
      <x:c r="P751" t="n">
        <x:v>1078323.29246673</x:v>
      </x:c>
    </x:row>
    <x:row r="752" ht="15" hidden="0" customHeight="1">
      <x:c r="A752" s="13" t="str">
        <x:v>2024-03-27</x:v>
      </x:c>
      <x:c r="B752" s="13" t="n">
        <x:v>0</x:v>
      </x:c>
      <x:c r="C752" s="13" t="n">
        <x:v>0</x:v>
      </x:c>
      <x:c r="D752" s="16" t="n">
        <x:v>0</x:v>
      </x:c>
      <x:c r="E752" s="16" t="n">
        <x:v>0</x:v>
      </x:c>
      <x:c r="F752" s="16" t="n">
        <x:v>0</x:v>
      </x:c>
      <x:c r="G752" s="16" t="n">
        <x:v>0</x:v>
      </x:c>
      <x:c r="H752" s="16" t="n">
        <x:v>0</x:v>
      </x:c>
      <x:c r="I752" s="16" t="n">
        <x:v>1078323.29246673</x:v>
      </x:c>
      <x:c r="J752" s="16" t="n">
        <x:v>1078323.29246673</x:v>
      </x:c>
      <x:c r="K752" s="16" t="n">
        <x:v>0</x:v>
      </x:c>
      <x:c r="L752" s="18" t="n">
        <x:v>0</x:v>
      </x:c>
      <x:c r="M752" s="18" t="n">
        <x:v>0</x:v>
      </x:c>
      <x:c r="O752" t="str">
        <x:v>2024-03-27</x:v>
      </x:c>
      <x:c r="P752" t="n">
        <x:v>1078323.29246673</x:v>
      </x:c>
    </x:row>
    <x:row r="753" ht="15" hidden="0" customHeight="1">
      <x:c r="A753" s="13" t="str">
        <x:v>2024-03-28</x:v>
      </x:c>
      <x:c r="B753" s="13" t="n">
        <x:v>0</x:v>
      </x:c>
      <x:c r="C753" s="13" t="n">
        <x:v>0</x:v>
      </x:c>
      <x:c r="D753" s="16" t="n">
        <x:v>0</x:v>
      </x:c>
      <x:c r="E753" s="16" t="n">
        <x:v>0</x:v>
      </x:c>
      <x:c r="F753" s="16" t="n">
        <x:v>0</x:v>
      </x:c>
      <x:c r="G753" s="16" t="n">
        <x:v>0</x:v>
      </x:c>
      <x:c r="H753" s="16" t="n">
        <x:v>0</x:v>
      </x:c>
      <x:c r="I753" s="16" t="n">
        <x:v>1078323.29246673</x:v>
      </x:c>
      <x:c r="J753" s="16" t="n">
        <x:v>1078323.29246673</x:v>
      </x:c>
      <x:c r="K753" s="16" t="n">
        <x:v>0</x:v>
      </x:c>
      <x:c r="L753" s="18" t="n">
        <x:v>0</x:v>
      </x:c>
      <x:c r="M753" s="18" t="n">
        <x:v>0</x:v>
      </x:c>
      <x:c r="O753" t="str">
        <x:v>2024-03-28</x:v>
      </x:c>
      <x:c r="P753" t="n">
        <x:v>1078323.29246673</x:v>
      </x:c>
    </x:row>
    <x:row r="754" ht="15" hidden="0" customHeight="1">
      <x:c r="A754" s="13" t="str">
        <x:v>2024-03-29</x:v>
      </x:c>
      <x:c r="B754" s="13" t="n">
        <x:v>0</x:v>
      </x:c>
      <x:c r="C754" s="13" t="n">
        <x:v>0</x:v>
      </x:c>
      <x:c r="D754" s="16" t="n">
        <x:v>0</x:v>
      </x:c>
      <x:c r="E754" s="16" t="n">
        <x:v>0</x:v>
      </x:c>
      <x:c r="F754" s="16" t="n">
        <x:v>0</x:v>
      </x:c>
      <x:c r="G754" s="16" t="n">
        <x:v>0</x:v>
      </x:c>
      <x:c r="H754" s="16" t="n">
        <x:v>0</x:v>
      </x:c>
      <x:c r="I754" s="16" t="n">
        <x:v>1078323.29246673</x:v>
      </x:c>
      <x:c r="J754" s="16" t="n">
        <x:v>1078323.29246673</x:v>
      </x:c>
      <x:c r="K754" s="16" t="n">
        <x:v>0</x:v>
      </x:c>
      <x:c r="L754" s="18" t="n">
        <x:v>0</x:v>
      </x:c>
      <x:c r="M754" s="18" t="n">
        <x:v>0</x:v>
      </x:c>
      <x:c r="O754" t="str">
        <x:v>2024-03-29</x:v>
      </x:c>
      <x:c r="P754" t="n">
        <x:v>1078323.29246673</x:v>
      </x:c>
    </x:row>
    <x:row r="755" ht="15" hidden="0" customHeight="1">
      <x:c r="A755" s="13" t="str">
        <x:v>2024-04-01</x:v>
      </x:c>
      <x:c r="B755" s="13" t="n">
        <x:v>0</x:v>
      </x:c>
      <x:c r="C755" s="13" t="n">
        <x:v>0</x:v>
      </x:c>
      <x:c r="D755" s="16" t="n">
        <x:v>0</x:v>
      </x:c>
      <x:c r="E755" s="16" t="n">
        <x:v>0</x:v>
      </x:c>
      <x:c r="F755" s="16" t="n">
        <x:v>0</x:v>
      </x:c>
      <x:c r="G755" s="16" t="n">
        <x:v>0</x:v>
      </x:c>
      <x:c r="H755" s="16" t="n">
        <x:v>0</x:v>
      </x:c>
      <x:c r="I755" s="16" t="n">
        <x:v>1078323.29246673</x:v>
      </x:c>
      <x:c r="J755" s="16" t="n">
        <x:v>1078323.29246673</x:v>
      </x:c>
      <x:c r="K755" s="16" t="n">
        <x:v>0</x:v>
      </x:c>
      <x:c r="L755" s="18" t="n">
        <x:v>0</x:v>
      </x:c>
      <x:c r="M755" s="18" t="n">
        <x:v>0</x:v>
      </x:c>
      <x:c r="O755" t="str">
        <x:v>2024-04-01</x:v>
      </x:c>
      <x:c r="P755" t="n">
        <x:v>1078323.29246673</x:v>
      </x:c>
    </x:row>
    <x:row r="756" ht="15" hidden="0" customHeight="1">
      <x:c r="A756" s="13" t="str">
        <x:v>2024-04-02</x:v>
      </x:c>
      <x:c r="B756" s="13" t="n">
        <x:v>0</x:v>
      </x:c>
      <x:c r="C756" s="13" t="n">
        <x:v>0</x:v>
      </x:c>
      <x:c r="D756" s="16" t="n">
        <x:v>0</x:v>
      </x:c>
      <x:c r="E756" s="16" t="n">
        <x:v>0</x:v>
      </x:c>
      <x:c r="F756" s="16" t="n">
        <x:v>0</x:v>
      </x:c>
      <x:c r="G756" s="16" t="n">
        <x:v>0</x:v>
      </x:c>
      <x:c r="H756" s="16" t="n">
        <x:v>0</x:v>
      </x:c>
      <x:c r="I756" s="16" t="n">
        <x:v>1078323.29246673</x:v>
      </x:c>
      <x:c r="J756" s="16" t="n">
        <x:v>1078323.29246673</x:v>
      </x:c>
      <x:c r="K756" s="16" t="n">
        <x:v>0</x:v>
      </x:c>
      <x:c r="L756" s="18" t="n">
        <x:v>0</x:v>
      </x:c>
      <x:c r="M756" s="18" t="n">
        <x:v>0</x:v>
      </x:c>
      <x:c r="O756" t="str">
        <x:v>2024-04-02</x:v>
      </x:c>
      <x:c r="P756" t="n">
        <x:v>1078323.29246673</x:v>
      </x:c>
    </x:row>
    <x:row r="757" ht="15" hidden="0" customHeight="1">
      <x:c r="A757" s="13" t="str">
        <x:v>2024-04-03</x:v>
      </x:c>
      <x:c r="B757" s="13" t="n">
        <x:v>0</x:v>
      </x:c>
      <x:c r="C757" s="13" t="n">
        <x:v>0</x:v>
      </x:c>
      <x:c r="D757" s="16" t="n">
        <x:v>0</x:v>
      </x:c>
      <x:c r="E757" s="16" t="n">
        <x:v>0</x:v>
      </x:c>
      <x:c r="F757" s="16" t="n">
        <x:v>0</x:v>
      </x:c>
      <x:c r="G757" s="16" t="n">
        <x:v>0</x:v>
      </x:c>
      <x:c r="H757" s="16" t="n">
        <x:v>0</x:v>
      </x:c>
      <x:c r="I757" s="16" t="n">
        <x:v>1078323.29246673</x:v>
      </x:c>
      <x:c r="J757" s="16" t="n">
        <x:v>1078323.29246673</x:v>
      </x:c>
      <x:c r="K757" s="16" t="n">
        <x:v>0</x:v>
      </x:c>
      <x:c r="L757" s="18" t="n">
        <x:v>0</x:v>
      </x:c>
      <x:c r="M757" s="18" t="n">
        <x:v>0</x:v>
      </x:c>
      <x:c r="O757" t="str">
        <x:v>2024-04-03</x:v>
      </x:c>
      <x:c r="P757" t="n">
        <x:v>1078323.29246673</x:v>
      </x:c>
    </x:row>
    <x:row r="758" ht="15" hidden="0" customHeight="1">
      <x:c r="A758" s="13" t="str">
        <x:v>2024-04-04</x:v>
      </x:c>
      <x:c r="B758" s="13" t="n">
        <x:v>0</x:v>
      </x:c>
      <x:c r="C758" s="13" t="n">
        <x:v>0</x:v>
      </x:c>
      <x:c r="D758" s="16" t="n">
        <x:v>0</x:v>
      </x:c>
      <x:c r="E758" s="16" t="n">
        <x:v>0</x:v>
      </x:c>
      <x:c r="F758" s="16" t="n">
        <x:v>0</x:v>
      </x:c>
      <x:c r="G758" s="16" t="n">
        <x:v>0</x:v>
      </x:c>
      <x:c r="H758" s="16" t="n">
        <x:v>0</x:v>
      </x:c>
      <x:c r="I758" s="16" t="n">
        <x:v>1078323.29246673</x:v>
      </x:c>
      <x:c r="J758" s="16" t="n">
        <x:v>1078323.29246673</x:v>
      </x:c>
      <x:c r="K758" s="16" t="n">
        <x:v>0</x:v>
      </x:c>
      <x:c r="L758" s="18" t="n">
        <x:v>0</x:v>
      </x:c>
      <x:c r="M758" s="18" t="n">
        <x:v>0</x:v>
      </x:c>
      <x:c r="O758" t="str">
        <x:v>2024-04-04</x:v>
      </x:c>
      <x:c r="P758" t="n">
        <x:v>1078323.29246673</x:v>
      </x:c>
    </x:row>
    <x:row r="759" ht="15" hidden="0" customHeight="1">
      <x:c r="A759" s="13" t="str">
        <x:v>2024-04-05</x:v>
      </x:c>
      <x:c r="B759" s="13" t="n">
        <x:v>0</x:v>
      </x:c>
      <x:c r="C759" s="13" t="n">
        <x:v>0</x:v>
      </x:c>
      <x:c r="D759" s="16" t="n">
        <x:v>0</x:v>
      </x:c>
      <x:c r="E759" s="16" t="n">
        <x:v>0</x:v>
      </x:c>
      <x:c r="F759" s="16" t="n">
        <x:v>0</x:v>
      </x:c>
      <x:c r="G759" s="16" t="n">
        <x:v>0</x:v>
      </x:c>
      <x:c r="H759" s="16" t="n">
        <x:v>0</x:v>
      </x:c>
      <x:c r="I759" s="16" t="n">
        <x:v>1078323.29246673</x:v>
      </x:c>
      <x:c r="J759" s="16" t="n">
        <x:v>1078323.29246673</x:v>
      </x:c>
      <x:c r="K759" s="16" t="n">
        <x:v>0</x:v>
      </x:c>
      <x:c r="L759" s="18" t="n">
        <x:v>0</x:v>
      </x:c>
      <x:c r="M759" s="18" t="n">
        <x:v>0</x:v>
      </x:c>
      <x:c r="O759" t="str">
        <x:v>2024-04-05</x:v>
      </x:c>
      <x:c r="P759" t="n">
        <x:v>1078323.29246673</x:v>
      </x:c>
    </x:row>
    <x:row r="760" ht="15" hidden="0" customHeight="1">
      <x:c r="A760" s="13" t="str">
        <x:v>2024-04-08</x:v>
      </x:c>
      <x:c r="B760" s="13" t="n">
        <x:v>0</x:v>
      </x:c>
      <x:c r="C760" s="13" t="n">
        <x:v>0</x:v>
      </x:c>
      <x:c r="D760" s="16" t="n">
        <x:v>0</x:v>
      </x:c>
      <x:c r="E760" s="16" t="n">
        <x:v>0</x:v>
      </x:c>
      <x:c r="F760" s="16" t="n">
        <x:v>0</x:v>
      </x:c>
      <x:c r="G760" s="16" t="n">
        <x:v>0</x:v>
      </x:c>
      <x:c r="H760" s="16" t="n">
        <x:v>0</x:v>
      </x:c>
      <x:c r="I760" s="16" t="n">
        <x:v>1078323.29246673</x:v>
      </x:c>
      <x:c r="J760" s="16" t="n">
        <x:v>1078323.29246673</x:v>
      </x:c>
      <x:c r="K760" s="16" t="n">
        <x:v>0</x:v>
      </x:c>
      <x:c r="L760" s="18" t="n">
        <x:v>0</x:v>
      </x:c>
      <x:c r="M760" s="18" t="n">
        <x:v>0</x:v>
      </x:c>
      <x:c r="O760" t="str">
        <x:v>2024-04-08</x:v>
      </x:c>
      <x:c r="P760" t="n">
        <x:v>1078323.29246673</x:v>
      </x:c>
    </x:row>
    <x:row r="761" ht="15" hidden="0" customHeight="1">
      <x:c r="A761" s="13" t="str">
        <x:v>2024-04-09</x:v>
      </x:c>
      <x:c r="B761" s="13" t="n">
        <x:v>0</x:v>
      </x:c>
      <x:c r="C761" s="13" t="n">
        <x:v>0</x:v>
      </x:c>
      <x:c r="D761" s="16" t="n">
        <x:v>0</x:v>
      </x:c>
      <x:c r="E761" s="16" t="n">
        <x:v>0</x:v>
      </x:c>
      <x:c r="F761" s="16" t="n">
        <x:v>0</x:v>
      </x:c>
      <x:c r="G761" s="16" t="n">
        <x:v>0</x:v>
      </x:c>
      <x:c r="H761" s="16" t="n">
        <x:v>0</x:v>
      </x:c>
      <x:c r="I761" s="16" t="n">
        <x:v>1078323.29246673</x:v>
      </x:c>
      <x:c r="J761" s="16" t="n">
        <x:v>1078323.29246673</x:v>
      </x:c>
      <x:c r="K761" s="16" t="n">
        <x:v>0</x:v>
      </x:c>
      <x:c r="L761" s="18" t="n">
        <x:v>0</x:v>
      </x:c>
      <x:c r="M761" s="18" t="n">
        <x:v>0</x:v>
      </x:c>
      <x:c r="O761" t="str">
        <x:v>2024-04-09</x:v>
      </x:c>
      <x:c r="P761" t="n">
        <x:v>1078323.29246673</x:v>
      </x:c>
    </x:row>
    <x:row r="762" ht="15" hidden="0" customHeight="1">
      <x:c r="A762" s="13" t="str">
        <x:v>2024-04-10</x:v>
      </x:c>
      <x:c r="B762" s="13" t="n">
        <x:v>1</x:v>
      </x:c>
      <x:c r="C762" s="13" t="n">
        <x:v>7</x:v>
      </x:c>
      <x:c r="D762" s="16" t="n">
        <x:v>6562.5</x:v>
      </x:c>
      <x:c r="E762" s="16" t="n">
        <x:v>387.927494140376</x:v>
      </x:c>
      <x:c r="F762" s="16" t="n">
        <x:v>6174.572505859624</x:v>
      </x:c>
      <x:c r="G762" s="16" t="n">
        <x:v>33301.79157901853</x:v>
      </x:c>
      <x:c r="H762" s="16" t="n">
        <x:v>372070.8248473152</x:v>
      </x:c>
      <x:c r="I762" s="16" t="n">
        <x:v>1084497.8649725895</x:v>
      </x:c>
      <x:c r="J762" s="16" t="n">
        <x:v>1084497.8649725895</x:v>
      </x:c>
      <x:c r="K762" s="16" t="n">
        <x:v>0</x:v>
      </x:c>
      <x:c r="L762" s="18" t="n">
        <x:v>0</x:v>
      </x:c>
      <x:c r="M762" s="18" t="n">
        <x:v>0.0057260865540007</x:v>
      </x:c>
      <x:c r="O762" t="str">
        <x:v>2024-04-10</x:v>
      </x:c>
      <x:c r="P762" t="n">
        <x:v>1084497.8649725895</x:v>
      </x:c>
    </x:row>
    <x:row r="763" ht="15" hidden="0" customHeight="1">
      <x:c r="A763" s="13" t="str">
        <x:v>2024-04-11</x:v>
      </x:c>
      <x:c r="B763" s="13" t="n">
        <x:v>0</x:v>
      </x:c>
      <x:c r="C763" s="13" t="n">
        <x:v>0</x:v>
      </x:c>
      <x:c r="D763" s="16" t="n">
        <x:v>0</x:v>
      </x:c>
      <x:c r="E763" s="16" t="n">
        <x:v>0</x:v>
      </x:c>
      <x:c r="F763" s="16" t="n">
        <x:v>0</x:v>
      </x:c>
      <x:c r="G763" s="16" t="n">
        <x:v>0</x:v>
      </x:c>
      <x:c r="H763" s="16" t="n">
        <x:v>0</x:v>
      </x:c>
      <x:c r="I763" s="16" t="n">
        <x:v>1084497.8649725895</x:v>
      </x:c>
      <x:c r="J763" s="16" t="n">
        <x:v>1084497.8649725895</x:v>
      </x:c>
      <x:c r="K763" s="16" t="n">
        <x:v>0</x:v>
      </x:c>
      <x:c r="L763" s="18" t="n">
        <x:v>0</x:v>
      </x:c>
      <x:c r="M763" s="18" t="n">
        <x:v>0</x:v>
      </x:c>
      <x:c r="O763" t="str">
        <x:v>2024-04-11</x:v>
      </x:c>
      <x:c r="P763" t="n">
        <x:v>1084497.8649725895</x:v>
      </x:c>
    </x:row>
    <x:row r="764" ht="15" hidden="0" customHeight="1">
      <x:c r="A764" s="13" t="str">
        <x:v>2024-04-12</x:v>
      </x:c>
      <x:c r="B764" s="13" t="n">
        <x:v>0</x:v>
      </x:c>
      <x:c r="C764" s="13" t="n">
        <x:v>0</x:v>
      </x:c>
      <x:c r="D764" s="16" t="n">
        <x:v>0</x:v>
      </x:c>
      <x:c r="E764" s="16" t="n">
        <x:v>0</x:v>
      </x:c>
      <x:c r="F764" s="16" t="n">
        <x:v>0</x:v>
      </x:c>
      <x:c r="G764" s="16" t="n">
        <x:v>0</x:v>
      </x:c>
      <x:c r="H764" s="16" t="n">
        <x:v>0</x:v>
      </x:c>
      <x:c r="I764" s="16" t="n">
        <x:v>1084497.8649725895</x:v>
      </x:c>
      <x:c r="J764" s="16" t="n">
        <x:v>1084497.8649725895</x:v>
      </x:c>
      <x:c r="K764" s="16" t="n">
        <x:v>0</x:v>
      </x:c>
      <x:c r="L764" s="18" t="n">
        <x:v>0</x:v>
      </x:c>
      <x:c r="M764" s="18" t="n">
        <x:v>0</x:v>
      </x:c>
      <x:c r="O764" t="str">
        <x:v>2024-04-12</x:v>
      </x:c>
      <x:c r="P764" t="n">
        <x:v>1084497.8649725895</x:v>
      </x:c>
    </x:row>
    <x:row r="765" ht="15" hidden="0" customHeight="1">
      <x:c r="A765" s="13" t="str">
        <x:v>2024-04-15</x:v>
      </x:c>
      <x:c r="B765" s="13" t="n">
        <x:v>0</x:v>
      </x:c>
      <x:c r="C765" s="13" t="n">
        <x:v>0</x:v>
      </x:c>
      <x:c r="D765" s="16" t="n">
        <x:v>0</x:v>
      </x:c>
      <x:c r="E765" s="16" t="n">
        <x:v>0</x:v>
      </x:c>
      <x:c r="F765" s="16" t="n">
        <x:v>0</x:v>
      </x:c>
      <x:c r="G765" s="16" t="n">
        <x:v>0</x:v>
      </x:c>
      <x:c r="H765" s="16" t="n">
        <x:v>0</x:v>
      </x:c>
      <x:c r="I765" s="16" t="n">
        <x:v>1084497.8649725895</x:v>
      </x:c>
      <x:c r="J765" s="16" t="n">
        <x:v>1084497.8649725895</x:v>
      </x:c>
      <x:c r="K765" s="16" t="n">
        <x:v>0</x:v>
      </x:c>
      <x:c r="L765" s="18" t="n">
        <x:v>0</x:v>
      </x:c>
      <x:c r="M765" s="18" t="n">
        <x:v>0</x:v>
      </x:c>
      <x:c r="O765" t="str">
        <x:v>2024-04-15</x:v>
      </x:c>
      <x:c r="P765" t="n">
        <x:v>1084497.8649725895</x:v>
      </x:c>
    </x:row>
    <x:row r="766" ht="15" hidden="0" customHeight="1">
      <x:c r="A766" s="13" t="str">
        <x:v>2024-04-16</x:v>
      </x:c>
      <x:c r="B766" s="13" t="n">
        <x:v>0</x:v>
      </x:c>
      <x:c r="C766" s="13" t="n">
        <x:v>0</x:v>
      </x:c>
      <x:c r="D766" s="16" t="n">
        <x:v>0</x:v>
      </x:c>
      <x:c r="E766" s="16" t="n">
        <x:v>0</x:v>
      </x:c>
      <x:c r="F766" s="16" t="n">
        <x:v>0</x:v>
      </x:c>
      <x:c r="G766" s="16" t="n">
        <x:v>0</x:v>
      </x:c>
      <x:c r="H766" s="16" t="n">
        <x:v>0</x:v>
      </x:c>
      <x:c r="I766" s="16" t="n">
        <x:v>1084497.8649725895</x:v>
      </x:c>
      <x:c r="J766" s="16" t="n">
        <x:v>1084497.8649725895</x:v>
      </x:c>
      <x:c r="K766" s="16" t="n">
        <x:v>0</x:v>
      </x:c>
      <x:c r="L766" s="18" t="n">
        <x:v>0</x:v>
      </x:c>
      <x:c r="M766" s="18" t="n">
        <x:v>0</x:v>
      </x:c>
      <x:c r="O766" t="str">
        <x:v>2024-04-16</x:v>
      </x:c>
      <x:c r="P766" t="n">
        <x:v>1084497.8649725895</x:v>
      </x:c>
    </x:row>
    <x:row r="767" ht="15" hidden="0" customHeight="1">
      <x:c r="A767" s="13" t="str">
        <x:v>2024-04-17</x:v>
      </x:c>
      <x:c r="B767" s="13" t="n">
        <x:v>0</x:v>
      </x:c>
      <x:c r="C767" s="13" t="n">
        <x:v>0</x:v>
      </x:c>
      <x:c r="D767" s="16" t="n">
        <x:v>0</x:v>
      </x:c>
      <x:c r="E767" s="16" t="n">
        <x:v>0</x:v>
      </x:c>
      <x:c r="F767" s="16" t="n">
        <x:v>0</x:v>
      </x:c>
      <x:c r="G767" s="16" t="n">
        <x:v>0</x:v>
      </x:c>
      <x:c r="H767" s="16" t="n">
        <x:v>0</x:v>
      </x:c>
      <x:c r="I767" s="16" t="n">
        <x:v>1084497.8649725895</x:v>
      </x:c>
      <x:c r="J767" s="16" t="n">
        <x:v>1084497.8649725895</x:v>
      </x:c>
      <x:c r="K767" s="16" t="n">
        <x:v>0</x:v>
      </x:c>
      <x:c r="L767" s="18" t="n">
        <x:v>0</x:v>
      </x:c>
      <x:c r="M767" s="18" t="n">
        <x:v>0</x:v>
      </x:c>
      <x:c r="O767" t="str">
        <x:v>2024-04-17</x:v>
      </x:c>
      <x:c r="P767" t="n">
        <x:v>1084497.8649725895</x:v>
      </x:c>
    </x:row>
    <x:row r="768" ht="15" hidden="0" customHeight="1">
      <x:c r="A768" s="13" t="str">
        <x:v>2024-04-18</x:v>
      </x:c>
      <x:c r="B768" s="13" t="n">
        <x:v>0</x:v>
      </x:c>
      <x:c r="C768" s="13" t="n">
        <x:v>0</x:v>
      </x:c>
      <x:c r="D768" s="16" t="n">
        <x:v>0</x:v>
      </x:c>
      <x:c r="E768" s="16" t="n">
        <x:v>0</x:v>
      </x:c>
      <x:c r="F768" s="16" t="n">
        <x:v>0</x:v>
      </x:c>
      <x:c r="G768" s="16" t="n">
        <x:v>0</x:v>
      </x:c>
      <x:c r="H768" s="16" t="n">
        <x:v>0</x:v>
      </x:c>
      <x:c r="I768" s="16" t="n">
        <x:v>1084497.8649725895</x:v>
      </x:c>
      <x:c r="J768" s="16" t="n">
        <x:v>1084497.8649725895</x:v>
      </x:c>
      <x:c r="K768" s="16" t="n">
        <x:v>0</x:v>
      </x:c>
      <x:c r="L768" s="18" t="n">
        <x:v>0</x:v>
      </x:c>
      <x:c r="M768" s="18" t="n">
        <x:v>0</x:v>
      </x:c>
      <x:c r="O768" t="str">
        <x:v>2024-04-18</x:v>
      </x:c>
      <x:c r="P768" t="n">
        <x:v>1084497.8649725895</x:v>
      </x:c>
    </x:row>
    <x:row r="769" ht="15" hidden="0" customHeight="1">
      <x:c r="A769" s="13" t="str">
        <x:v>2024-04-19</x:v>
      </x:c>
      <x:c r="B769" s="13" t="n">
        <x:v>0</x:v>
      </x:c>
      <x:c r="C769" s="13" t="n">
        <x:v>0</x:v>
      </x:c>
      <x:c r="D769" s="16" t="n">
        <x:v>0</x:v>
      </x:c>
      <x:c r="E769" s="16" t="n">
        <x:v>0</x:v>
      </x:c>
      <x:c r="F769" s="16" t="n">
        <x:v>0</x:v>
      </x:c>
      <x:c r="G769" s="16" t="n">
        <x:v>0</x:v>
      </x:c>
      <x:c r="H769" s="16" t="n">
        <x:v>0</x:v>
      </x:c>
      <x:c r="I769" s="16" t="n">
        <x:v>1084497.8649725895</x:v>
      </x:c>
      <x:c r="J769" s="16" t="n">
        <x:v>1084497.8649725895</x:v>
      </x:c>
      <x:c r="K769" s="16" t="n">
        <x:v>0</x:v>
      </x:c>
      <x:c r="L769" s="18" t="n">
        <x:v>0</x:v>
      </x:c>
      <x:c r="M769" s="18" t="n">
        <x:v>0</x:v>
      </x:c>
      <x:c r="O769" t="str">
        <x:v>2024-04-19</x:v>
      </x:c>
      <x:c r="P769" t="n">
        <x:v>1084497.8649725895</x:v>
      </x:c>
    </x:row>
    <x:row r="770" ht="15" hidden="0" customHeight="1">
      <x:c r="A770" s="13" t="str">
        <x:v>2024-04-22</x:v>
      </x:c>
      <x:c r="B770" s="13" t="n">
        <x:v>0</x:v>
      </x:c>
      <x:c r="C770" s="13" t="n">
        <x:v>0</x:v>
      </x:c>
      <x:c r="D770" s="16" t="n">
        <x:v>0</x:v>
      </x:c>
      <x:c r="E770" s="16" t="n">
        <x:v>0</x:v>
      </x:c>
      <x:c r="F770" s="16" t="n">
        <x:v>0</x:v>
      </x:c>
      <x:c r="G770" s="16" t="n">
        <x:v>0</x:v>
      </x:c>
      <x:c r="H770" s="16" t="n">
        <x:v>0</x:v>
      </x:c>
      <x:c r="I770" s="16" t="n">
        <x:v>1084497.8649725895</x:v>
      </x:c>
      <x:c r="J770" s="16" t="n">
        <x:v>1084497.8649725895</x:v>
      </x:c>
      <x:c r="K770" s="16" t="n">
        <x:v>0</x:v>
      </x:c>
      <x:c r="L770" s="18" t="n">
        <x:v>0</x:v>
      </x:c>
      <x:c r="M770" s="18" t="n">
        <x:v>0</x:v>
      </x:c>
      <x:c r="O770" t="str">
        <x:v>2024-04-22</x:v>
      </x:c>
      <x:c r="P770" t="n">
        <x:v>1084497.8649725895</x:v>
      </x:c>
    </x:row>
    <x:row r="771" ht="15" hidden="0" customHeight="1">
      <x:c r="A771" s="13" t="str">
        <x:v>2024-04-23</x:v>
      </x:c>
      <x:c r="B771" s="13" t="n">
        <x:v>0</x:v>
      </x:c>
      <x:c r="C771" s="13" t="n">
        <x:v>0</x:v>
      </x:c>
      <x:c r="D771" s="16" t="n">
        <x:v>0</x:v>
      </x:c>
      <x:c r="E771" s="16" t="n">
        <x:v>0</x:v>
      </x:c>
      <x:c r="F771" s="16" t="n">
        <x:v>0</x:v>
      </x:c>
      <x:c r="G771" s="16" t="n">
        <x:v>0</x:v>
      </x:c>
      <x:c r="H771" s="16" t="n">
        <x:v>0</x:v>
      </x:c>
      <x:c r="I771" s="16" t="n">
        <x:v>1084497.8649725895</x:v>
      </x:c>
      <x:c r="J771" s="16" t="n">
        <x:v>1084497.8649725895</x:v>
      </x:c>
      <x:c r="K771" s="16" t="n">
        <x:v>0</x:v>
      </x:c>
      <x:c r="L771" s="18" t="n">
        <x:v>0</x:v>
      </x:c>
      <x:c r="M771" s="18" t="n">
        <x:v>0</x:v>
      </x:c>
      <x:c r="O771" t="str">
        <x:v>2024-04-23</x:v>
      </x:c>
      <x:c r="P771" t="n">
        <x:v>1084497.8649725895</x:v>
      </x:c>
    </x:row>
    <x:row r="772" ht="15" hidden="0" customHeight="1">
      <x:c r="A772" s="13" t="str">
        <x:v>2024-04-24</x:v>
      </x:c>
      <x:c r="B772" s="13" t="n">
        <x:v>0</x:v>
      </x:c>
      <x:c r="C772" s="13" t="n">
        <x:v>0</x:v>
      </x:c>
      <x:c r="D772" s="16" t="n">
        <x:v>0</x:v>
      </x:c>
      <x:c r="E772" s="16" t="n">
        <x:v>0</x:v>
      </x:c>
      <x:c r="F772" s="16" t="n">
        <x:v>0</x:v>
      </x:c>
      <x:c r="G772" s="16" t="n">
        <x:v>0</x:v>
      </x:c>
      <x:c r="H772" s="16" t="n">
        <x:v>0</x:v>
      </x:c>
      <x:c r="I772" s="16" t="n">
        <x:v>1084497.8649725895</x:v>
      </x:c>
      <x:c r="J772" s="16" t="n">
        <x:v>1084497.8649725895</x:v>
      </x:c>
      <x:c r="K772" s="16" t="n">
        <x:v>0</x:v>
      </x:c>
      <x:c r="L772" s="18" t="n">
        <x:v>0</x:v>
      </x:c>
      <x:c r="M772" s="18" t="n">
        <x:v>0</x:v>
      </x:c>
      <x:c r="O772" t="str">
        <x:v>2024-04-24</x:v>
      </x:c>
      <x:c r="P772" t="n">
        <x:v>1084497.8649725895</x:v>
      </x:c>
    </x:row>
    <x:row r="773" ht="15" hidden="0" customHeight="1">
      <x:c r="A773" s="13" t="str">
        <x:v>2024-04-25</x:v>
      </x:c>
      <x:c r="B773" s="13" t="n">
        <x:v>0</x:v>
      </x:c>
      <x:c r="C773" s="13" t="n">
        <x:v>0</x:v>
      </x:c>
      <x:c r="D773" s="16" t="n">
        <x:v>0</x:v>
      </x:c>
      <x:c r="E773" s="16" t="n">
        <x:v>0</x:v>
      </x:c>
      <x:c r="F773" s="16" t="n">
        <x:v>0</x:v>
      </x:c>
      <x:c r="G773" s="16" t="n">
        <x:v>0</x:v>
      </x:c>
      <x:c r="H773" s="16" t="n">
        <x:v>0</x:v>
      </x:c>
      <x:c r="I773" s="16" t="n">
        <x:v>1084497.8649725895</x:v>
      </x:c>
      <x:c r="J773" s="16" t="n">
        <x:v>1084497.8649725895</x:v>
      </x:c>
      <x:c r="K773" s="16" t="n">
        <x:v>0</x:v>
      </x:c>
      <x:c r="L773" s="18" t="n">
        <x:v>0</x:v>
      </x:c>
      <x:c r="M773" s="18" t="n">
        <x:v>0</x:v>
      </x:c>
      <x:c r="O773" t="str">
        <x:v>2024-04-25</x:v>
      </x:c>
      <x:c r="P773" t="n">
        <x:v>1084497.8649725895</x:v>
      </x:c>
    </x:row>
    <x:row r="774" ht="15" hidden="0" customHeight="1">
      <x:c r="A774" s="13" t="str">
        <x:v>2024-04-26</x:v>
      </x:c>
      <x:c r="B774" s="13" t="n">
        <x:v>0</x:v>
      </x:c>
      <x:c r="C774" s="13" t="n">
        <x:v>0</x:v>
      </x:c>
      <x:c r="D774" s="16" t="n">
        <x:v>0</x:v>
      </x:c>
      <x:c r="E774" s="16" t="n">
        <x:v>0</x:v>
      </x:c>
      <x:c r="F774" s="16" t="n">
        <x:v>0</x:v>
      </x:c>
      <x:c r="G774" s="16" t="n">
        <x:v>0</x:v>
      </x:c>
      <x:c r="H774" s="16" t="n">
        <x:v>0</x:v>
      </x:c>
      <x:c r="I774" s="16" t="n">
        <x:v>1084497.8649725895</x:v>
      </x:c>
      <x:c r="J774" s="16" t="n">
        <x:v>1084497.8649725895</x:v>
      </x:c>
      <x:c r="K774" s="16" t="n">
        <x:v>0</x:v>
      </x:c>
      <x:c r="L774" s="18" t="n">
        <x:v>0</x:v>
      </x:c>
      <x:c r="M774" s="18" t="n">
        <x:v>0</x:v>
      </x:c>
      <x:c r="O774" t="str">
        <x:v>2024-04-26</x:v>
      </x:c>
      <x:c r="P774" t="n">
        <x:v>1084497.8649725895</x:v>
      </x:c>
    </x:row>
    <x:row r="775" ht="15" hidden="0" customHeight="1">
      <x:c r="A775" s="13" t="str">
        <x:v>2024-04-29</x:v>
      </x:c>
      <x:c r="B775" s="13" t="n">
        <x:v>0</x:v>
      </x:c>
      <x:c r="C775" s="13" t="n">
        <x:v>0</x:v>
      </x:c>
      <x:c r="D775" s="16" t="n">
        <x:v>0</x:v>
      </x:c>
      <x:c r="E775" s="16" t="n">
        <x:v>0</x:v>
      </x:c>
      <x:c r="F775" s="16" t="n">
        <x:v>0</x:v>
      </x:c>
      <x:c r="G775" s="16" t="n">
        <x:v>0</x:v>
      </x:c>
      <x:c r="H775" s="16" t="n">
        <x:v>0</x:v>
      </x:c>
      <x:c r="I775" s="16" t="n">
        <x:v>1084497.8649725895</x:v>
      </x:c>
      <x:c r="J775" s="16" t="n">
        <x:v>1084497.8649725895</x:v>
      </x:c>
      <x:c r="K775" s="16" t="n">
        <x:v>0</x:v>
      </x:c>
      <x:c r="L775" s="18" t="n">
        <x:v>0</x:v>
      </x:c>
      <x:c r="M775" s="18" t="n">
        <x:v>0</x:v>
      </x:c>
      <x:c r="O775" t="str">
        <x:v>2024-04-29</x:v>
      </x:c>
      <x:c r="P775" t="n">
        <x:v>1084497.8649725895</x:v>
      </x:c>
    </x:row>
    <x:row r="776" ht="15" hidden="0" customHeight="1">
      <x:c r="A776" s="13" t="str">
        <x:v>2024-04-30</x:v>
      </x:c>
      <x:c r="B776" s="13" t="n">
        <x:v>0</x:v>
      </x:c>
      <x:c r="C776" s="13" t="n">
        <x:v>0</x:v>
      </x:c>
      <x:c r="D776" s="16" t="n">
        <x:v>0</x:v>
      </x:c>
      <x:c r="E776" s="16" t="n">
        <x:v>0</x:v>
      </x:c>
      <x:c r="F776" s="16" t="n">
        <x:v>0</x:v>
      </x:c>
      <x:c r="G776" s="16" t="n">
        <x:v>0</x:v>
      </x:c>
      <x:c r="H776" s="16" t="n">
        <x:v>0</x:v>
      </x:c>
      <x:c r="I776" s="16" t="n">
        <x:v>1084497.8649725895</x:v>
      </x:c>
      <x:c r="J776" s="16" t="n">
        <x:v>1084497.8649725895</x:v>
      </x:c>
      <x:c r="K776" s="16" t="n">
        <x:v>0</x:v>
      </x:c>
      <x:c r="L776" s="18" t="n">
        <x:v>0</x:v>
      </x:c>
      <x:c r="M776" s="18" t="n">
        <x:v>0</x:v>
      </x:c>
      <x:c r="O776" t="str">
        <x:v>2024-04-30</x:v>
      </x:c>
      <x:c r="P776" t="n">
        <x:v>1084497.8649725895</x:v>
      </x:c>
    </x:row>
    <x:row r="777" ht="15" hidden="0" customHeight="1">
      <x:c r="A777" s="13" t="str">
        <x:v>2024-05-01</x:v>
      </x:c>
      <x:c r="B777" s="13" t="n">
        <x:v>0</x:v>
      </x:c>
      <x:c r="C777" s="13" t="n">
        <x:v>0</x:v>
      </x:c>
      <x:c r="D777" s="16" t="n">
        <x:v>0</x:v>
      </x:c>
      <x:c r="E777" s="16" t="n">
        <x:v>0</x:v>
      </x:c>
      <x:c r="F777" s="16" t="n">
        <x:v>0</x:v>
      </x:c>
      <x:c r="G777" s="16" t="n">
        <x:v>0</x:v>
      </x:c>
      <x:c r="H777" s="16" t="n">
        <x:v>0</x:v>
      </x:c>
      <x:c r="I777" s="16" t="n">
        <x:v>1084497.8649725895</x:v>
      </x:c>
      <x:c r="J777" s="16" t="n">
        <x:v>1084497.8649725895</x:v>
      </x:c>
      <x:c r="K777" s="16" t="n">
        <x:v>0</x:v>
      </x:c>
      <x:c r="L777" s="18" t="n">
        <x:v>0</x:v>
      </x:c>
      <x:c r="M777" s="18" t="n">
        <x:v>0</x:v>
      </x:c>
      <x:c r="O777" t="str">
        <x:v>2024-05-01</x:v>
      </x:c>
      <x:c r="P777" t="n">
        <x:v>1084497.8649725895</x:v>
      </x:c>
    </x:row>
    <x:row r="778" ht="15" hidden="0" customHeight="1">
      <x:c r="A778" s="13" t="str">
        <x:v>2024-05-02</x:v>
      </x:c>
      <x:c r="B778" s="13" t="n">
        <x:v>0</x:v>
      </x:c>
      <x:c r="C778" s="13" t="n">
        <x:v>0</x:v>
      </x:c>
      <x:c r="D778" s="16" t="n">
        <x:v>0</x:v>
      </x:c>
      <x:c r="E778" s="16" t="n">
        <x:v>0</x:v>
      </x:c>
      <x:c r="F778" s="16" t="n">
        <x:v>0</x:v>
      </x:c>
      <x:c r="G778" s="16" t="n">
        <x:v>0</x:v>
      </x:c>
      <x:c r="H778" s="16" t="n">
        <x:v>0</x:v>
      </x:c>
      <x:c r="I778" s="16" t="n">
        <x:v>1084497.8649725895</x:v>
      </x:c>
      <x:c r="J778" s="16" t="n">
        <x:v>1084497.8649725895</x:v>
      </x:c>
      <x:c r="K778" s="16" t="n">
        <x:v>0</x:v>
      </x:c>
      <x:c r="L778" s="18" t="n">
        <x:v>0</x:v>
      </x:c>
      <x:c r="M778" s="18" t="n">
        <x:v>0</x:v>
      </x:c>
      <x:c r="O778" t="str">
        <x:v>2024-05-02</x:v>
      </x:c>
      <x:c r="P778" t="n">
        <x:v>1084497.8649725895</x:v>
      </x:c>
    </x:row>
    <x:row r="779" ht="15" hidden="0" customHeight="1">
      <x:c r="A779" s="13" t="str">
        <x:v>2024-05-03</x:v>
      </x:c>
      <x:c r="B779" s="13" t="n">
        <x:v>0</x:v>
      </x:c>
      <x:c r="C779" s="13" t="n">
        <x:v>0</x:v>
      </x:c>
      <x:c r="D779" s="16" t="n">
        <x:v>0</x:v>
      </x:c>
      <x:c r="E779" s="16" t="n">
        <x:v>0</x:v>
      </x:c>
      <x:c r="F779" s="16" t="n">
        <x:v>0</x:v>
      </x:c>
      <x:c r="G779" s="16" t="n">
        <x:v>0</x:v>
      </x:c>
      <x:c r="H779" s="16" t="n">
        <x:v>0</x:v>
      </x:c>
      <x:c r="I779" s="16" t="n">
        <x:v>1084497.8649725895</x:v>
      </x:c>
      <x:c r="J779" s="16" t="n">
        <x:v>1084497.8649725895</x:v>
      </x:c>
      <x:c r="K779" s="16" t="n">
        <x:v>0</x:v>
      </x:c>
      <x:c r="L779" s="18" t="n">
        <x:v>0</x:v>
      </x:c>
      <x:c r="M779" s="18" t="n">
        <x:v>0</x:v>
      </x:c>
      <x:c r="O779" t="str">
        <x:v>2024-05-03</x:v>
      </x:c>
      <x:c r="P779" t="n">
        <x:v>1084497.8649725895</x:v>
      </x:c>
    </x:row>
    <x:row r="780" ht="15" hidden="0" customHeight="1">
      <x:c r="A780" s="13" t="str">
        <x:v>2024-05-06</x:v>
      </x:c>
      <x:c r="B780" s="13" t="n">
        <x:v>0</x:v>
      </x:c>
      <x:c r="C780" s="13" t="n">
        <x:v>0</x:v>
      </x:c>
      <x:c r="D780" s="16" t="n">
        <x:v>0</x:v>
      </x:c>
      <x:c r="E780" s="16" t="n">
        <x:v>0</x:v>
      </x:c>
      <x:c r="F780" s="16" t="n">
        <x:v>0</x:v>
      </x:c>
      <x:c r="G780" s="16" t="n">
        <x:v>0</x:v>
      </x:c>
      <x:c r="H780" s="16" t="n">
        <x:v>0</x:v>
      </x:c>
      <x:c r="I780" s="16" t="n">
        <x:v>1084497.8649725895</x:v>
      </x:c>
      <x:c r="J780" s="16" t="n">
        <x:v>1084497.8649725895</x:v>
      </x:c>
      <x:c r="K780" s="16" t="n">
        <x:v>0</x:v>
      </x:c>
      <x:c r="L780" s="18" t="n">
        <x:v>0</x:v>
      </x:c>
      <x:c r="M780" s="18" t="n">
        <x:v>0</x:v>
      </x:c>
      <x:c r="O780" t="str">
        <x:v>2024-05-06</x:v>
      </x:c>
      <x:c r="P780" t="n">
        <x:v>1084497.8649725895</x:v>
      </x:c>
    </x:row>
    <x:row r="781" ht="15" hidden="0" customHeight="1">
      <x:c r="A781" s="13" t="str">
        <x:v>2024-05-07</x:v>
      </x:c>
      <x:c r="B781" s="13" t="n">
        <x:v>0</x:v>
      </x:c>
      <x:c r="C781" s="13" t="n">
        <x:v>0</x:v>
      </x:c>
      <x:c r="D781" s="16" t="n">
        <x:v>0</x:v>
      </x:c>
      <x:c r="E781" s="16" t="n">
        <x:v>0</x:v>
      </x:c>
      <x:c r="F781" s="16" t="n">
        <x:v>0</x:v>
      </x:c>
      <x:c r="G781" s="16" t="n">
        <x:v>0</x:v>
      </x:c>
      <x:c r="H781" s="16" t="n">
        <x:v>0</x:v>
      </x:c>
      <x:c r="I781" s="16" t="n">
        <x:v>1084497.8649725895</x:v>
      </x:c>
      <x:c r="J781" s="16" t="n">
        <x:v>1084497.8649725895</x:v>
      </x:c>
      <x:c r="K781" s="16" t="n">
        <x:v>0</x:v>
      </x:c>
      <x:c r="L781" s="18" t="n">
        <x:v>0</x:v>
      </x:c>
      <x:c r="M781" s="18" t="n">
        <x:v>0</x:v>
      </x:c>
      <x:c r="O781" t="str">
        <x:v>2024-05-07</x:v>
      </x:c>
      <x:c r="P781" t="n">
        <x:v>1084497.8649725895</x:v>
      </x:c>
    </x:row>
    <x:row r="782" ht="15" hidden="0" customHeight="1">
      <x:c r="A782" s="13" t="str">
        <x:v>2024-05-08</x:v>
      </x:c>
      <x:c r="B782" s="13" t="n">
        <x:v>0</x:v>
      </x:c>
      <x:c r="C782" s="13" t="n">
        <x:v>0</x:v>
      </x:c>
      <x:c r="D782" s="16" t="n">
        <x:v>0</x:v>
      </x:c>
      <x:c r="E782" s="16" t="n">
        <x:v>0</x:v>
      </x:c>
      <x:c r="F782" s="16" t="n">
        <x:v>0</x:v>
      </x:c>
      <x:c r="G782" s="16" t="n">
        <x:v>0</x:v>
      </x:c>
      <x:c r="H782" s="16" t="n">
        <x:v>0</x:v>
      </x:c>
      <x:c r="I782" s="16" t="n">
        <x:v>1084497.8649725895</x:v>
      </x:c>
      <x:c r="J782" s="16" t="n">
        <x:v>1084497.8649725895</x:v>
      </x:c>
      <x:c r="K782" s="16" t="n">
        <x:v>0</x:v>
      </x:c>
      <x:c r="L782" s="18" t="n">
        <x:v>0</x:v>
      </x:c>
      <x:c r="M782" s="18" t="n">
        <x:v>0</x:v>
      </x:c>
      <x:c r="O782" t="str">
        <x:v>2024-05-08</x:v>
      </x:c>
      <x:c r="P782" t="n">
        <x:v>1084497.8649725895</x:v>
      </x:c>
    </x:row>
    <x:row r="783" ht="15" hidden="0" customHeight="1">
      <x:c r="A783" s="13" t="str">
        <x:v>2024-05-09</x:v>
      </x:c>
      <x:c r="B783" s="13" t="n">
        <x:v>0</x:v>
      </x:c>
      <x:c r="C783" s="13" t="n">
        <x:v>0</x:v>
      </x:c>
      <x:c r="D783" s="16" t="n">
        <x:v>0</x:v>
      </x:c>
      <x:c r="E783" s="16" t="n">
        <x:v>0</x:v>
      </x:c>
      <x:c r="F783" s="16" t="n">
        <x:v>0</x:v>
      </x:c>
      <x:c r="G783" s="16" t="n">
        <x:v>0</x:v>
      </x:c>
      <x:c r="H783" s="16" t="n">
        <x:v>0</x:v>
      </x:c>
      <x:c r="I783" s="16" t="n">
        <x:v>1084497.8649725895</x:v>
      </x:c>
      <x:c r="J783" s="16" t="n">
        <x:v>1084497.8649725895</x:v>
      </x:c>
      <x:c r="K783" s="16" t="n">
        <x:v>0</x:v>
      </x:c>
      <x:c r="L783" s="18" t="n">
        <x:v>0</x:v>
      </x:c>
      <x:c r="M783" s="18" t="n">
        <x:v>0</x:v>
      </x:c>
      <x:c r="O783" t="str">
        <x:v>2024-05-09</x:v>
      </x:c>
      <x:c r="P783" t="n">
        <x:v>1084497.8649725895</x:v>
      </x:c>
    </x:row>
    <x:row r="784" ht="15" hidden="0" customHeight="1">
      <x:c r="A784" s="13" t="str">
        <x:v>2024-05-10</x:v>
      </x:c>
      <x:c r="B784" s="13" t="n">
        <x:v>0</x:v>
      </x:c>
      <x:c r="C784" s="13" t="n">
        <x:v>0</x:v>
      </x:c>
      <x:c r="D784" s="16" t="n">
        <x:v>0</x:v>
      </x:c>
      <x:c r="E784" s="16" t="n">
        <x:v>0</x:v>
      </x:c>
      <x:c r="F784" s="16" t="n">
        <x:v>0</x:v>
      </x:c>
      <x:c r="G784" s="16" t="n">
        <x:v>0</x:v>
      </x:c>
      <x:c r="H784" s="16" t="n">
        <x:v>0</x:v>
      </x:c>
      <x:c r="I784" s="16" t="n">
        <x:v>1084497.8649725895</x:v>
      </x:c>
      <x:c r="J784" s="16" t="n">
        <x:v>1084497.8649725895</x:v>
      </x:c>
      <x:c r="K784" s="16" t="n">
        <x:v>0</x:v>
      </x:c>
      <x:c r="L784" s="18" t="n">
        <x:v>0</x:v>
      </x:c>
      <x:c r="M784" s="18" t="n">
        <x:v>0</x:v>
      </x:c>
      <x:c r="O784" t="str">
        <x:v>2024-05-10</x:v>
      </x:c>
      <x:c r="P784" t="n">
        <x:v>1084497.8649725895</x:v>
      </x:c>
    </x:row>
    <x:row r="785" ht="15" hidden="0" customHeight="1">
      <x:c r="A785" s="13" t="str">
        <x:v>2024-05-13</x:v>
      </x:c>
      <x:c r="B785" s="13" t="n">
        <x:v>0</x:v>
      </x:c>
      <x:c r="C785" s="13" t="n">
        <x:v>0</x:v>
      </x:c>
      <x:c r="D785" s="16" t="n">
        <x:v>0</x:v>
      </x:c>
      <x:c r="E785" s="16" t="n">
        <x:v>0</x:v>
      </x:c>
      <x:c r="F785" s="16" t="n">
        <x:v>0</x:v>
      </x:c>
      <x:c r="G785" s="16" t="n">
        <x:v>0</x:v>
      </x:c>
      <x:c r="H785" s="16" t="n">
        <x:v>0</x:v>
      </x:c>
      <x:c r="I785" s="16" t="n">
        <x:v>1084497.8649725895</x:v>
      </x:c>
      <x:c r="J785" s="16" t="n">
        <x:v>1084497.8649725895</x:v>
      </x:c>
      <x:c r="K785" s="16" t="n">
        <x:v>0</x:v>
      </x:c>
      <x:c r="L785" s="18" t="n">
        <x:v>0</x:v>
      </x:c>
      <x:c r="M785" s="18" t="n">
        <x:v>0</x:v>
      </x:c>
      <x:c r="O785" t="str">
        <x:v>2024-05-13</x:v>
      </x:c>
      <x:c r="P785" t="n">
        <x:v>1084497.8649725895</x:v>
      </x:c>
    </x:row>
    <x:row r="786" ht="15" hidden="0" customHeight="1">
      <x:c r="A786" s="13" t="str">
        <x:v>2024-05-14</x:v>
      </x:c>
      <x:c r="B786" s="13" t="n">
        <x:v>0</x:v>
      </x:c>
      <x:c r="C786" s="13" t="n">
        <x:v>0</x:v>
      </x:c>
      <x:c r="D786" s="16" t="n">
        <x:v>0</x:v>
      </x:c>
      <x:c r="E786" s="16" t="n">
        <x:v>0</x:v>
      </x:c>
      <x:c r="F786" s="16" t="n">
        <x:v>0</x:v>
      </x:c>
      <x:c r="G786" s="16" t="n">
        <x:v>0</x:v>
      </x:c>
      <x:c r="H786" s="16" t="n">
        <x:v>0</x:v>
      </x:c>
      <x:c r="I786" s="16" t="n">
        <x:v>1084497.8649725895</x:v>
      </x:c>
      <x:c r="J786" s="16" t="n">
        <x:v>1084497.8649725895</x:v>
      </x:c>
      <x:c r="K786" s="16" t="n">
        <x:v>0</x:v>
      </x:c>
      <x:c r="L786" s="18" t="n">
        <x:v>0</x:v>
      </x:c>
      <x:c r="M786" s="18" t="n">
        <x:v>0</x:v>
      </x:c>
      <x:c r="O786" t="str">
        <x:v>2024-05-14</x:v>
      </x:c>
      <x:c r="P786" t="n">
        <x:v>1084497.8649725895</x:v>
      </x:c>
    </x:row>
    <x:row r="787" ht="15" hidden="0" customHeight="1">
      <x:c r="A787" s="13" t="str">
        <x:v>2024-05-15</x:v>
      </x:c>
      <x:c r="B787" s="13" t="n">
        <x:v>0</x:v>
      </x:c>
      <x:c r="C787" s="13" t="n">
        <x:v>0</x:v>
      </x:c>
      <x:c r="D787" s="16" t="n">
        <x:v>0</x:v>
      </x:c>
      <x:c r="E787" s="16" t="n">
        <x:v>0</x:v>
      </x:c>
      <x:c r="F787" s="16" t="n">
        <x:v>0</x:v>
      </x:c>
      <x:c r="G787" s="16" t="n">
        <x:v>0</x:v>
      </x:c>
      <x:c r="H787" s="16" t="n">
        <x:v>0</x:v>
      </x:c>
      <x:c r="I787" s="16" t="n">
        <x:v>1084497.8649725895</x:v>
      </x:c>
      <x:c r="J787" s="16" t="n">
        <x:v>1084497.8649725895</x:v>
      </x:c>
      <x:c r="K787" s="16" t="n">
        <x:v>0</x:v>
      </x:c>
      <x:c r="L787" s="18" t="n">
        <x:v>0</x:v>
      </x:c>
      <x:c r="M787" s="18" t="n">
        <x:v>0</x:v>
      </x:c>
      <x:c r="O787" t="str">
        <x:v>2024-05-15</x:v>
      </x:c>
      <x:c r="P787" t="n">
        <x:v>1084497.8649725895</x:v>
      </x:c>
    </x:row>
    <x:row r="788" ht="15" hidden="0" customHeight="1">
      <x:c r="A788" s="13" t="str">
        <x:v>2024-05-16</x:v>
      </x:c>
      <x:c r="B788" s="13" t="n">
        <x:v>1</x:v>
      </x:c>
      <x:c r="C788" s="13" t="n">
        <x:v>14</x:v>
      </x:c>
      <x:c r="D788" s="16" t="n">
        <x:v>-3394.999999999996</x:v>
      </x:c>
      <x:c r="E788" s="16" t="n">
        <x:v>704.381745946363</x:v>
      </x:c>
      <x:c r="F788" s="16" t="n">
        <x:v>-4099.381745946359</x:v>
      </x:c>
      <x:c r="G788" s="16" t="n">
        <x:v>117647.04175787709</x:v>
      </x:c>
      <x:c r="H788" s="16" t="n">
        <x:v>376291.9544265986</x:v>
      </x:c>
      <x:c r="I788" s="16" t="n">
        <x:v>1080398.4832266432</x:v>
      </x:c>
      <x:c r="J788" s="16" t="n">
        <x:v>1084497.8649725895</x:v>
      </x:c>
      <x:c r="K788" s="16" t="n">
        <x:v>-4099.381745946361</x:v>
      </x:c>
      <x:c r="L788" s="18" t="n">
        <x:v>-0.0037799813889444</x:v>
      </x:c>
      <x:c r="M788" s="18" t="n">
        <x:v>-0.0037799813889444</x:v>
      </x:c>
      <x:c r="O788" t="str">
        <x:v>2024-05-16</x:v>
      </x:c>
      <x:c r="P788" t="n">
        <x:v>1080398.4832266432</x:v>
      </x:c>
    </x:row>
    <x:row r="789" ht="15" hidden="0" customHeight="1">
      <x:c r="A789" s="13" t="str">
        <x:v>2024-05-17</x:v>
      </x:c>
      <x:c r="B789" s="13" t="n">
        <x:v>0</x:v>
      </x:c>
      <x:c r="C789" s="13" t="n">
        <x:v>0</x:v>
      </x:c>
      <x:c r="D789" s="16" t="n">
        <x:v>0</x:v>
      </x:c>
      <x:c r="E789" s="16" t="n">
        <x:v>0</x:v>
      </x:c>
      <x:c r="F789" s="16" t="n">
        <x:v>0</x:v>
      </x:c>
      <x:c r="G789" s="16" t="n">
        <x:v>0</x:v>
      </x:c>
      <x:c r="H789" s="16" t="n">
        <x:v>0</x:v>
      </x:c>
      <x:c r="I789" s="16" t="n">
        <x:v>1080398.4832266432</x:v>
      </x:c>
      <x:c r="J789" s="16" t="n">
        <x:v>1084497.8649725895</x:v>
      </x:c>
      <x:c r="K789" s="16" t="n">
        <x:v>-4099.381745946361</x:v>
      </x:c>
      <x:c r="L789" s="18" t="n">
        <x:v>-0.0037799813889444</x:v>
      </x:c>
      <x:c r="M789" s="18" t="n">
        <x:v>0</x:v>
      </x:c>
      <x:c r="O789" t="str">
        <x:v>2024-05-17</x:v>
      </x:c>
      <x:c r="P789" t="n">
        <x:v>1080398.4832266432</x:v>
      </x:c>
    </x:row>
    <x:row r="790" ht="15" hidden="0" customHeight="1">
      <x:c r="A790" s="13" t="str">
        <x:v>2024-05-20</x:v>
      </x:c>
      <x:c r="B790" s="13" t="n">
        <x:v>0</x:v>
      </x:c>
      <x:c r="C790" s="13" t="n">
        <x:v>0</x:v>
      </x:c>
      <x:c r="D790" s="16" t="n">
        <x:v>0</x:v>
      </x:c>
      <x:c r="E790" s="16" t="n">
        <x:v>0</x:v>
      </x:c>
      <x:c r="F790" s="16" t="n">
        <x:v>0</x:v>
      </x:c>
      <x:c r="G790" s="16" t="n">
        <x:v>0</x:v>
      </x:c>
      <x:c r="H790" s="16" t="n">
        <x:v>0</x:v>
      </x:c>
      <x:c r="I790" s="16" t="n">
        <x:v>1080398.4832266432</x:v>
      </x:c>
      <x:c r="J790" s="16" t="n">
        <x:v>1084497.8649725895</x:v>
      </x:c>
      <x:c r="K790" s="16" t="n">
        <x:v>-4099.381745946361</x:v>
      </x:c>
      <x:c r="L790" s="18" t="n">
        <x:v>-0.0037799813889444</x:v>
      </x:c>
      <x:c r="M790" s="18" t="n">
        <x:v>0</x:v>
      </x:c>
      <x:c r="O790" t="str">
        <x:v>2024-05-20</x:v>
      </x:c>
      <x:c r="P790" t="n">
        <x:v>1080398.4832266432</x:v>
      </x:c>
    </x:row>
    <x:row r="791" ht="15" hidden="0" customHeight="1">
      <x:c r="A791" s="13" t="str">
        <x:v>2024-05-21</x:v>
      </x:c>
      <x:c r="B791" s="13" t="n">
        <x:v>0</x:v>
      </x:c>
      <x:c r="C791" s="13" t="n">
        <x:v>0</x:v>
      </x:c>
      <x:c r="D791" s="16" t="n">
        <x:v>0</x:v>
      </x:c>
      <x:c r="E791" s="16" t="n">
        <x:v>0</x:v>
      </x:c>
      <x:c r="F791" s="16" t="n">
        <x:v>0</x:v>
      </x:c>
      <x:c r="G791" s="16" t="n">
        <x:v>0</x:v>
      </x:c>
      <x:c r="H791" s="16" t="n">
        <x:v>0</x:v>
      </x:c>
      <x:c r="I791" s="16" t="n">
        <x:v>1080398.4832266432</x:v>
      </x:c>
      <x:c r="J791" s="16" t="n">
        <x:v>1084497.8649725895</x:v>
      </x:c>
      <x:c r="K791" s="16" t="n">
        <x:v>-4099.381745946361</x:v>
      </x:c>
      <x:c r="L791" s="18" t="n">
        <x:v>-0.0037799813889444</x:v>
      </x:c>
      <x:c r="M791" s="18" t="n">
        <x:v>0</x:v>
      </x:c>
      <x:c r="O791" t="str">
        <x:v>2024-05-21</x:v>
      </x:c>
      <x:c r="P791" t="n">
        <x:v>1080398.4832266432</x:v>
      </x:c>
    </x:row>
    <x:row r="792" ht="15" hidden="0" customHeight="1">
      <x:c r="A792" s="13" t="str">
        <x:v>2024-05-22</x:v>
      </x:c>
      <x:c r="B792" s="13" t="n">
        <x:v>0</x:v>
      </x:c>
      <x:c r="C792" s="13" t="n">
        <x:v>0</x:v>
      </x:c>
      <x:c r="D792" s="16" t="n">
        <x:v>0</x:v>
      </x:c>
      <x:c r="E792" s="16" t="n">
        <x:v>0</x:v>
      </x:c>
      <x:c r="F792" s="16" t="n">
        <x:v>0</x:v>
      </x:c>
      <x:c r="G792" s="16" t="n">
        <x:v>0</x:v>
      </x:c>
      <x:c r="H792" s="16" t="n">
        <x:v>0</x:v>
      </x:c>
      <x:c r="I792" s="16" t="n">
        <x:v>1080398.4832266432</x:v>
      </x:c>
      <x:c r="J792" s="16" t="n">
        <x:v>1084497.8649725895</x:v>
      </x:c>
      <x:c r="K792" s="16" t="n">
        <x:v>-4099.381745946361</x:v>
      </x:c>
      <x:c r="L792" s="18" t="n">
        <x:v>-0.0037799813889444</x:v>
      </x:c>
      <x:c r="M792" s="18" t="n">
        <x:v>0</x:v>
      </x:c>
      <x:c r="O792" t="str">
        <x:v>2024-05-22</x:v>
      </x:c>
      <x:c r="P792" t="n">
        <x:v>1080398.4832266432</x:v>
      </x:c>
    </x:row>
    <x:row r="793" ht="15" hidden="0" customHeight="1">
      <x:c r="A793" s="13" t="str">
        <x:v>2024-05-23</x:v>
      </x:c>
      <x:c r="B793" s="13" t="n">
        <x:v>0</x:v>
      </x:c>
      <x:c r="C793" s="13" t="n">
        <x:v>0</x:v>
      </x:c>
      <x:c r="D793" s="16" t="n">
        <x:v>0</x:v>
      </x:c>
      <x:c r="E793" s="16" t="n">
        <x:v>0</x:v>
      </x:c>
      <x:c r="F793" s="16" t="n">
        <x:v>0</x:v>
      </x:c>
      <x:c r="G793" s="16" t="n">
        <x:v>0</x:v>
      </x:c>
      <x:c r="H793" s="16" t="n">
        <x:v>0</x:v>
      </x:c>
      <x:c r="I793" s="16" t="n">
        <x:v>1080398.4832266432</x:v>
      </x:c>
      <x:c r="J793" s="16" t="n">
        <x:v>1084497.8649725895</x:v>
      </x:c>
      <x:c r="K793" s="16" t="n">
        <x:v>-4099.381745946361</x:v>
      </x:c>
      <x:c r="L793" s="18" t="n">
        <x:v>-0.0037799813889444</x:v>
      </x:c>
      <x:c r="M793" s="18" t="n">
        <x:v>0</x:v>
      </x:c>
      <x:c r="O793" t="str">
        <x:v>2024-05-23</x:v>
      </x:c>
      <x:c r="P793" t="n">
        <x:v>1080398.4832266432</x:v>
      </x:c>
    </x:row>
    <x:row r="794" ht="15" hidden="0" customHeight="1">
      <x:c r="A794" s="13" t="str">
        <x:v>2024-05-24</x:v>
      </x:c>
      <x:c r="B794" s="13" t="n">
        <x:v>0</x:v>
      </x:c>
      <x:c r="C794" s="13" t="n">
        <x:v>0</x:v>
      </x:c>
      <x:c r="D794" s="16" t="n">
        <x:v>0</x:v>
      </x:c>
      <x:c r="E794" s="16" t="n">
        <x:v>0</x:v>
      </x:c>
      <x:c r="F794" s="16" t="n">
        <x:v>0</x:v>
      </x:c>
      <x:c r="G794" s="16" t="n">
        <x:v>0</x:v>
      </x:c>
      <x:c r="H794" s="16" t="n">
        <x:v>0</x:v>
      </x:c>
      <x:c r="I794" s="16" t="n">
        <x:v>1080398.4832266432</x:v>
      </x:c>
      <x:c r="J794" s="16" t="n">
        <x:v>1084497.8649725895</x:v>
      </x:c>
      <x:c r="K794" s="16" t="n">
        <x:v>-4099.381745946361</x:v>
      </x:c>
      <x:c r="L794" s="18" t="n">
        <x:v>-0.0037799813889444</x:v>
      </x:c>
      <x:c r="M794" s="18" t="n">
        <x:v>0</x:v>
      </x:c>
      <x:c r="O794" t="str">
        <x:v>2024-05-24</x:v>
      </x:c>
      <x:c r="P794" t="n">
        <x:v>1080398.4832266432</x:v>
      </x:c>
    </x:row>
    <x:row r="795" ht="15" hidden="0" customHeight="1">
      <x:c r="A795" s="13" t="str">
        <x:v>2024-05-27</x:v>
      </x:c>
      <x:c r="B795" s="13" t="n">
        <x:v>0</x:v>
      </x:c>
      <x:c r="C795" s="13" t="n">
        <x:v>0</x:v>
      </x:c>
      <x:c r="D795" s="16" t="n">
        <x:v>0</x:v>
      </x:c>
      <x:c r="E795" s="16" t="n">
        <x:v>0</x:v>
      </x:c>
      <x:c r="F795" s="16" t="n">
        <x:v>0</x:v>
      </x:c>
      <x:c r="G795" s="16" t="n">
        <x:v>0</x:v>
      </x:c>
      <x:c r="H795" s="16" t="n">
        <x:v>0</x:v>
      </x:c>
      <x:c r="I795" s="16" t="n">
        <x:v>1080398.4832266432</x:v>
      </x:c>
      <x:c r="J795" s="16" t="n">
        <x:v>1084497.8649725895</x:v>
      </x:c>
      <x:c r="K795" s="16" t="n">
        <x:v>-4099.381745946361</x:v>
      </x:c>
      <x:c r="L795" s="18" t="n">
        <x:v>-0.0037799813889444</x:v>
      </x:c>
      <x:c r="M795" s="18" t="n">
        <x:v>0</x:v>
      </x:c>
      <x:c r="O795" t="str">
        <x:v>2024-05-27</x:v>
      </x:c>
      <x:c r="P795" t="n">
        <x:v>1080398.4832266432</x:v>
      </x:c>
    </x:row>
    <x:row r="796" ht="15" hidden="0" customHeight="1">
      <x:c r="A796" s="13" t="str">
        <x:v>2024-05-28</x:v>
      </x:c>
      <x:c r="B796" s="13" t="n">
        <x:v>0</x:v>
      </x:c>
      <x:c r="C796" s="13" t="n">
        <x:v>0</x:v>
      </x:c>
      <x:c r="D796" s="16" t="n">
        <x:v>0</x:v>
      </x:c>
      <x:c r="E796" s="16" t="n">
        <x:v>0</x:v>
      </x:c>
      <x:c r="F796" s="16" t="n">
        <x:v>0</x:v>
      </x:c>
      <x:c r="G796" s="16" t="n">
        <x:v>0</x:v>
      </x:c>
      <x:c r="H796" s="16" t="n">
        <x:v>0</x:v>
      </x:c>
      <x:c r="I796" s="16" t="n">
        <x:v>1080398.4832266432</x:v>
      </x:c>
      <x:c r="J796" s="16" t="n">
        <x:v>1084497.8649725895</x:v>
      </x:c>
      <x:c r="K796" s="16" t="n">
        <x:v>-4099.381745946361</x:v>
      </x:c>
      <x:c r="L796" s="18" t="n">
        <x:v>-0.0037799813889444</x:v>
      </x:c>
      <x:c r="M796" s="18" t="n">
        <x:v>0</x:v>
      </x:c>
      <x:c r="O796" t="str">
        <x:v>2024-05-28</x:v>
      </x:c>
      <x:c r="P796" t="n">
        <x:v>1080398.4832266432</x:v>
      </x:c>
    </x:row>
    <x:row r="797" ht="15" hidden="0" customHeight="1">
      <x:c r="A797" s="13" t="str">
        <x:v>2024-05-29</x:v>
      </x:c>
      <x:c r="B797" s="13" t="n">
        <x:v>0</x:v>
      </x:c>
      <x:c r="C797" s="13" t="n">
        <x:v>0</x:v>
      </x:c>
      <x:c r="D797" s="16" t="n">
        <x:v>0</x:v>
      </x:c>
      <x:c r="E797" s="16" t="n">
        <x:v>0</x:v>
      </x:c>
      <x:c r="F797" s="16" t="n">
        <x:v>0</x:v>
      </x:c>
      <x:c r="G797" s="16" t="n">
        <x:v>0</x:v>
      </x:c>
      <x:c r="H797" s="16" t="n">
        <x:v>0</x:v>
      </x:c>
      <x:c r="I797" s="16" t="n">
        <x:v>1080398.4832266432</x:v>
      </x:c>
      <x:c r="J797" s="16" t="n">
        <x:v>1084497.8649725895</x:v>
      </x:c>
      <x:c r="K797" s="16" t="n">
        <x:v>-4099.381745946361</x:v>
      </x:c>
      <x:c r="L797" s="18" t="n">
        <x:v>-0.0037799813889444</x:v>
      </x:c>
      <x:c r="M797" s="18" t="n">
        <x:v>0</x:v>
      </x:c>
      <x:c r="O797" t="str">
        <x:v>2024-05-29</x:v>
      </x:c>
      <x:c r="P797" t="n">
        <x:v>1080398.4832266432</x:v>
      </x:c>
    </x:row>
    <x:row r="798" ht="15" hidden="0" customHeight="1">
      <x:c r="A798" s="13" t="str">
        <x:v>2024-05-30</x:v>
      </x:c>
      <x:c r="B798" s="13" t="n">
        <x:v>0</x:v>
      </x:c>
      <x:c r="C798" s="13" t="n">
        <x:v>0</x:v>
      </x:c>
      <x:c r="D798" s="16" t="n">
        <x:v>0</x:v>
      </x:c>
      <x:c r="E798" s="16" t="n">
        <x:v>0</x:v>
      </x:c>
      <x:c r="F798" s="16" t="n">
        <x:v>0</x:v>
      </x:c>
      <x:c r="G798" s="16" t="n">
        <x:v>0</x:v>
      </x:c>
      <x:c r="H798" s="16" t="n">
        <x:v>0</x:v>
      </x:c>
      <x:c r="I798" s="16" t="n">
        <x:v>1080398.4832266432</x:v>
      </x:c>
      <x:c r="J798" s="16" t="n">
        <x:v>1084497.8649725895</x:v>
      </x:c>
      <x:c r="K798" s="16" t="n">
        <x:v>-4099.381745946361</x:v>
      </x:c>
      <x:c r="L798" s="18" t="n">
        <x:v>-0.0037799813889444</x:v>
      </x:c>
      <x:c r="M798" s="18" t="n">
        <x:v>0</x:v>
      </x:c>
      <x:c r="O798" t="str">
        <x:v>2024-05-30</x:v>
      </x:c>
      <x:c r="P798" t="n">
        <x:v>1080398.4832266432</x:v>
      </x:c>
    </x:row>
    <x:row r="799" ht="15" hidden="0" customHeight="1">
      <x:c r="A799" s="13" t="str">
        <x:v>2024-05-31</x:v>
      </x:c>
      <x:c r="B799" s="13" t="n">
        <x:v>0</x:v>
      </x:c>
      <x:c r="C799" s="13" t="n">
        <x:v>0</x:v>
      </x:c>
      <x:c r="D799" s="16" t="n">
        <x:v>0</x:v>
      </x:c>
      <x:c r="E799" s="16" t="n">
        <x:v>0</x:v>
      </x:c>
      <x:c r="F799" s="16" t="n">
        <x:v>0</x:v>
      </x:c>
      <x:c r="G799" s="16" t="n">
        <x:v>0</x:v>
      </x:c>
      <x:c r="H799" s="16" t="n">
        <x:v>0</x:v>
      </x:c>
      <x:c r="I799" s="16" t="n">
        <x:v>1080398.4832266432</x:v>
      </x:c>
      <x:c r="J799" s="16" t="n">
        <x:v>1084497.8649725895</x:v>
      </x:c>
      <x:c r="K799" s="16" t="n">
        <x:v>-4099.381745946361</x:v>
      </x:c>
      <x:c r="L799" s="18" t="n">
        <x:v>-0.0037799813889444</x:v>
      </x:c>
      <x:c r="M799" s="18" t="n">
        <x:v>0</x:v>
      </x:c>
      <x:c r="O799" t="str">
        <x:v>2024-05-31</x:v>
      </x:c>
      <x:c r="P799" t="n">
        <x:v>1080398.4832266432</x:v>
      </x:c>
    </x:row>
    <x:row r="800" ht="15" hidden="0" customHeight="1">
      <x:c r="A800" s="13" t="str">
        <x:v>2024-06-03</x:v>
      </x:c>
      <x:c r="B800" s="13" t="n">
        <x:v>0</x:v>
      </x:c>
      <x:c r="C800" s="13" t="n">
        <x:v>0</x:v>
      </x:c>
      <x:c r="D800" s="16" t="n">
        <x:v>0</x:v>
      </x:c>
      <x:c r="E800" s="16" t="n">
        <x:v>0</x:v>
      </x:c>
      <x:c r="F800" s="16" t="n">
        <x:v>0</x:v>
      </x:c>
      <x:c r="G800" s="16" t="n">
        <x:v>0</x:v>
      </x:c>
      <x:c r="H800" s="16" t="n">
        <x:v>0</x:v>
      </x:c>
      <x:c r="I800" s="16" t="n">
        <x:v>1080398.4832266432</x:v>
      </x:c>
      <x:c r="J800" s="16" t="n">
        <x:v>1084497.8649725895</x:v>
      </x:c>
      <x:c r="K800" s="16" t="n">
        <x:v>-4099.381745946361</x:v>
      </x:c>
      <x:c r="L800" s="18" t="n">
        <x:v>-0.0037799813889444</x:v>
      </x:c>
      <x:c r="M800" s="18" t="n">
        <x:v>0</x:v>
      </x:c>
      <x:c r="O800" t="str">
        <x:v>2024-06-03</x:v>
      </x:c>
      <x:c r="P800" t="n">
        <x:v>1080398.4832266432</x:v>
      </x:c>
    </x:row>
    <x:row r="801" ht="15" hidden="0" customHeight="1">
      <x:c r="A801" s="13" t="str">
        <x:v>2024-06-04</x:v>
      </x:c>
      <x:c r="B801" s="13" t="n">
        <x:v>0</x:v>
      </x:c>
      <x:c r="C801" s="13" t="n">
        <x:v>0</x:v>
      </x:c>
      <x:c r="D801" s="16" t="n">
        <x:v>0</x:v>
      </x:c>
      <x:c r="E801" s="16" t="n">
        <x:v>0</x:v>
      </x:c>
      <x:c r="F801" s="16" t="n">
        <x:v>0</x:v>
      </x:c>
      <x:c r="G801" s="16" t="n">
        <x:v>0</x:v>
      </x:c>
      <x:c r="H801" s="16" t="n">
        <x:v>0</x:v>
      </x:c>
      <x:c r="I801" s="16" t="n">
        <x:v>1080398.4832266432</x:v>
      </x:c>
      <x:c r="J801" s="16" t="n">
        <x:v>1084497.8649725895</x:v>
      </x:c>
      <x:c r="K801" s="16" t="n">
        <x:v>-4099.381745946361</x:v>
      </x:c>
      <x:c r="L801" s="18" t="n">
        <x:v>-0.0037799813889444</x:v>
      </x:c>
      <x:c r="M801" s="18" t="n">
        <x:v>0</x:v>
      </x:c>
      <x:c r="O801" t="str">
        <x:v>2024-06-04</x:v>
      </x:c>
      <x:c r="P801" t="n">
        <x:v>1080398.4832266432</x:v>
      </x:c>
    </x:row>
    <x:row r="802" ht="15" hidden="0" customHeight="1">
      <x:c r="A802" s="13" t="str">
        <x:v>2024-06-05</x:v>
      </x:c>
      <x:c r="B802" s="13" t="n">
        <x:v>0</x:v>
      </x:c>
      <x:c r="C802" s="13" t="n">
        <x:v>0</x:v>
      </x:c>
      <x:c r="D802" s="16" t="n">
        <x:v>0</x:v>
      </x:c>
      <x:c r="E802" s="16" t="n">
        <x:v>0</x:v>
      </x:c>
      <x:c r="F802" s="16" t="n">
        <x:v>0</x:v>
      </x:c>
      <x:c r="G802" s="16" t="n">
        <x:v>0</x:v>
      </x:c>
      <x:c r="H802" s="16" t="n">
        <x:v>0</x:v>
      </x:c>
      <x:c r="I802" s="16" t="n">
        <x:v>1080398.4832266432</x:v>
      </x:c>
      <x:c r="J802" s="16" t="n">
        <x:v>1084497.8649725895</x:v>
      </x:c>
      <x:c r="K802" s="16" t="n">
        <x:v>-4099.381745946361</x:v>
      </x:c>
      <x:c r="L802" s="18" t="n">
        <x:v>-0.0037799813889444</x:v>
      </x:c>
      <x:c r="M802" s="18" t="n">
        <x:v>0</x:v>
      </x:c>
      <x:c r="O802" t="str">
        <x:v>2024-06-05</x:v>
      </x:c>
      <x:c r="P802" t="n">
        <x:v>1080398.4832266432</x:v>
      </x:c>
    </x:row>
    <x:row r="803" ht="15" hidden="0" customHeight="1">
      <x:c r="A803" s="13" t="str">
        <x:v>2024-06-06</x:v>
      </x:c>
      <x:c r="B803" s="13" t="n">
        <x:v>0</x:v>
      </x:c>
      <x:c r="C803" s="13" t="n">
        <x:v>0</x:v>
      </x:c>
      <x:c r="D803" s="16" t="n">
        <x:v>0</x:v>
      </x:c>
      <x:c r="E803" s="16" t="n">
        <x:v>0</x:v>
      </x:c>
      <x:c r="F803" s="16" t="n">
        <x:v>0</x:v>
      </x:c>
      <x:c r="G803" s="16" t="n">
        <x:v>0</x:v>
      </x:c>
      <x:c r="H803" s="16" t="n">
        <x:v>0</x:v>
      </x:c>
      <x:c r="I803" s="16" t="n">
        <x:v>1080398.4832266432</x:v>
      </x:c>
      <x:c r="J803" s="16" t="n">
        <x:v>1084497.8649725895</x:v>
      </x:c>
      <x:c r="K803" s="16" t="n">
        <x:v>-4099.381745946361</x:v>
      </x:c>
      <x:c r="L803" s="18" t="n">
        <x:v>-0.0037799813889444</x:v>
      </x:c>
      <x:c r="M803" s="18" t="n">
        <x:v>0</x:v>
      </x:c>
      <x:c r="O803" t="str">
        <x:v>2024-06-06</x:v>
      </x:c>
      <x:c r="P803" t="n">
        <x:v>1080398.4832266432</x:v>
      </x:c>
    </x:row>
    <x:row r="804" ht="15" hidden="0" customHeight="1">
      <x:c r="A804" s="13" t="str">
        <x:v>2024-06-07</x:v>
      </x:c>
      <x:c r="B804" s="13" t="n">
        <x:v>0</x:v>
      </x:c>
      <x:c r="C804" s="13" t="n">
        <x:v>0</x:v>
      </x:c>
      <x:c r="D804" s="16" t="n">
        <x:v>0</x:v>
      </x:c>
      <x:c r="E804" s="16" t="n">
        <x:v>0</x:v>
      </x:c>
      <x:c r="F804" s="16" t="n">
        <x:v>0</x:v>
      </x:c>
      <x:c r="G804" s="16" t="n">
        <x:v>0</x:v>
      </x:c>
      <x:c r="H804" s="16" t="n">
        <x:v>0</x:v>
      </x:c>
      <x:c r="I804" s="16" t="n">
        <x:v>1080398.4832266432</x:v>
      </x:c>
      <x:c r="J804" s="16" t="n">
        <x:v>1084497.8649725895</x:v>
      </x:c>
      <x:c r="K804" s="16" t="n">
        <x:v>-4099.381745946361</x:v>
      </x:c>
      <x:c r="L804" s="18" t="n">
        <x:v>-0.0037799813889444</x:v>
      </x:c>
      <x:c r="M804" s="18" t="n">
        <x:v>0</x:v>
      </x:c>
      <x:c r="O804" t="str">
        <x:v>2024-06-07</x:v>
      </x:c>
      <x:c r="P804" t="n">
        <x:v>1080398.4832266432</x:v>
      </x:c>
    </x:row>
    <x:row r="805" ht="15" hidden="0" customHeight="1">
      <x:c r="A805" s="13" t="str">
        <x:v>2024-06-10</x:v>
      </x:c>
      <x:c r="B805" s="13" t="n">
        <x:v>1</x:v>
      </x:c>
      <x:c r="C805" s="13" t="n">
        <x:v>11</x:v>
      </x:c>
      <x:c r="D805" s="16" t="n">
        <x:v>-412.5000000000039</x:v>
      </x:c>
      <x:c r="E805" s="16" t="n">
        <x:v>1217.3971090110158</x:v>
      </x:c>
      <x:c r="F805" s="16" t="n">
        <x:v>-1629.8971090110197</x:v>
      </x:c>
      <x:c r="G805" s="16" t="n">
        <x:v>321028.8340237561</x:v>
      </x:c>
      <x:c r="H805" s="16" t="n">
        <x:v>360032.712338774</x:v>
      </x:c>
      <x:c r="I805" s="16" t="n">
        <x:v>1078768.5861176322</x:v>
      </x:c>
      <x:c r="J805" s="16" t="n">
        <x:v>1084497.8649725895</x:v>
      </x:c>
      <x:c r="K805" s="16" t="n">
        <x:v>-5729.278854957316</x:v>
      </x:c>
      <x:c r="L805" s="18" t="n">
        <x:v>-0.0052828862462556</x:v>
      </x:c>
      <x:c r="M805" s="18" t="n">
        <x:v>-0.0015086073650744</x:v>
      </x:c>
      <x:c r="O805" t="str">
        <x:v>2024-06-10</x:v>
      </x:c>
      <x:c r="P805" t="n">
        <x:v>1078768.5861176322</x:v>
      </x:c>
    </x:row>
    <x:row r="806" ht="15" hidden="0" customHeight="1">
      <x:c r="A806" s="13" t="str">
        <x:v>2024-06-11</x:v>
      </x:c>
      <x:c r="B806" s="13" t="n">
        <x:v>0</x:v>
      </x:c>
      <x:c r="C806" s="13" t="n">
        <x:v>0</x:v>
      </x:c>
      <x:c r="D806" s="16" t="n">
        <x:v>0</x:v>
      </x:c>
      <x:c r="E806" s="16" t="n">
        <x:v>0</x:v>
      </x:c>
      <x:c r="F806" s="16" t="n">
        <x:v>0</x:v>
      </x:c>
      <x:c r="G806" s="16" t="n">
        <x:v>0</x:v>
      </x:c>
      <x:c r="H806" s="16" t="n">
        <x:v>0</x:v>
      </x:c>
      <x:c r="I806" s="16" t="n">
        <x:v>1078768.5861176322</x:v>
      </x:c>
      <x:c r="J806" s="16" t="n">
        <x:v>1084497.8649725895</x:v>
      </x:c>
      <x:c r="K806" s="16" t="n">
        <x:v>-5729.278854957316</x:v>
      </x:c>
      <x:c r="L806" s="18" t="n">
        <x:v>-0.0052828862462556</x:v>
      </x:c>
      <x:c r="M806" s="18" t="n">
        <x:v>0</x:v>
      </x:c>
      <x:c r="O806" t="str">
        <x:v>2024-06-11</x:v>
      </x:c>
      <x:c r="P806" t="n">
        <x:v>1078768.5861176322</x:v>
      </x:c>
    </x:row>
    <x:row r="807" ht="15" hidden="0" customHeight="1">
      <x:c r="A807" s="13" t="str">
        <x:v>2024-06-12</x:v>
      </x:c>
      <x:c r="B807" s="13" t="n">
        <x:v>0</x:v>
      </x:c>
      <x:c r="C807" s="13" t="n">
        <x:v>0</x:v>
      </x:c>
      <x:c r="D807" s="16" t="n">
        <x:v>0</x:v>
      </x:c>
      <x:c r="E807" s="16" t="n">
        <x:v>0</x:v>
      </x:c>
      <x:c r="F807" s="16" t="n">
        <x:v>0</x:v>
      </x:c>
      <x:c r="G807" s="16" t="n">
        <x:v>0</x:v>
      </x:c>
      <x:c r="H807" s="16" t="n">
        <x:v>0</x:v>
      </x:c>
      <x:c r="I807" s="16" t="n">
        <x:v>1078768.5861176322</x:v>
      </x:c>
      <x:c r="J807" s="16" t="n">
        <x:v>1084497.8649725895</x:v>
      </x:c>
      <x:c r="K807" s="16" t="n">
        <x:v>-5729.278854957316</x:v>
      </x:c>
      <x:c r="L807" s="18" t="n">
        <x:v>-0.0052828862462556</x:v>
      </x:c>
      <x:c r="M807" s="18" t="n">
        <x:v>0</x:v>
      </x:c>
      <x:c r="O807" t="str">
        <x:v>2024-06-12</x:v>
      </x:c>
      <x:c r="P807" t="n">
        <x:v>1078768.5861176322</x:v>
      </x:c>
    </x:row>
    <x:row r="808" ht="15" hidden="0" customHeight="1">
      <x:c r="A808" s="13" t="str">
        <x:v>2024-06-13</x:v>
      </x:c>
      <x:c r="B808" s="13" t="n">
        <x:v>0</x:v>
      </x:c>
      <x:c r="C808" s="13" t="n">
        <x:v>0</x:v>
      </x:c>
      <x:c r="D808" s="16" t="n">
        <x:v>0</x:v>
      </x:c>
      <x:c r="E808" s="16" t="n">
        <x:v>0</x:v>
      </x:c>
      <x:c r="F808" s="16" t="n">
        <x:v>0</x:v>
      </x:c>
      <x:c r="G808" s="16" t="n">
        <x:v>0</x:v>
      </x:c>
      <x:c r="H808" s="16" t="n">
        <x:v>0</x:v>
      </x:c>
      <x:c r="I808" s="16" t="n">
        <x:v>1078768.5861176322</x:v>
      </x:c>
      <x:c r="J808" s="16" t="n">
        <x:v>1084497.8649725895</x:v>
      </x:c>
      <x:c r="K808" s="16" t="n">
        <x:v>-5729.278854957316</x:v>
      </x:c>
      <x:c r="L808" s="18" t="n">
        <x:v>-0.0052828862462556</x:v>
      </x:c>
      <x:c r="M808" s="18" t="n">
        <x:v>0</x:v>
      </x:c>
      <x:c r="O808" t="str">
        <x:v>2024-06-13</x:v>
      </x:c>
      <x:c r="P808" t="n">
        <x:v>1078768.5861176322</x:v>
      </x:c>
    </x:row>
    <x:row r="809" ht="15" hidden="0" customHeight="1">
      <x:c r="A809" s="13" t="str">
        <x:v>2024-06-14</x:v>
      </x:c>
      <x:c r="B809" s="13" t="n">
        <x:v>0</x:v>
      </x:c>
      <x:c r="C809" s="13" t="n">
        <x:v>0</x:v>
      </x:c>
      <x:c r="D809" s="16" t="n">
        <x:v>0</x:v>
      </x:c>
      <x:c r="E809" s="16" t="n">
        <x:v>0</x:v>
      </x:c>
      <x:c r="F809" s="16" t="n">
        <x:v>0</x:v>
      </x:c>
      <x:c r="G809" s="16" t="n">
        <x:v>0</x:v>
      </x:c>
      <x:c r="H809" s="16" t="n">
        <x:v>0</x:v>
      </x:c>
      <x:c r="I809" s="16" t="n">
        <x:v>1078768.5861176322</x:v>
      </x:c>
      <x:c r="J809" s="16" t="n">
        <x:v>1084497.8649725895</x:v>
      </x:c>
      <x:c r="K809" s="16" t="n">
        <x:v>-5729.278854957316</x:v>
      </x:c>
      <x:c r="L809" s="18" t="n">
        <x:v>-0.0052828862462556</x:v>
      </x:c>
      <x:c r="M809" s="18" t="n">
        <x:v>0</x:v>
      </x:c>
      <x:c r="O809" t="str">
        <x:v>2024-06-14</x:v>
      </x:c>
      <x:c r="P809" t="n">
        <x:v>1078768.5861176322</x:v>
      </x:c>
    </x:row>
    <x:row r="810" ht="15" hidden="0" customHeight="1">
      <x:c r="A810" s="13" t="str">
        <x:v>2024-06-17</x:v>
      </x:c>
      <x:c r="B810" s="13" t="n">
        <x:v>0</x:v>
      </x:c>
      <x:c r="C810" s="13" t="n">
        <x:v>0</x:v>
      </x:c>
      <x:c r="D810" s="16" t="n">
        <x:v>0</x:v>
      </x:c>
      <x:c r="E810" s="16" t="n">
        <x:v>0</x:v>
      </x:c>
      <x:c r="F810" s="16" t="n">
        <x:v>0</x:v>
      </x:c>
      <x:c r="G810" s="16" t="n">
        <x:v>0</x:v>
      </x:c>
      <x:c r="H810" s="16" t="n">
        <x:v>0</x:v>
      </x:c>
      <x:c r="I810" s="16" t="n">
        <x:v>1078768.5861176322</x:v>
      </x:c>
      <x:c r="J810" s="16" t="n">
        <x:v>1084497.8649725895</x:v>
      </x:c>
      <x:c r="K810" s="16" t="n">
        <x:v>-5729.278854957316</x:v>
      </x:c>
      <x:c r="L810" s="18" t="n">
        <x:v>-0.0052828862462556</x:v>
      </x:c>
      <x:c r="M810" s="18" t="n">
        <x:v>0</x:v>
      </x:c>
      <x:c r="O810" t="str">
        <x:v>2024-06-17</x:v>
      </x:c>
      <x:c r="P810" t="n">
        <x:v>1078768.5861176322</x:v>
      </x:c>
    </x:row>
    <x:row r="811" ht="15" hidden="0" customHeight="1">
      <x:c r="A811" s="13" t="str">
        <x:v>2024-06-18</x:v>
      </x:c>
      <x:c r="B811" s="13" t="n">
        <x:v>0</x:v>
      </x:c>
      <x:c r="C811" s="13" t="n">
        <x:v>0</x:v>
      </x:c>
      <x:c r="D811" s="16" t="n">
        <x:v>0</x:v>
      </x:c>
      <x:c r="E811" s="16" t="n">
        <x:v>0</x:v>
      </x:c>
      <x:c r="F811" s="16" t="n">
        <x:v>0</x:v>
      </x:c>
      <x:c r="G811" s="16" t="n">
        <x:v>0</x:v>
      </x:c>
      <x:c r="H811" s="16" t="n">
        <x:v>0</x:v>
      </x:c>
      <x:c r="I811" s="16" t="n">
        <x:v>1078768.5861176322</x:v>
      </x:c>
      <x:c r="J811" s="16" t="n">
        <x:v>1084497.8649725895</x:v>
      </x:c>
      <x:c r="K811" s="16" t="n">
        <x:v>-5729.278854957316</x:v>
      </x:c>
      <x:c r="L811" s="18" t="n">
        <x:v>-0.0052828862462556</x:v>
      </x:c>
      <x:c r="M811" s="18" t="n">
        <x:v>0</x:v>
      </x:c>
      <x:c r="O811" t="str">
        <x:v>2024-06-18</x:v>
      </x:c>
      <x:c r="P811" t="n">
        <x:v>1078768.5861176322</x:v>
      </x:c>
    </x:row>
    <x:row r="812" ht="15" hidden="0" customHeight="1">
      <x:c r="A812" s="13" t="str">
        <x:v>2024-06-19</x:v>
      </x:c>
      <x:c r="B812" s="13" t="n">
        <x:v>0</x:v>
      </x:c>
      <x:c r="C812" s="13" t="n">
        <x:v>0</x:v>
      </x:c>
      <x:c r="D812" s="16" t="n">
        <x:v>0</x:v>
      </x:c>
      <x:c r="E812" s="16" t="n">
        <x:v>0</x:v>
      </x:c>
      <x:c r="F812" s="16" t="n">
        <x:v>0</x:v>
      </x:c>
      <x:c r="G812" s="16" t="n">
        <x:v>0</x:v>
      </x:c>
      <x:c r="H812" s="16" t="n">
        <x:v>0</x:v>
      </x:c>
      <x:c r="I812" s="16" t="n">
        <x:v>1078768.5861176322</x:v>
      </x:c>
      <x:c r="J812" s="16" t="n">
        <x:v>1084497.8649725895</x:v>
      </x:c>
      <x:c r="K812" s="16" t="n">
        <x:v>-5729.278854957316</x:v>
      </x:c>
      <x:c r="L812" s="18" t="n">
        <x:v>-0.0052828862462556</x:v>
      </x:c>
      <x:c r="M812" s="18" t="n">
        <x:v>0</x:v>
      </x:c>
      <x:c r="O812" t="str">
        <x:v>2024-06-19</x:v>
      </x:c>
      <x:c r="P812" t="n">
        <x:v>1078768.5861176322</x:v>
      </x:c>
    </x:row>
    <x:row r="813" ht="15" hidden="0" customHeight="1">
      <x:c r="A813" s="13" t="str">
        <x:v>2024-06-20</x:v>
      </x:c>
      <x:c r="B813" s="13" t="n">
        <x:v>1</x:v>
      </x:c>
      <x:c r="C813" s="13" t="n">
        <x:v>13</x:v>
      </x:c>
      <x:c r="D813" s="16" t="n">
        <x:v>5508.750000000001</x:v>
      </x:c>
      <x:c r="E813" s="16" t="n">
        <x:v>408.3630710599109</x:v>
      </x:c>
      <x:c r="F813" s="16" t="n">
        <x:v>5100.38692894009</x:v>
      </x:c>
      <x:c r="G813" s="16" t="n">
        <x:v>48953.24946196349</x:v>
      </x:c>
      <x:c r="H813" s="16" t="n">
        <x:v>360089.4832156032</x:v>
      </x:c>
      <x:c r="I813" s="16" t="n">
        <x:v>1083868.9730465724</x:v>
      </x:c>
      <x:c r="J813" s="16" t="n">
        <x:v>1084497.8649725895</x:v>
      </x:c>
      <x:c r="K813" s="16" t="n">
        <x:v>-628.8919260171242</x:v>
      </x:c>
      <x:c r="L813" s="18" t="n">
        <x:v>-0.0005798922674993</x:v>
      </x:c>
      <x:c r="M813" s="18" t="n">
        <x:v>0.0047279713133805</x:v>
      </x:c>
      <x:c r="O813" t="str">
        <x:v>2024-06-20</x:v>
      </x:c>
      <x:c r="P813" t="n">
        <x:v>1083868.9730465724</x:v>
      </x:c>
    </x:row>
    <x:row r="814" ht="15" hidden="0" customHeight="1">
      <x:c r="A814" s="13" t="str">
        <x:v>2024-06-21</x:v>
      </x:c>
      <x:c r="B814" s="13" t="n">
        <x:v>0</x:v>
      </x:c>
      <x:c r="C814" s="13" t="n">
        <x:v>0</x:v>
      </x:c>
      <x:c r="D814" s="16" t="n">
        <x:v>0</x:v>
      </x:c>
      <x:c r="E814" s="16" t="n">
        <x:v>0</x:v>
      </x:c>
      <x:c r="F814" s="16" t="n">
        <x:v>0</x:v>
      </x:c>
      <x:c r="G814" s="16" t="n">
        <x:v>0</x:v>
      </x:c>
      <x:c r="H814" s="16" t="n">
        <x:v>0</x:v>
      </x:c>
      <x:c r="I814" s="16" t="n">
        <x:v>1083868.9730465724</x:v>
      </x:c>
      <x:c r="J814" s="16" t="n">
        <x:v>1084497.8649725895</x:v>
      </x:c>
      <x:c r="K814" s="16" t="n">
        <x:v>-628.8919260171242</x:v>
      </x:c>
      <x:c r="L814" s="18" t="n">
        <x:v>-0.0005798922674993</x:v>
      </x:c>
      <x:c r="M814" s="18" t="n">
        <x:v>0</x:v>
      </x:c>
      <x:c r="O814" t="str">
        <x:v>2024-06-21</x:v>
      </x:c>
      <x:c r="P814" t="n">
        <x:v>1083868.9730465724</x:v>
      </x:c>
    </x:row>
    <x:row r="815" ht="15" hidden="0" customHeight="1">
      <x:c r="A815" s="13" t="str">
        <x:v>2024-06-24</x:v>
      </x:c>
      <x:c r="B815" s="13" t="n">
        <x:v>0</x:v>
      </x:c>
      <x:c r="C815" s="13" t="n">
        <x:v>0</x:v>
      </x:c>
      <x:c r="D815" s="16" t="n">
        <x:v>0</x:v>
      </x:c>
      <x:c r="E815" s="16" t="n">
        <x:v>0</x:v>
      </x:c>
      <x:c r="F815" s="16" t="n">
        <x:v>0</x:v>
      </x:c>
      <x:c r="G815" s="16" t="n">
        <x:v>0</x:v>
      </x:c>
      <x:c r="H815" s="16" t="n">
        <x:v>0</x:v>
      </x:c>
      <x:c r="I815" s="16" t="n">
        <x:v>1083868.9730465724</x:v>
      </x:c>
      <x:c r="J815" s="16" t="n">
        <x:v>1084497.8649725895</x:v>
      </x:c>
      <x:c r="K815" s="16" t="n">
        <x:v>-628.8919260171242</x:v>
      </x:c>
      <x:c r="L815" s="18" t="n">
        <x:v>-0.0005798922674993</x:v>
      </x:c>
      <x:c r="M815" s="18" t="n">
        <x:v>0</x:v>
      </x:c>
      <x:c r="O815" t="str">
        <x:v>2024-06-24</x:v>
      </x:c>
      <x:c r="P815" t="n">
        <x:v>1083868.9730465724</x:v>
      </x:c>
    </x:row>
    <x:row r="816" ht="15" hidden="0" customHeight="1">
      <x:c r="A816" s="13" t="str">
        <x:v>2024-06-25</x:v>
      </x:c>
      <x:c r="B816" s="13" t="n">
        <x:v>0</x:v>
      </x:c>
      <x:c r="C816" s="13" t="n">
        <x:v>0</x:v>
      </x:c>
      <x:c r="D816" s="16" t="n">
        <x:v>0</x:v>
      </x:c>
      <x:c r="E816" s="16" t="n">
        <x:v>0</x:v>
      </x:c>
      <x:c r="F816" s="16" t="n">
        <x:v>0</x:v>
      </x:c>
      <x:c r="G816" s="16" t="n">
        <x:v>0</x:v>
      </x:c>
      <x:c r="H816" s="16" t="n">
        <x:v>0</x:v>
      </x:c>
      <x:c r="I816" s="16" t="n">
        <x:v>1083868.9730465724</x:v>
      </x:c>
      <x:c r="J816" s="16" t="n">
        <x:v>1084497.8649725895</x:v>
      </x:c>
      <x:c r="K816" s="16" t="n">
        <x:v>-628.8919260171242</x:v>
      </x:c>
      <x:c r="L816" s="18" t="n">
        <x:v>-0.0005798922674993</x:v>
      </x:c>
      <x:c r="M816" s="18" t="n">
        <x:v>0</x:v>
      </x:c>
      <x:c r="O816" t="str">
        <x:v>2024-06-25</x:v>
      </x:c>
      <x:c r="P816" t="n">
        <x:v>1083868.9730465724</x:v>
      </x:c>
    </x:row>
    <x:row r="817" ht="15" hidden="0" customHeight="1">
      <x:c r="A817" s="13" t="str">
        <x:v>2024-06-26</x:v>
      </x:c>
      <x:c r="B817" s="13" t="n">
        <x:v>0</x:v>
      </x:c>
      <x:c r="C817" s="13" t="n">
        <x:v>0</x:v>
      </x:c>
      <x:c r="D817" s="16" t="n">
        <x:v>0</x:v>
      </x:c>
      <x:c r="E817" s="16" t="n">
        <x:v>0</x:v>
      </x:c>
      <x:c r="F817" s="16" t="n">
        <x:v>0</x:v>
      </x:c>
      <x:c r="G817" s="16" t="n">
        <x:v>0</x:v>
      </x:c>
      <x:c r="H817" s="16" t="n">
        <x:v>0</x:v>
      </x:c>
      <x:c r="I817" s="16" t="n">
        <x:v>1083868.9730465724</x:v>
      </x:c>
      <x:c r="J817" s="16" t="n">
        <x:v>1084497.8649725895</x:v>
      </x:c>
      <x:c r="K817" s="16" t="n">
        <x:v>-628.8919260171242</x:v>
      </x:c>
      <x:c r="L817" s="18" t="n">
        <x:v>-0.0005798922674993</x:v>
      </x:c>
      <x:c r="M817" s="18" t="n">
        <x:v>0</x:v>
      </x:c>
      <x:c r="O817" t="str">
        <x:v>2024-06-26</x:v>
      </x:c>
      <x:c r="P817" t="n">
        <x:v>1083868.9730465724</x:v>
      </x:c>
    </x:row>
    <x:row r="818" ht="15" hidden="0" customHeight="1">
      <x:c r="A818" s="13" t="str">
        <x:v>2024-06-27</x:v>
      </x:c>
      <x:c r="B818" s="13" t="n">
        <x:v>0</x:v>
      </x:c>
      <x:c r="C818" s="13" t="n">
        <x:v>0</x:v>
      </x:c>
      <x:c r="D818" s="16" t="n">
        <x:v>0</x:v>
      </x:c>
      <x:c r="E818" s="16" t="n">
        <x:v>0</x:v>
      </x:c>
      <x:c r="F818" s="16" t="n">
        <x:v>0</x:v>
      </x:c>
      <x:c r="G818" s="16" t="n">
        <x:v>0</x:v>
      </x:c>
      <x:c r="H818" s="16" t="n">
        <x:v>0</x:v>
      </x:c>
      <x:c r="I818" s="16" t="n">
        <x:v>1083868.9730465724</x:v>
      </x:c>
      <x:c r="J818" s="16" t="n">
        <x:v>1084497.8649725895</x:v>
      </x:c>
      <x:c r="K818" s="16" t="n">
        <x:v>-628.8919260171242</x:v>
      </x:c>
      <x:c r="L818" s="18" t="n">
        <x:v>-0.0005798922674993</x:v>
      </x:c>
      <x:c r="M818" s="18" t="n">
        <x:v>0</x:v>
      </x:c>
      <x:c r="O818" t="str">
        <x:v>2024-06-27</x:v>
      </x:c>
      <x:c r="P818" t="n">
        <x:v>1083868.9730465724</x:v>
      </x:c>
    </x:row>
    <x:row r="819" ht="15" hidden="0" customHeight="1">
      <x:c r="A819" s="13" t="str">
        <x:v>2024-06-28</x:v>
      </x:c>
      <x:c r="B819" s="13" t="n">
        <x:v>0</x:v>
      </x:c>
      <x:c r="C819" s="13" t="n">
        <x:v>0</x:v>
      </x:c>
      <x:c r="D819" s="16" t="n">
        <x:v>0</x:v>
      </x:c>
      <x:c r="E819" s="16" t="n">
        <x:v>0</x:v>
      </x:c>
      <x:c r="F819" s="16" t="n">
        <x:v>0</x:v>
      </x:c>
      <x:c r="G819" s="16" t="n">
        <x:v>0</x:v>
      </x:c>
      <x:c r="H819" s="16" t="n">
        <x:v>0</x:v>
      </x:c>
      <x:c r="I819" s="16" t="n">
        <x:v>1083868.9730465724</x:v>
      </x:c>
      <x:c r="J819" s="16" t="n">
        <x:v>1084497.8649725895</x:v>
      </x:c>
      <x:c r="K819" s="16" t="n">
        <x:v>-628.8919260171242</x:v>
      </x:c>
      <x:c r="L819" s="18" t="n">
        <x:v>-0.0005798922674993</x:v>
      </x:c>
      <x:c r="M819" s="18" t="n">
        <x:v>0</x:v>
      </x:c>
      <x:c r="O819" t="str">
        <x:v>2024-06-28</x:v>
      </x:c>
      <x:c r="P819" t="n">
        <x:v>1083868.9730465724</x:v>
      </x:c>
    </x:row>
    <x:row r="820" ht="15" hidden="0" customHeight="1">
      <x:c r="A820" s="13" t="str">
        <x:v>2024-07-01</x:v>
      </x:c>
      <x:c r="B820" s="13" t="n">
        <x:v>0</x:v>
      </x:c>
      <x:c r="C820" s="13" t="n">
        <x:v>0</x:v>
      </x:c>
      <x:c r="D820" s="16" t="n">
        <x:v>0</x:v>
      </x:c>
      <x:c r="E820" s="16" t="n">
        <x:v>0</x:v>
      </x:c>
      <x:c r="F820" s="16" t="n">
        <x:v>0</x:v>
      </x:c>
      <x:c r="G820" s="16" t="n">
        <x:v>0</x:v>
      </x:c>
      <x:c r="H820" s="16" t="n">
        <x:v>0</x:v>
      </x:c>
      <x:c r="I820" s="16" t="n">
        <x:v>1083868.9730465724</x:v>
      </x:c>
      <x:c r="J820" s="16" t="n">
        <x:v>1084497.8649725895</x:v>
      </x:c>
      <x:c r="K820" s="16" t="n">
        <x:v>-628.8919260171242</x:v>
      </x:c>
      <x:c r="L820" s="18" t="n">
        <x:v>-0.0005798922674993</x:v>
      </x:c>
      <x:c r="M820" s="18" t="n">
        <x:v>0</x:v>
      </x:c>
      <x:c r="O820" t="str">
        <x:v>2024-07-01</x:v>
      </x:c>
      <x:c r="P820" t="n">
        <x:v>1083868.9730465724</x:v>
      </x:c>
    </x:row>
    <x:row r="821" ht="15" hidden="0" customHeight="1">
      <x:c r="A821" s="13" t="str">
        <x:v>2024-07-02</x:v>
      </x:c>
      <x:c r="B821" s="13" t="n">
        <x:v>0</x:v>
      </x:c>
      <x:c r="C821" s="13" t="n">
        <x:v>0</x:v>
      </x:c>
      <x:c r="D821" s="16" t="n">
        <x:v>0</x:v>
      </x:c>
      <x:c r="E821" s="16" t="n">
        <x:v>0</x:v>
      </x:c>
      <x:c r="F821" s="16" t="n">
        <x:v>0</x:v>
      </x:c>
      <x:c r="G821" s="16" t="n">
        <x:v>0</x:v>
      </x:c>
      <x:c r="H821" s="16" t="n">
        <x:v>0</x:v>
      </x:c>
      <x:c r="I821" s="16" t="n">
        <x:v>1083868.9730465724</x:v>
      </x:c>
      <x:c r="J821" s="16" t="n">
        <x:v>1084497.8649725895</x:v>
      </x:c>
      <x:c r="K821" s="16" t="n">
        <x:v>-628.8919260171242</x:v>
      </x:c>
      <x:c r="L821" s="18" t="n">
        <x:v>-0.0005798922674993</x:v>
      </x:c>
      <x:c r="M821" s="18" t="n">
        <x:v>0</x:v>
      </x:c>
      <x:c r="O821" t="str">
        <x:v>2024-07-02</x:v>
      </x:c>
      <x:c r="P821" t="n">
        <x:v>1083868.9730465724</x:v>
      </x:c>
    </x:row>
    <x:row r="822" ht="15" hidden="0" customHeight="1">
      <x:c r="A822" s="13" t="str">
        <x:v>2024-07-03</x:v>
      </x:c>
      <x:c r="B822" s="13" t="n">
        <x:v>0</x:v>
      </x:c>
      <x:c r="C822" s="13" t="n">
        <x:v>0</x:v>
      </x:c>
      <x:c r="D822" s="16" t="n">
        <x:v>0</x:v>
      </x:c>
      <x:c r="E822" s="16" t="n">
        <x:v>0</x:v>
      </x:c>
      <x:c r="F822" s="16" t="n">
        <x:v>0</x:v>
      </x:c>
      <x:c r="G822" s="16" t="n">
        <x:v>0</x:v>
      </x:c>
      <x:c r="H822" s="16" t="n">
        <x:v>0</x:v>
      </x:c>
      <x:c r="I822" s="16" t="n">
        <x:v>1083868.9730465724</x:v>
      </x:c>
      <x:c r="J822" s="16" t="n">
        <x:v>1084497.8649725895</x:v>
      </x:c>
      <x:c r="K822" s="16" t="n">
        <x:v>-628.8919260171242</x:v>
      </x:c>
      <x:c r="L822" s="18" t="n">
        <x:v>-0.0005798922674993</x:v>
      </x:c>
      <x:c r="M822" s="18" t="n">
        <x:v>0</x:v>
      </x:c>
      <x:c r="O822" t="str">
        <x:v>2024-07-03</x:v>
      </x:c>
      <x:c r="P822" t="n">
        <x:v>1083868.9730465724</x:v>
      </x:c>
    </x:row>
    <x:row r="823" ht="15" hidden="0" customHeight="1">
      <x:c r="A823" s="13" t="str">
        <x:v>2024-07-04</x:v>
      </x:c>
      <x:c r="B823" s="13" t="n">
        <x:v>0</x:v>
      </x:c>
      <x:c r="C823" s="13" t="n">
        <x:v>0</x:v>
      </x:c>
      <x:c r="D823" s="16" t="n">
        <x:v>0</x:v>
      </x:c>
      <x:c r="E823" s="16" t="n">
        <x:v>0</x:v>
      </x:c>
      <x:c r="F823" s="16" t="n">
        <x:v>0</x:v>
      </x:c>
      <x:c r="G823" s="16" t="n">
        <x:v>0</x:v>
      </x:c>
      <x:c r="H823" s="16" t="n">
        <x:v>0</x:v>
      </x:c>
      <x:c r="I823" s="16" t="n">
        <x:v>1083868.9730465724</x:v>
      </x:c>
      <x:c r="J823" s="16" t="n">
        <x:v>1084497.8649725895</x:v>
      </x:c>
      <x:c r="K823" s="16" t="n">
        <x:v>-628.8919260171242</x:v>
      </x:c>
      <x:c r="L823" s="18" t="n">
        <x:v>-0.0005798922674993</x:v>
      </x:c>
      <x:c r="M823" s="18" t="n">
        <x:v>0</x:v>
      </x:c>
      <x:c r="O823" t="str">
        <x:v>2024-07-04</x:v>
      </x:c>
      <x:c r="P823" t="n">
        <x:v>1083868.9730465724</x:v>
      </x:c>
    </x:row>
    <x:row r="824" ht="15" hidden="0" customHeight="1">
      <x:c r="A824" s="13" t="str">
        <x:v>2024-07-05</x:v>
      </x:c>
      <x:c r="B824" s="13" t="n">
        <x:v>0</x:v>
      </x:c>
      <x:c r="C824" s="13" t="n">
        <x:v>0</x:v>
      </x:c>
      <x:c r="D824" s="16" t="n">
        <x:v>0</x:v>
      </x:c>
      <x:c r="E824" s="16" t="n">
        <x:v>0</x:v>
      </x:c>
      <x:c r="F824" s="16" t="n">
        <x:v>0</x:v>
      </x:c>
      <x:c r="G824" s="16" t="n">
        <x:v>0</x:v>
      </x:c>
      <x:c r="H824" s="16" t="n">
        <x:v>0</x:v>
      </x:c>
      <x:c r="I824" s="16" t="n">
        <x:v>1083868.9730465724</x:v>
      </x:c>
      <x:c r="J824" s="16" t="n">
        <x:v>1084497.8649725895</x:v>
      </x:c>
      <x:c r="K824" s="16" t="n">
        <x:v>-628.8919260171242</x:v>
      </x:c>
      <x:c r="L824" s="18" t="n">
        <x:v>-0.0005798922674993</x:v>
      </x:c>
      <x:c r="M824" s="18" t="n">
        <x:v>0</x:v>
      </x:c>
      <x:c r="O824" t="str">
        <x:v>2024-07-05</x:v>
      </x:c>
      <x:c r="P824" t="n">
        <x:v>1083868.9730465724</x:v>
      </x:c>
    </x:row>
    <x:row r="825" ht="15" hidden="0" customHeight="1">
      <x:c r="A825" s="13" t="str">
        <x:v>2024-07-08</x:v>
      </x:c>
      <x:c r="B825" s="13" t="n">
        <x:v>0</x:v>
      </x:c>
      <x:c r="C825" s="13" t="n">
        <x:v>0</x:v>
      </x:c>
      <x:c r="D825" s="16" t="n">
        <x:v>0</x:v>
      </x:c>
      <x:c r="E825" s="16" t="n">
        <x:v>0</x:v>
      </x:c>
      <x:c r="F825" s="16" t="n">
        <x:v>0</x:v>
      </x:c>
      <x:c r="G825" s="16" t="n">
        <x:v>0</x:v>
      </x:c>
      <x:c r="H825" s="16" t="n">
        <x:v>0</x:v>
      </x:c>
      <x:c r="I825" s="16" t="n">
        <x:v>1083868.9730465724</x:v>
      </x:c>
      <x:c r="J825" s="16" t="n">
        <x:v>1084497.8649725895</x:v>
      </x:c>
      <x:c r="K825" s="16" t="n">
        <x:v>-628.8919260171242</x:v>
      </x:c>
      <x:c r="L825" s="18" t="n">
        <x:v>-0.0005798922674993</x:v>
      </x:c>
      <x:c r="M825" s="18" t="n">
        <x:v>0</x:v>
      </x:c>
      <x:c r="O825" t="str">
        <x:v>2024-07-08</x:v>
      </x:c>
      <x:c r="P825" t="n">
        <x:v>1083868.9730465724</x:v>
      </x:c>
    </x:row>
    <x:row r="826" ht="15" hidden="0" customHeight="1">
      <x:c r="A826" s="13" t="str">
        <x:v>2024-07-09</x:v>
      </x:c>
      <x:c r="B826" s="13" t="n">
        <x:v>0</x:v>
      </x:c>
      <x:c r="C826" s="13" t="n">
        <x:v>0</x:v>
      </x:c>
      <x:c r="D826" s="16" t="n">
        <x:v>0</x:v>
      </x:c>
      <x:c r="E826" s="16" t="n">
        <x:v>0</x:v>
      </x:c>
      <x:c r="F826" s="16" t="n">
        <x:v>0</x:v>
      </x:c>
      <x:c r="G826" s="16" t="n">
        <x:v>0</x:v>
      </x:c>
      <x:c r="H826" s="16" t="n">
        <x:v>0</x:v>
      </x:c>
      <x:c r="I826" s="16" t="n">
        <x:v>1083868.9730465724</x:v>
      </x:c>
      <x:c r="J826" s="16" t="n">
        <x:v>1084497.8649725895</x:v>
      </x:c>
      <x:c r="K826" s="16" t="n">
        <x:v>-628.8919260171242</x:v>
      </x:c>
      <x:c r="L826" s="18" t="n">
        <x:v>-0.0005798922674993</x:v>
      </x:c>
      <x:c r="M826" s="18" t="n">
        <x:v>0</x:v>
      </x:c>
      <x:c r="O826" t="str">
        <x:v>2024-07-09</x:v>
      </x:c>
      <x:c r="P826" t="n">
        <x:v>1083868.9730465724</x:v>
      </x:c>
    </x:row>
    <x:row r="827" ht="15" hidden="0" customHeight="1">
      <x:c r="A827" s="13" t="str">
        <x:v>2024-07-10</x:v>
      </x:c>
      <x:c r="B827" s="13" t="n">
        <x:v>0</x:v>
      </x:c>
      <x:c r="C827" s="13" t="n">
        <x:v>0</x:v>
      </x:c>
      <x:c r="D827" s="16" t="n">
        <x:v>0</x:v>
      </x:c>
      <x:c r="E827" s="16" t="n">
        <x:v>0</x:v>
      </x:c>
      <x:c r="F827" s="16" t="n">
        <x:v>0</x:v>
      </x:c>
      <x:c r="G827" s="16" t="n">
        <x:v>0</x:v>
      </x:c>
      <x:c r="H827" s="16" t="n">
        <x:v>0</x:v>
      </x:c>
      <x:c r="I827" s="16" t="n">
        <x:v>1083868.9730465724</x:v>
      </x:c>
      <x:c r="J827" s="16" t="n">
        <x:v>1084497.8649725895</x:v>
      </x:c>
      <x:c r="K827" s="16" t="n">
        <x:v>-628.8919260171242</x:v>
      </x:c>
      <x:c r="L827" s="18" t="n">
        <x:v>-0.0005798922674993</x:v>
      </x:c>
      <x:c r="M827" s="18" t="n">
        <x:v>0</x:v>
      </x:c>
      <x:c r="O827" t="str">
        <x:v>2024-07-10</x:v>
      </x:c>
      <x:c r="P827" t="n">
        <x:v>1083868.9730465724</x:v>
      </x:c>
    </x:row>
    <x:row r="828" ht="15" hidden="0" customHeight="1">
      <x:c r="A828" s="13" t="str">
        <x:v>2024-07-11</x:v>
      </x:c>
      <x:c r="B828" s="13" t="n">
        <x:v>0</x:v>
      </x:c>
      <x:c r="C828" s="13" t="n">
        <x:v>0</x:v>
      </x:c>
      <x:c r="D828" s="16" t="n">
        <x:v>0</x:v>
      </x:c>
      <x:c r="E828" s="16" t="n">
        <x:v>0</x:v>
      </x:c>
      <x:c r="F828" s="16" t="n">
        <x:v>0</x:v>
      </x:c>
      <x:c r="G828" s="16" t="n">
        <x:v>0</x:v>
      </x:c>
      <x:c r="H828" s="16" t="n">
        <x:v>0</x:v>
      </x:c>
      <x:c r="I828" s="16" t="n">
        <x:v>1083868.9730465724</x:v>
      </x:c>
      <x:c r="J828" s="16" t="n">
        <x:v>1084497.8649725895</x:v>
      </x:c>
      <x:c r="K828" s="16" t="n">
        <x:v>-628.8919260171242</x:v>
      </x:c>
      <x:c r="L828" s="18" t="n">
        <x:v>-0.0005798922674993</x:v>
      </x:c>
      <x:c r="M828" s="18" t="n">
        <x:v>0</x:v>
      </x:c>
      <x:c r="O828" t="str">
        <x:v>2024-07-11</x:v>
      </x:c>
      <x:c r="P828" t="n">
        <x:v>1083868.9730465724</x:v>
      </x:c>
    </x:row>
    <x:row r="829" ht="15" hidden="0" customHeight="1">
      <x:c r="A829" s="13" t="str">
        <x:v>2024-07-12</x:v>
      </x:c>
      <x:c r="B829" s="13" t="n">
        <x:v>0</x:v>
      </x:c>
      <x:c r="C829" s="13" t="n">
        <x:v>0</x:v>
      </x:c>
      <x:c r="D829" s="16" t="n">
        <x:v>0</x:v>
      </x:c>
      <x:c r="E829" s="16" t="n">
        <x:v>0</x:v>
      </x:c>
      <x:c r="F829" s="16" t="n">
        <x:v>0</x:v>
      </x:c>
      <x:c r="G829" s="16" t="n">
        <x:v>0</x:v>
      </x:c>
      <x:c r="H829" s="16" t="n">
        <x:v>0</x:v>
      </x:c>
      <x:c r="I829" s="16" t="n">
        <x:v>1083868.9730465724</x:v>
      </x:c>
      <x:c r="J829" s="16" t="n">
        <x:v>1084497.8649725895</x:v>
      </x:c>
      <x:c r="K829" s="16" t="n">
        <x:v>-628.8919260171242</x:v>
      </x:c>
      <x:c r="L829" s="18" t="n">
        <x:v>-0.0005798922674993</x:v>
      </x:c>
      <x:c r="M829" s="18" t="n">
        <x:v>0</x:v>
      </x:c>
      <x:c r="O829" t="str">
        <x:v>2024-07-12</x:v>
      </x:c>
      <x:c r="P829" t="n">
        <x:v>1083868.9730465724</x:v>
      </x:c>
    </x:row>
    <x:row r="830" ht="15" hidden="0" customHeight="1">
      <x:c r="A830" s="13" t="str">
        <x:v>2024-07-15</x:v>
      </x:c>
      <x:c r="B830" s="13" t="n">
        <x:v>0</x:v>
      </x:c>
      <x:c r="C830" s="13" t="n">
        <x:v>0</x:v>
      </x:c>
      <x:c r="D830" s="16" t="n">
        <x:v>0</x:v>
      </x:c>
      <x:c r="E830" s="16" t="n">
        <x:v>0</x:v>
      </x:c>
      <x:c r="F830" s="16" t="n">
        <x:v>0</x:v>
      </x:c>
      <x:c r="G830" s="16" t="n">
        <x:v>0</x:v>
      </x:c>
      <x:c r="H830" s="16" t="n">
        <x:v>0</x:v>
      </x:c>
      <x:c r="I830" s="16" t="n">
        <x:v>1083868.9730465724</x:v>
      </x:c>
      <x:c r="J830" s="16" t="n">
        <x:v>1084497.8649725895</x:v>
      </x:c>
      <x:c r="K830" s="16" t="n">
        <x:v>-628.8919260171242</x:v>
      </x:c>
      <x:c r="L830" s="18" t="n">
        <x:v>-0.0005798922674993</x:v>
      </x:c>
      <x:c r="M830" s="18" t="n">
        <x:v>0</x:v>
      </x:c>
      <x:c r="O830" t="str">
        <x:v>2024-07-15</x:v>
      </x:c>
      <x:c r="P830" t="n">
        <x:v>1083868.9730465724</x:v>
      </x:c>
    </x:row>
    <x:row r="831" ht="15" hidden="0" customHeight="1">
      <x:c r="A831" s="13" t="str">
        <x:v>2024-07-16</x:v>
      </x:c>
      <x:c r="B831" s="13" t="n">
        <x:v>0</x:v>
      </x:c>
      <x:c r="C831" s="13" t="n">
        <x:v>0</x:v>
      </x:c>
      <x:c r="D831" s="16" t="n">
        <x:v>0</x:v>
      </x:c>
      <x:c r="E831" s="16" t="n">
        <x:v>0</x:v>
      </x:c>
      <x:c r="F831" s="16" t="n">
        <x:v>0</x:v>
      </x:c>
      <x:c r="G831" s="16" t="n">
        <x:v>0</x:v>
      </x:c>
      <x:c r="H831" s="16" t="n">
        <x:v>0</x:v>
      </x:c>
      <x:c r="I831" s="16" t="n">
        <x:v>1083868.9730465724</x:v>
      </x:c>
      <x:c r="J831" s="16" t="n">
        <x:v>1084497.8649725895</x:v>
      </x:c>
      <x:c r="K831" s="16" t="n">
        <x:v>-628.8919260171242</x:v>
      </x:c>
      <x:c r="L831" s="18" t="n">
        <x:v>-0.0005798922674993</x:v>
      </x:c>
      <x:c r="M831" s="18" t="n">
        <x:v>0</x:v>
      </x:c>
      <x:c r="O831" t="str">
        <x:v>2024-07-16</x:v>
      </x:c>
      <x:c r="P831" t="n">
        <x:v>1083868.9730465724</x:v>
      </x:c>
    </x:row>
    <x:row r="832" ht="15" hidden="0" customHeight="1">
      <x:c r="A832" s="13" t="str">
        <x:v>2024-07-17</x:v>
      </x:c>
      <x:c r="B832" s="13" t="n">
        <x:v>0</x:v>
      </x:c>
      <x:c r="C832" s="13" t="n">
        <x:v>0</x:v>
      </x:c>
      <x:c r="D832" s="16" t="n">
        <x:v>0</x:v>
      </x:c>
      <x:c r="E832" s="16" t="n">
        <x:v>0</x:v>
      </x:c>
      <x:c r="F832" s="16" t="n">
        <x:v>0</x:v>
      </x:c>
      <x:c r="G832" s="16" t="n">
        <x:v>0</x:v>
      </x:c>
      <x:c r="H832" s="16" t="n">
        <x:v>0</x:v>
      </x:c>
      <x:c r="I832" s="16" t="n">
        <x:v>1083868.9730465724</x:v>
      </x:c>
      <x:c r="J832" s="16" t="n">
        <x:v>1084497.8649725895</x:v>
      </x:c>
      <x:c r="K832" s="16" t="n">
        <x:v>-628.8919260171242</x:v>
      </x:c>
      <x:c r="L832" s="18" t="n">
        <x:v>-0.0005798922674993</x:v>
      </x:c>
      <x:c r="M832" s="18" t="n">
        <x:v>0</x:v>
      </x:c>
      <x:c r="O832" t="str">
        <x:v>2024-07-17</x:v>
      </x:c>
      <x:c r="P832" t="n">
        <x:v>1083868.9730465724</x:v>
      </x:c>
    </x:row>
    <x:row r="833" ht="15" hidden="0" customHeight="1">
      <x:c r="A833" s="13" t="str">
        <x:v>2024-07-18</x:v>
      </x:c>
      <x:c r="B833" s="13" t="n">
        <x:v>0</x:v>
      </x:c>
      <x:c r="C833" s="13" t="n">
        <x:v>0</x:v>
      </x:c>
      <x:c r="D833" s="16" t="n">
        <x:v>0</x:v>
      </x:c>
      <x:c r="E833" s="16" t="n">
        <x:v>0</x:v>
      </x:c>
      <x:c r="F833" s="16" t="n">
        <x:v>0</x:v>
      </x:c>
      <x:c r="G833" s="16" t="n">
        <x:v>0</x:v>
      </x:c>
      <x:c r="H833" s="16" t="n">
        <x:v>0</x:v>
      </x:c>
      <x:c r="I833" s="16" t="n">
        <x:v>1083868.9730465724</x:v>
      </x:c>
      <x:c r="J833" s="16" t="n">
        <x:v>1084497.8649725895</x:v>
      </x:c>
      <x:c r="K833" s="16" t="n">
        <x:v>-628.8919260171242</x:v>
      </x:c>
      <x:c r="L833" s="18" t="n">
        <x:v>-0.0005798922674993</x:v>
      </x:c>
      <x:c r="M833" s="18" t="n">
        <x:v>0</x:v>
      </x:c>
      <x:c r="O833" t="str">
        <x:v>2024-07-18</x:v>
      </x:c>
      <x:c r="P833" t="n">
        <x:v>1083868.9730465724</x:v>
      </x:c>
    </x:row>
    <x:row r="834" ht="15" hidden="0" customHeight="1">
      <x:c r="A834" s="13" t="str">
        <x:v>2024-07-19</x:v>
      </x:c>
      <x:c r="B834" s="13" t="n">
        <x:v>0</x:v>
      </x:c>
      <x:c r="C834" s="13" t="n">
        <x:v>0</x:v>
      </x:c>
      <x:c r="D834" s="16" t="n">
        <x:v>0</x:v>
      </x:c>
      <x:c r="E834" s="16" t="n">
        <x:v>0</x:v>
      </x:c>
      <x:c r="F834" s="16" t="n">
        <x:v>0</x:v>
      </x:c>
      <x:c r="G834" s="16" t="n">
        <x:v>0</x:v>
      </x:c>
      <x:c r="H834" s="16" t="n">
        <x:v>0</x:v>
      </x:c>
      <x:c r="I834" s="16" t="n">
        <x:v>1083868.9730465724</x:v>
      </x:c>
      <x:c r="J834" s="16" t="n">
        <x:v>1084497.8649725895</x:v>
      </x:c>
      <x:c r="K834" s="16" t="n">
        <x:v>-628.8919260171242</x:v>
      </x:c>
      <x:c r="L834" s="18" t="n">
        <x:v>-0.0005798922674993</x:v>
      </x:c>
      <x:c r="M834" s="18" t="n">
        <x:v>0</x:v>
      </x:c>
      <x:c r="O834" t="str">
        <x:v>2024-07-19</x:v>
      </x:c>
      <x:c r="P834" t="n">
        <x:v>1083868.9730465724</x:v>
      </x:c>
    </x:row>
    <x:row r="835" ht="15" hidden="0" customHeight="1">
      <x:c r="A835" s="13" t="str">
        <x:v>2024-07-22</x:v>
      </x:c>
      <x:c r="B835" s="13" t="n">
        <x:v>0</x:v>
      </x:c>
      <x:c r="C835" s="13" t="n">
        <x:v>0</x:v>
      </x:c>
      <x:c r="D835" s="16" t="n">
        <x:v>0</x:v>
      </x:c>
      <x:c r="E835" s="16" t="n">
        <x:v>0</x:v>
      </x:c>
      <x:c r="F835" s="16" t="n">
        <x:v>0</x:v>
      </x:c>
      <x:c r="G835" s="16" t="n">
        <x:v>0</x:v>
      </x:c>
      <x:c r="H835" s="16" t="n">
        <x:v>0</x:v>
      </x:c>
      <x:c r="I835" s="16" t="n">
        <x:v>1083868.9730465724</x:v>
      </x:c>
      <x:c r="J835" s="16" t="n">
        <x:v>1084497.8649725895</x:v>
      </x:c>
      <x:c r="K835" s="16" t="n">
        <x:v>-628.8919260171242</x:v>
      </x:c>
      <x:c r="L835" s="18" t="n">
        <x:v>-0.0005798922674993</x:v>
      </x:c>
      <x:c r="M835" s="18" t="n">
        <x:v>0</x:v>
      </x:c>
      <x:c r="O835" t="str">
        <x:v>2024-07-22</x:v>
      </x:c>
      <x:c r="P835" t="n">
        <x:v>1083868.9730465724</x:v>
      </x:c>
    </x:row>
    <x:row r="836" ht="15" hidden="0" customHeight="1">
      <x:c r="A836" s="13" t="str">
        <x:v>2024-07-23</x:v>
      </x:c>
      <x:c r="B836" s="13" t="n">
        <x:v>0</x:v>
      </x:c>
      <x:c r="C836" s="13" t="n">
        <x:v>0</x:v>
      </x:c>
      <x:c r="D836" s="16" t="n">
        <x:v>0</x:v>
      </x:c>
      <x:c r="E836" s="16" t="n">
        <x:v>0</x:v>
      </x:c>
      <x:c r="F836" s="16" t="n">
        <x:v>0</x:v>
      </x:c>
      <x:c r="G836" s="16" t="n">
        <x:v>0</x:v>
      </x:c>
      <x:c r="H836" s="16" t="n">
        <x:v>0</x:v>
      </x:c>
      <x:c r="I836" s="16" t="n">
        <x:v>1083868.9730465724</x:v>
      </x:c>
      <x:c r="J836" s="16" t="n">
        <x:v>1084497.8649725895</x:v>
      </x:c>
      <x:c r="K836" s="16" t="n">
        <x:v>-628.8919260171242</x:v>
      </x:c>
      <x:c r="L836" s="18" t="n">
        <x:v>-0.0005798922674993</x:v>
      </x:c>
      <x:c r="M836" s="18" t="n">
        <x:v>0</x:v>
      </x:c>
      <x:c r="O836" t="str">
        <x:v>2024-07-23</x:v>
      </x:c>
      <x:c r="P836" t="n">
        <x:v>1083868.9730465724</x:v>
      </x:c>
    </x:row>
    <x:row r="837" ht="15" hidden="0" customHeight="1">
      <x:c r="A837" s="13" t="str">
        <x:v>2024-07-24</x:v>
      </x:c>
      <x:c r="B837" s="13" t="n">
        <x:v>0</x:v>
      </x:c>
      <x:c r="C837" s="13" t="n">
        <x:v>0</x:v>
      </x:c>
      <x:c r="D837" s="16" t="n">
        <x:v>0</x:v>
      </x:c>
      <x:c r="E837" s="16" t="n">
        <x:v>0</x:v>
      </x:c>
      <x:c r="F837" s="16" t="n">
        <x:v>0</x:v>
      </x:c>
      <x:c r="G837" s="16" t="n">
        <x:v>0</x:v>
      </x:c>
      <x:c r="H837" s="16" t="n">
        <x:v>0</x:v>
      </x:c>
      <x:c r="I837" s="16" t="n">
        <x:v>1083868.9730465724</x:v>
      </x:c>
      <x:c r="J837" s="16" t="n">
        <x:v>1084497.8649725895</x:v>
      </x:c>
      <x:c r="K837" s="16" t="n">
        <x:v>-628.8919260171242</x:v>
      </x:c>
      <x:c r="L837" s="18" t="n">
        <x:v>-0.0005798922674993</x:v>
      </x:c>
      <x:c r="M837" s="18" t="n">
        <x:v>0</x:v>
      </x:c>
      <x:c r="O837" t="str">
        <x:v>2024-07-24</x:v>
      </x:c>
      <x:c r="P837" t="n">
        <x:v>1083868.9730465724</x:v>
      </x:c>
    </x:row>
    <x:row r="838" ht="15" hidden="0" customHeight="1">
      <x:c r="A838" s="13" t="str">
        <x:v>2024-07-25</x:v>
      </x:c>
      <x:c r="B838" s="13" t="n">
        <x:v>0</x:v>
      </x:c>
      <x:c r="C838" s="13" t="n">
        <x:v>0</x:v>
      </x:c>
      <x:c r="D838" s="16" t="n">
        <x:v>0</x:v>
      </x:c>
      <x:c r="E838" s="16" t="n">
        <x:v>0</x:v>
      </x:c>
      <x:c r="F838" s="16" t="n">
        <x:v>0</x:v>
      </x:c>
      <x:c r="G838" s="16" t="n">
        <x:v>0</x:v>
      </x:c>
      <x:c r="H838" s="16" t="n">
        <x:v>0</x:v>
      </x:c>
      <x:c r="I838" s="16" t="n">
        <x:v>1083868.9730465724</x:v>
      </x:c>
      <x:c r="J838" s="16" t="n">
        <x:v>1084497.8649725895</x:v>
      </x:c>
      <x:c r="K838" s="16" t="n">
        <x:v>-628.8919260171242</x:v>
      </x:c>
      <x:c r="L838" s="18" t="n">
        <x:v>-0.0005798922674993</x:v>
      </x:c>
      <x:c r="M838" s="18" t="n">
        <x:v>0</x:v>
      </x:c>
      <x:c r="O838" t="str">
        <x:v>2024-07-25</x:v>
      </x:c>
      <x:c r="P838" t="n">
        <x:v>1083868.9730465724</x:v>
      </x:c>
    </x:row>
    <x:row r="839" ht="15" hidden="0" customHeight="1">
      <x:c r="A839" s="13" t="str">
        <x:v>2024-07-26</x:v>
      </x:c>
      <x:c r="B839" s="13" t="n">
        <x:v>0</x:v>
      </x:c>
      <x:c r="C839" s="13" t="n">
        <x:v>0</x:v>
      </x:c>
      <x:c r="D839" s="16" t="n">
        <x:v>0</x:v>
      </x:c>
      <x:c r="E839" s="16" t="n">
        <x:v>0</x:v>
      </x:c>
      <x:c r="F839" s="16" t="n">
        <x:v>0</x:v>
      </x:c>
      <x:c r="G839" s="16" t="n">
        <x:v>0</x:v>
      </x:c>
      <x:c r="H839" s="16" t="n">
        <x:v>0</x:v>
      </x:c>
      <x:c r="I839" s="16" t="n">
        <x:v>1083868.9730465724</x:v>
      </x:c>
      <x:c r="J839" s="16" t="n">
        <x:v>1084497.8649725895</x:v>
      </x:c>
      <x:c r="K839" s="16" t="n">
        <x:v>-628.8919260171242</x:v>
      </x:c>
      <x:c r="L839" s="18" t="n">
        <x:v>-0.0005798922674993</x:v>
      </x:c>
      <x:c r="M839" s="18" t="n">
        <x:v>0</x:v>
      </x:c>
      <x:c r="O839" t="str">
        <x:v>2024-07-26</x:v>
      </x:c>
      <x:c r="P839" t="n">
        <x:v>1083868.9730465724</x:v>
      </x:c>
    </x:row>
    <x:row r="840" ht="15" hidden="0" customHeight="1">
      <x:c r="A840" s="13" t="str">
        <x:v>2024-07-29</x:v>
      </x:c>
      <x:c r="B840" s="13" t="n">
        <x:v>0</x:v>
      </x:c>
      <x:c r="C840" s="13" t="n">
        <x:v>0</x:v>
      </x:c>
      <x:c r="D840" s="16" t="n">
        <x:v>0</x:v>
      </x:c>
      <x:c r="E840" s="16" t="n">
        <x:v>0</x:v>
      </x:c>
      <x:c r="F840" s="16" t="n">
        <x:v>0</x:v>
      </x:c>
      <x:c r="G840" s="16" t="n">
        <x:v>0</x:v>
      </x:c>
      <x:c r="H840" s="16" t="n">
        <x:v>0</x:v>
      </x:c>
      <x:c r="I840" s="16" t="n">
        <x:v>1083868.9730465724</x:v>
      </x:c>
      <x:c r="J840" s="16" t="n">
        <x:v>1084497.8649725895</x:v>
      </x:c>
      <x:c r="K840" s="16" t="n">
        <x:v>-628.8919260171242</x:v>
      </x:c>
      <x:c r="L840" s="18" t="n">
        <x:v>-0.0005798922674993</x:v>
      </x:c>
      <x:c r="M840" s="18" t="n">
        <x:v>0</x:v>
      </x:c>
      <x:c r="O840" t="str">
        <x:v>2024-07-29</x:v>
      </x:c>
      <x:c r="P840" t="n">
        <x:v>1083868.9730465724</x:v>
      </x:c>
    </x:row>
    <x:row r="841" ht="15" hidden="0" customHeight="1">
      <x:c r="A841" s="13" t="str">
        <x:v>2024-07-30</x:v>
      </x:c>
      <x:c r="B841" s="13" t="n">
        <x:v>0</x:v>
      </x:c>
      <x:c r="C841" s="13" t="n">
        <x:v>0</x:v>
      </x:c>
      <x:c r="D841" s="16" t="n">
        <x:v>0</x:v>
      </x:c>
      <x:c r="E841" s="16" t="n">
        <x:v>0</x:v>
      </x:c>
      <x:c r="F841" s="16" t="n">
        <x:v>0</x:v>
      </x:c>
      <x:c r="G841" s="16" t="n">
        <x:v>0</x:v>
      </x:c>
      <x:c r="H841" s="16" t="n">
        <x:v>0</x:v>
      </x:c>
      <x:c r="I841" s="16" t="n">
        <x:v>1083868.9730465724</x:v>
      </x:c>
      <x:c r="J841" s="16" t="n">
        <x:v>1084497.8649725895</x:v>
      </x:c>
      <x:c r="K841" s="16" t="n">
        <x:v>-628.8919260171242</x:v>
      </x:c>
      <x:c r="L841" s="18" t="n">
        <x:v>-0.0005798922674993</x:v>
      </x:c>
      <x:c r="M841" s="18" t="n">
        <x:v>0</x:v>
      </x:c>
      <x:c r="O841" t="str">
        <x:v>2024-07-30</x:v>
      </x:c>
      <x:c r="P841" t="n">
        <x:v>1083868.9730465724</x:v>
      </x:c>
    </x:row>
    <x:row r="842" ht="15" hidden="0" customHeight="1">
      <x:c r="A842" s="13" t="str">
        <x:v>2024-07-31</x:v>
      </x:c>
      <x:c r="B842" s="13" t="n">
        <x:v>0</x:v>
      </x:c>
      <x:c r="C842" s="13" t="n">
        <x:v>0</x:v>
      </x:c>
      <x:c r="D842" s="16" t="n">
        <x:v>0</x:v>
      </x:c>
      <x:c r="E842" s="16" t="n">
        <x:v>0</x:v>
      </x:c>
      <x:c r="F842" s="16" t="n">
        <x:v>0</x:v>
      </x:c>
      <x:c r="G842" s="16" t="n">
        <x:v>0</x:v>
      </x:c>
      <x:c r="H842" s="16" t="n">
        <x:v>0</x:v>
      </x:c>
      <x:c r="I842" s="16" t="n">
        <x:v>1083868.9730465724</x:v>
      </x:c>
      <x:c r="J842" s="16" t="n">
        <x:v>1084497.8649725895</x:v>
      </x:c>
      <x:c r="K842" s="16" t="n">
        <x:v>-628.8919260171242</x:v>
      </x:c>
      <x:c r="L842" s="18" t="n">
        <x:v>-0.0005798922674993</x:v>
      </x:c>
      <x:c r="M842" s="18" t="n">
        <x:v>0</x:v>
      </x:c>
      <x:c r="O842" t="str">
        <x:v>2024-07-31</x:v>
      </x:c>
      <x:c r="P842" t="n">
        <x:v>1083868.9730465724</x:v>
      </x:c>
    </x:row>
    <x:row r="843" ht="15" hidden="0" customHeight="1">
      <x:c r="A843" s="13" t="str">
        <x:v>2024-08-01</x:v>
      </x:c>
      <x:c r="B843" s="13" t="n">
        <x:v>1</x:v>
      </x:c>
      <x:c r="C843" s="13" t="n">
        <x:v>13</x:v>
      </x:c>
      <x:c r="D843" s="16" t="n">
        <x:v>4322.5</x:v>
      </x:c>
      <x:c r="E843" s="16" t="n">
        <x:v>418.5111448748301</x:v>
      </x:c>
      <x:c r="F843" s="16" t="n">
        <x:v>3903.9888551251697</x:v>
      </x:c>
      <x:c r="G843" s="16" t="n">
        <x:v>53034.095650415205</x:v>
      </x:c>
      <x:c r="H843" s="16" t="n">
        <x:v>376644.3619574546</x:v>
      </x:c>
      <x:c r="I843" s="16" t="n">
        <x:v>1087772.9619016976</x:v>
      </x:c>
      <x:c r="J843" s="16" t="n">
        <x:v>1087772.9619016976</x:v>
      </x:c>
      <x:c r="K843" s="16" t="n">
        <x:v>0</x:v>
      </x:c>
      <x:c r="L843" s="18" t="n">
        <x:v>0</x:v>
      </x:c>
      <x:c r="M843" s="18" t="n">
        <x:v>0.0036019011081678</x:v>
      </x:c>
      <x:c r="O843" t="str">
        <x:v>2024-08-01</x:v>
      </x:c>
      <x:c r="P843" t="n">
        <x:v>1087772.9619016976</x:v>
      </x:c>
    </x:row>
    <x:row r="844" ht="15" hidden="0" customHeight="1">
      <x:c r="A844" s="13" t="str">
        <x:v>2024-08-02</x:v>
      </x:c>
      <x:c r="B844" s="13" t="n">
        <x:v>0</x:v>
      </x:c>
      <x:c r="C844" s="13" t="n">
        <x:v>0</x:v>
      </x:c>
      <x:c r="D844" s="16" t="n">
        <x:v>0</x:v>
      </x:c>
      <x:c r="E844" s="16" t="n">
        <x:v>0</x:v>
      </x:c>
      <x:c r="F844" s="16" t="n">
        <x:v>0</x:v>
      </x:c>
      <x:c r="G844" s="16" t="n">
        <x:v>0</x:v>
      </x:c>
      <x:c r="H844" s="16" t="n">
        <x:v>0</x:v>
      </x:c>
      <x:c r="I844" s="16" t="n">
        <x:v>1087772.9619016976</x:v>
      </x:c>
      <x:c r="J844" s="16" t="n">
        <x:v>1087772.9619016976</x:v>
      </x:c>
      <x:c r="K844" s="16" t="n">
        <x:v>0</x:v>
      </x:c>
      <x:c r="L844" s="18" t="n">
        <x:v>0</x:v>
      </x:c>
      <x:c r="M844" s="18" t="n">
        <x:v>0</x:v>
      </x:c>
      <x:c r="O844" t="str">
        <x:v>2024-08-02</x:v>
      </x:c>
      <x:c r="P844" t="n">
        <x:v>1087772.9619016976</x:v>
      </x:c>
    </x:row>
    <x:row r="845" ht="15" hidden="0" customHeight="1">
      <x:c r="A845" s="13" t="str">
        <x:v>2024-08-05</x:v>
      </x:c>
      <x:c r="B845" s="13" t="n">
        <x:v>0</x:v>
      </x:c>
      <x:c r="C845" s="13" t="n">
        <x:v>0</x:v>
      </x:c>
      <x:c r="D845" s="16" t="n">
        <x:v>0</x:v>
      </x:c>
      <x:c r="E845" s="16" t="n">
        <x:v>0</x:v>
      </x:c>
      <x:c r="F845" s="16" t="n">
        <x:v>0</x:v>
      </x:c>
      <x:c r="G845" s="16" t="n">
        <x:v>0</x:v>
      </x:c>
      <x:c r="H845" s="16" t="n">
        <x:v>0</x:v>
      </x:c>
      <x:c r="I845" s="16" t="n">
        <x:v>1087772.9619016976</x:v>
      </x:c>
      <x:c r="J845" s="16" t="n">
        <x:v>1087772.9619016976</x:v>
      </x:c>
      <x:c r="K845" s="16" t="n">
        <x:v>0</x:v>
      </x:c>
      <x:c r="L845" s="18" t="n">
        <x:v>0</x:v>
      </x:c>
      <x:c r="M845" s="18" t="n">
        <x:v>0</x:v>
      </x:c>
      <x:c r="O845" t="str">
        <x:v>2024-08-05</x:v>
      </x:c>
      <x:c r="P845" t="n">
        <x:v>1087772.9619016976</x:v>
      </x:c>
    </x:row>
    <x:row r="846" ht="15" hidden="0" customHeight="1">
      <x:c r="A846" s="13" t="str">
        <x:v>2024-08-06</x:v>
      </x:c>
      <x:c r="B846" s="13" t="n">
        <x:v>0</x:v>
      </x:c>
      <x:c r="C846" s="13" t="n">
        <x:v>0</x:v>
      </x:c>
      <x:c r="D846" s="16" t="n">
        <x:v>0</x:v>
      </x:c>
      <x:c r="E846" s="16" t="n">
        <x:v>0</x:v>
      </x:c>
      <x:c r="F846" s="16" t="n">
        <x:v>0</x:v>
      </x:c>
      <x:c r="G846" s="16" t="n">
        <x:v>0</x:v>
      </x:c>
      <x:c r="H846" s="16" t="n">
        <x:v>0</x:v>
      </x:c>
      <x:c r="I846" s="16" t="n">
        <x:v>1087772.9619016976</x:v>
      </x:c>
      <x:c r="J846" s="16" t="n">
        <x:v>1087772.9619016976</x:v>
      </x:c>
      <x:c r="K846" s="16" t="n">
        <x:v>0</x:v>
      </x:c>
      <x:c r="L846" s="18" t="n">
        <x:v>0</x:v>
      </x:c>
      <x:c r="M846" s="18" t="n">
        <x:v>0</x:v>
      </x:c>
      <x:c r="O846" t="str">
        <x:v>2024-08-06</x:v>
      </x:c>
      <x:c r="P846" t="n">
        <x:v>1087772.9619016976</x:v>
      </x:c>
    </x:row>
    <x:row r="847" ht="15" hidden="0" customHeight="1">
      <x:c r="A847" s="13" t="str">
        <x:v>2024-08-07</x:v>
      </x:c>
      <x:c r="B847" s="13" t="n">
        <x:v>0</x:v>
      </x:c>
      <x:c r="C847" s="13" t="n">
        <x:v>0</x:v>
      </x:c>
      <x:c r="D847" s="16" t="n">
        <x:v>0</x:v>
      </x:c>
      <x:c r="E847" s="16" t="n">
        <x:v>0</x:v>
      </x:c>
      <x:c r="F847" s="16" t="n">
        <x:v>0</x:v>
      </x:c>
      <x:c r="G847" s="16" t="n">
        <x:v>0</x:v>
      </x:c>
      <x:c r="H847" s="16" t="n">
        <x:v>0</x:v>
      </x:c>
      <x:c r="I847" s="16" t="n">
        <x:v>1087772.9619016976</x:v>
      </x:c>
      <x:c r="J847" s="16" t="n">
        <x:v>1087772.9619016976</x:v>
      </x:c>
      <x:c r="K847" s="16" t="n">
        <x:v>0</x:v>
      </x:c>
      <x:c r="L847" s="18" t="n">
        <x:v>0</x:v>
      </x:c>
      <x:c r="M847" s="18" t="n">
        <x:v>0</x:v>
      </x:c>
      <x:c r="O847" t="str">
        <x:v>2024-08-07</x:v>
      </x:c>
      <x:c r="P847" t="n">
        <x:v>1087772.9619016976</x:v>
      </x:c>
    </x:row>
    <x:row r="848" ht="15" hidden="0" customHeight="1">
      <x:c r="A848" s="13" t="str">
        <x:v>2024-08-08</x:v>
      </x:c>
      <x:c r="B848" s="13" t="n">
        <x:v>0</x:v>
      </x:c>
      <x:c r="C848" s="13" t="n">
        <x:v>0</x:v>
      </x:c>
      <x:c r="D848" s="16" t="n">
        <x:v>0</x:v>
      </x:c>
      <x:c r="E848" s="16" t="n">
        <x:v>0</x:v>
      </x:c>
      <x:c r="F848" s="16" t="n">
        <x:v>0</x:v>
      </x:c>
      <x:c r="G848" s="16" t="n">
        <x:v>0</x:v>
      </x:c>
      <x:c r="H848" s="16" t="n">
        <x:v>0</x:v>
      </x:c>
      <x:c r="I848" s="16" t="n">
        <x:v>1087772.9619016976</x:v>
      </x:c>
      <x:c r="J848" s="16" t="n">
        <x:v>1087772.9619016976</x:v>
      </x:c>
      <x:c r="K848" s="16" t="n">
        <x:v>0</x:v>
      </x:c>
      <x:c r="L848" s="18" t="n">
        <x:v>0</x:v>
      </x:c>
      <x:c r="M848" s="18" t="n">
        <x:v>0</x:v>
      </x:c>
      <x:c r="O848" t="str">
        <x:v>2024-08-08</x:v>
      </x:c>
      <x:c r="P848" t="n">
        <x:v>1087772.9619016976</x:v>
      </x:c>
    </x:row>
    <x:row r="849" ht="15" hidden="0" customHeight="1">
      <x:c r="A849" s="13" t="str">
        <x:v>2024-08-09</x:v>
      </x:c>
      <x:c r="B849" s="13" t="n">
        <x:v>0</x:v>
      </x:c>
      <x:c r="C849" s="13" t="n">
        <x:v>0</x:v>
      </x:c>
      <x:c r="D849" s="16" t="n">
        <x:v>0</x:v>
      </x:c>
      <x:c r="E849" s="16" t="n">
        <x:v>0</x:v>
      </x:c>
      <x:c r="F849" s="16" t="n">
        <x:v>0</x:v>
      </x:c>
      <x:c r="G849" s="16" t="n">
        <x:v>0</x:v>
      </x:c>
      <x:c r="H849" s="16" t="n">
        <x:v>0</x:v>
      </x:c>
      <x:c r="I849" s="16" t="n">
        <x:v>1087772.9619016976</x:v>
      </x:c>
      <x:c r="J849" s="16" t="n">
        <x:v>1087772.9619016976</x:v>
      </x:c>
      <x:c r="K849" s="16" t="n">
        <x:v>0</x:v>
      </x:c>
      <x:c r="L849" s="18" t="n">
        <x:v>0</x:v>
      </x:c>
      <x:c r="M849" s="18" t="n">
        <x:v>0</x:v>
      </x:c>
      <x:c r="O849" t="str">
        <x:v>2024-08-09</x:v>
      </x:c>
      <x:c r="P849" t="n">
        <x:v>1087772.9619016976</x:v>
      </x:c>
    </x:row>
    <x:row r="850" ht="15" hidden="0" customHeight="1">
      <x:c r="A850" s="13" t="str">
        <x:v>2024-08-12</x:v>
      </x:c>
      <x:c r="B850" s="13" t="n">
        <x:v>0</x:v>
      </x:c>
      <x:c r="C850" s="13" t="n">
        <x:v>0</x:v>
      </x:c>
      <x:c r="D850" s="16" t="n">
        <x:v>0</x:v>
      </x:c>
      <x:c r="E850" s="16" t="n">
        <x:v>0</x:v>
      </x:c>
      <x:c r="F850" s="16" t="n">
        <x:v>0</x:v>
      </x:c>
      <x:c r="G850" s="16" t="n">
        <x:v>0</x:v>
      </x:c>
      <x:c r="H850" s="16" t="n">
        <x:v>0</x:v>
      </x:c>
      <x:c r="I850" s="16" t="n">
        <x:v>1087772.9619016976</x:v>
      </x:c>
      <x:c r="J850" s="16" t="n">
        <x:v>1087772.9619016976</x:v>
      </x:c>
      <x:c r="K850" s="16" t="n">
        <x:v>0</x:v>
      </x:c>
      <x:c r="L850" s="18" t="n">
        <x:v>0</x:v>
      </x:c>
      <x:c r="M850" s="18" t="n">
        <x:v>0</x:v>
      </x:c>
      <x:c r="O850" t="str">
        <x:v>2024-08-12</x:v>
      </x:c>
      <x:c r="P850" t="n">
        <x:v>1087772.9619016976</x:v>
      </x:c>
    </x:row>
    <x:row r="851" ht="15" hidden="0" customHeight="1">
      <x:c r="A851" s="13" t="str">
        <x:v>2024-08-13</x:v>
      </x:c>
      <x:c r="B851" s="13" t="n">
        <x:v>0</x:v>
      </x:c>
      <x:c r="C851" s="13" t="n">
        <x:v>0</x:v>
      </x:c>
      <x:c r="D851" s="16" t="n">
        <x:v>0</x:v>
      </x:c>
      <x:c r="E851" s="16" t="n">
        <x:v>0</x:v>
      </x:c>
      <x:c r="F851" s="16" t="n">
        <x:v>0</x:v>
      </x:c>
      <x:c r="G851" s="16" t="n">
        <x:v>0</x:v>
      </x:c>
      <x:c r="H851" s="16" t="n">
        <x:v>0</x:v>
      </x:c>
      <x:c r="I851" s="16" t="n">
        <x:v>1087772.9619016976</x:v>
      </x:c>
      <x:c r="J851" s="16" t="n">
        <x:v>1087772.9619016976</x:v>
      </x:c>
      <x:c r="K851" s="16" t="n">
        <x:v>0</x:v>
      </x:c>
      <x:c r="L851" s="18" t="n">
        <x:v>0</x:v>
      </x:c>
      <x:c r="M851" s="18" t="n">
        <x:v>0</x:v>
      </x:c>
      <x:c r="O851" t="str">
        <x:v>2024-08-13</x:v>
      </x:c>
      <x:c r="P851" t="n">
        <x:v>1087772.9619016976</x:v>
      </x:c>
    </x:row>
    <x:row r="852" ht="15" hidden="0" customHeight="1">
      <x:c r="A852" s="13" t="str">
        <x:v>2024-08-14</x:v>
      </x:c>
      <x:c r="B852" s="13" t="n">
        <x:v>0</x:v>
      </x:c>
      <x:c r="C852" s="13" t="n">
        <x:v>0</x:v>
      </x:c>
      <x:c r="D852" s="16" t="n">
        <x:v>0</x:v>
      </x:c>
      <x:c r="E852" s="16" t="n">
        <x:v>0</x:v>
      </x:c>
      <x:c r="F852" s="16" t="n">
        <x:v>0</x:v>
      </x:c>
      <x:c r="G852" s="16" t="n">
        <x:v>0</x:v>
      </x:c>
      <x:c r="H852" s="16" t="n">
        <x:v>0</x:v>
      </x:c>
      <x:c r="I852" s="16" t="n">
        <x:v>1087772.9619016976</x:v>
      </x:c>
      <x:c r="J852" s="16" t="n">
        <x:v>1087772.9619016976</x:v>
      </x:c>
      <x:c r="K852" s="16" t="n">
        <x:v>0</x:v>
      </x:c>
      <x:c r="L852" s="18" t="n">
        <x:v>0</x:v>
      </x:c>
      <x:c r="M852" s="18" t="n">
        <x:v>0</x:v>
      </x:c>
      <x:c r="O852" t="str">
        <x:v>2024-08-14</x:v>
      </x:c>
      <x:c r="P852" t="n">
        <x:v>1087772.9619016976</x:v>
      </x:c>
    </x:row>
    <x:row r="853" ht="15" hidden="0" customHeight="1">
      <x:c r="A853" s="13" t="str">
        <x:v>2024-08-15</x:v>
      </x:c>
      <x:c r="B853" s="13" t="n">
        <x:v>0</x:v>
      </x:c>
      <x:c r="C853" s="13" t="n">
        <x:v>0</x:v>
      </x:c>
      <x:c r="D853" s="16" t="n">
        <x:v>0</x:v>
      </x:c>
      <x:c r="E853" s="16" t="n">
        <x:v>0</x:v>
      </x:c>
      <x:c r="F853" s="16" t="n">
        <x:v>0</x:v>
      </x:c>
      <x:c r="G853" s="16" t="n">
        <x:v>0</x:v>
      </x:c>
      <x:c r="H853" s="16" t="n">
        <x:v>0</x:v>
      </x:c>
      <x:c r="I853" s="16" t="n">
        <x:v>1087772.9619016976</x:v>
      </x:c>
      <x:c r="J853" s="16" t="n">
        <x:v>1087772.9619016976</x:v>
      </x:c>
      <x:c r="K853" s="16" t="n">
        <x:v>0</x:v>
      </x:c>
      <x:c r="L853" s="18" t="n">
        <x:v>0</x:v>
      </x:c>
      <x:c r="M853" s="18" t="n">
        <x:v>0</x:v>
      </x:c>
      <x:c r="O853" t="str">
        <x:v>2024-08-15</x:v>
      </x:c>
      <x:c r="P853" t="n">
        <x:v>1087772.9619016976</x:v>
      </x:c>
    </x:row>
    <x:row r="854" ht="15" hidden="0" customHeight="1">
      <x:c r="A854" s="13" t="str">
        <x:v>2024-08-16</x:v>
      </x:c>
      <x:c r="B854" s="13" t="n">
        <x:v>0</x:v>
      </x:c>
      <x:c r="C854" s="13" t="n">
        <x:v>0</x:v>
      </x:c>
      <x:c r="D854" s="16" t="n">
        <x:v>0</x:v>
      </x:c>
      <x:c r="E854" s="16" t="n">
        <x:v>0</x:v>
      </x:c>
      <x:c r="F854" s="16" t="n">
        <x:v>0</x:v>
      </x:c>
      <x:c r="G854" s="16" t="n">
        <x:v>0</x:v>
      </x:c>
      <x:c r="H854" s="16" t="n">
        <x:v>0</x:v>
      </x:c>
      <x:c r="I854" s="16" t="n">
        <x:v>1087772.9619016976</x:v>
      </x:c>
      <x:c r="J854" s="16" t="n">
        <x:v>1087772.9619016976</x:v>
      </x:c>
      <x:c r="K854" s="16" t="n">
        <x:v>0</x:v>
      </x:c>
      <x:c r="L854" s="18" t="n">
        <x:v>0</x:v>
      </x:c>
      <x:c r="M854" s="18" t="n">
        <x:v>0</x:v>
      </x:c>
      <x:c r="O854" t="str">
        <x:v>2024-08-16</x:v>
      </x:c>
      <x:c r="P854" t="n">
        <x:v>1087772.9619016976</x:v>
      </x:c>
    </x:row>
    <x:row r="855" ht="15" hidden="0" customHeight="1">
      <x:c r="A855" s="13" t="str">
        <x:v>2024-08-19</x:v>
      </x:c>
      <x:c r="B855" s="13" t="n">
        <x:v>0</x:v>
      </x:c>
      <x:c r="C855" s="13" t="n">
        <x:v>0</x:v>
      </x:c>
      <x:c r="D855" s="16" t="n">
        <x:v>0</x:v>
      </x:c>
      <x:c r="E855" s="16" t="n">
        <x:v>0</x:v>
      </x:c>
      <x:c r="F855" s="16" t="n">
        <x:v>0</x:v>
      </x:c>
      <x:c r="G855" s="16" t="n">
        <x:v>0</x:v>
      </x:c>
      <x:c r="H855" s="16" t="n">
        <x:v>0</x:v>
      </x:c>
      <x:c r="I855" s="16" t="n">
        <x:v>1087772.9619016976</x:v>
      </x:c>
      <x:c r="J855" s="16" t="n">
        <x:v>1087772.9619016976</x:v>
      </x:c>
      <x:c r="K855" s="16" t="n">
        <x:v>0</x:v>
      </x:c>
      <x:c r="L855" s="18" t="n">
        <x:v>0</x:v>
      </x:c>
      <x:c r="M855" s="18" t="n">
        <x:v>0</x:v>
      </x:c>
      <x:c r="O855" t="str">
        <x:v>2024-08-19</x:v>
      </x:c>
      <x:c r="P855" t="n">
        <x:v>1087772.9619016976</x:v>
      </x:c>
    </x:row>
    <x:row r="856" ht="15" hidden="0" customHeight="1">
      <x:c r="A856" s="13" t="str">
        <x:v>2024-08-20</x:v>
      </x:c>
      <x:c r="B856" s="13" t="n">
        <x:v>0</x:v>
      </x:c>
      <x:c r="C856" s="13" t="n">
        <x:v>0</x:v>
      </x:c>
      <x:c r="D856" s="16" t="n">
        <x:v>0</x:v>
      </x:c>
      <x:c r="E856" s="16" t="n">
        <x:v>0</x:v>
      </x:c>
      <x:c r="F856" s="16" t="n">
        <x:v>0</x:v>
      </x:c>
      <x:c r="G856" s="16" t="n">
        <x:v>0</x:v>
      </x:c>
      <x:c r="H856" s="16" t="n">
        <x:v>0</x:v>
      </x:c>
      <x:c r="I856" s="16" t="n">
        <x:v>1087772.9619016976</x:v>
      </x:c>
      <x:c r="J856" s="16" t="n">
        <x:v>1087772.9619016976</x:v>
      </x:c>
      <x:c r="K856" s="16" t="n">
        <x:v>0</x:v>
      </x:c>
      <x:c r="L856" s="18" t="n">
        <x:v>0</x:v>
      </x:c>
      <x:c r="M856" s="18" t="n">
        <x:v>0</x:v>
      </x:c>
      <x:c r="O856" t="str">
        <x:v>2024-08-20</x:v>
      </x:c>
      <x:c r="P856" t="n">
        <x:v>1087772.9619016976</x:v>
      </x:c>
    </x:row>
    <x:row r="857" ht="15" hidden="0" customHeight="1">
      <x:c r="A857" s="13" t="str">
        <x:v>2024-08-21</x:v>
      </x:c>
      <x:c r="B857" s="13" t="n">
        <x:v>0</x:v>
      </x:c>
      <x:c r="C857" s="13" t="n">
        <x:v>0</x:v>
      </x:c>
      <x:c r="D857" s="16" t="n">
        <x:v>0</x:v>
      </x:c>
      <x:c r="E857" s="16" t="n">
        <x:v>0</x:v>
      </x:c>
      <x:c r="F857" s="16" t="n">
        <x:v>0</x:v>
      </x:c>
      <x:c r="G857" s="16" t="n">
        <x:v>0</x:v>
      </x:c>
      <x:c r="H857" s="16" t="n">
        <x:v>0</x:v>
      </x:c>
      <x:c r="I857" s="16" t="n">
        <x:v>1087772.9619016976</x:v>
      </x:c>
      <x:c r="J857" s="16" t="n">
        <x:v>1087772.9619016976</x:v>
      </x:c>
      <x:c r="K857" s="16" t="n">
        <x:v>0</x:v>
      </x:c>
      <x:c r="L857" s="18" t="n">
        <x:v>0</x:v>
      </x:c>
      <x:c r="M857" s="18" t="n">
        <x:v>0</x:v>
      </x:c>
      <x:c r="O857" t="str">
        <x:v>2024-08-21</x:v>
      </x:c>
      <x:c r="P857" t="n">
        <x:v>1087772.9619016976</x:v>
      </x:c>
    </x:row>
    <x:row r="858" ht="15" hidden="0" customHeight="1">
      <x:c r="A858" s="13" t="str">
        <x:v>2024-08-22</x:v>
      </x:c>
      <x:c r="B858" s="13" t="n">
        <x:v>0</x:v>
      </x:c>
      <x:c r="C858" s="13" t="n">
        <x:v>0</x:v>
      </x:c>
      <x:c r="D858" s="16" t="n">
        <x:v>0</x:v>
      </x:c>
      <x:c r="E858" s="16" t="n">
        <x:v>0</x:v>
      </x:c>
      <x:c r="F858" s="16" t="n">
        <x:v>0</x:v>
      </x:c>
      <x:c r="G858" s="16" t="n">
        <x:v>0</x:v>
      </x:c>
      <x:c r="H858" s="16" t="n">
        <x:v>0</x:v>
      </x:c>
      <x:c r="I858" s="16" t="n">
        <x:v>1087772.9619016976</x:v>
      </x:c>
      <x:c r="J858" s="16" t="n">
        <x:v>1087772.9619016976</x:v>
      </x:c>
      <x:c r="K858" s="16" t="n">
        <x:v>0</x:v>
      </x:c>
      <x:c r="L858" s="18" t="n">
        <x:v>0</x:v>
      </x:c>
      <x:c r="M858" s="18" t="n">
        <x:v>0</x:v>
      </x:c>
      <x:c r="O858" t="str">
        <x:v>2024-08-22</x:v>
      </x:c>
      <x:c r="P858" t="n">
        <x:v>1087772.9619016976</x:v>
      </x:c>
    </x:row>
    <x:row r="859" ht="15" hidden="0" customHeight="1">
      <x:c r="A859" s="13" t="str">
        <x:v>2024-08-23</x:v>
      </x:c>
      <x:c r="B859" s="13" t="n">
        <x:v>0</x:v>
      </x:c>
      <x:c r="C859" s="13" t="n">
        <x:v>0</x:v>
      </x:c>
      <x:c r="D859" s="16" t="n">
        <x:v>0</x:v>
      </x:c>
      <x:c r="E859" s="16" t="n">
        <x:v>0</x:v>
      </x:c>
      <x:c r="F859" s="16" t="n">
        <x:v>0</x:v>
      </x:c>
      <x:c r="G859" s="16" t="n">
        <x:v>0</x:v>
      </x:c>
      <x:c r="H859" s="16" t="n">
        <x:v>0</x:v>
      </x:c>
      <x:c r="I859" s="16" t="n">
        <x:v>1087772.9619016976</x:v>
      </x:c>
      <x:c r="J859" s="16" t="n">
        <x:v>1087772.9619016976</x:v>
      </x:c>
      <x:c r="K859" s="16" t="n">
        <x:v>0</x:v>
      </x:c>
      <x:c r="L859" s="18" t="n">
        <x:v>0</x:v>
      </x:c>
      <x:c r="M859" s="18" t="n">
        <x:v>0</x:v>
      </x:c>
      <x:c r="O859" t="str">
        <x:v>2024-08-23</x:v>
      </x:c>
      <x:c r="P859" t="n">
        <x:v>1087772.9619016976</x:v>
      </x:c>
    </x:row>
    <x:row r="860" ht="15" hidden="0" customHeight="1">
      <x:c r="A860" s="13" t="str">
        <x:v>2024-08-26</x:v>
      </x:c>
      <x:c r="B860" s="13" t="n">
        <x:v>0</x:v>
      </x:c>
      <x:c r="C860" s="13" t="n">
        <x:v>0</x:v>
      </x:c>
      <x:c r="D860" s="16" t="n">
        <x:v>0</x:v>
      </x:c>
      <x:c r="E860" s="16" t="n">
        <x:v>0</x:v>
      </x:c>
      <x:c r="F860" s="16" t="n">
        <x:v>0</x:v>
      </x:c>
      <x:c r="G860" s="16" t="n">
        <x:v>0</x:v>
      </x:c>
      <x:c r="H860" s="16" t="n">
        <x:v>0</x:v>
      </x:c>
      <x:c r="I860" s="16" t="n">
        <x:v>1087772.9619016976</x:v>
      </x:c>
      <x:c r="J860" s="16" t="n">
        <x:v>1087772.9619016976</x:v>
      </x:c>
      <x:c r="K860" s="16" t="n">
        <x:v>0</x:v>
      </x:c>
      <x:c r="L860" s="18" t="n">
        <x:v>0</x:v>
      </x:c>
      <x:c r="M860" s="18" t="n">
        <x:v>0</x:v>
      </x:c>
      <x:c r="O860" t="str">
        <x:v>2024-08-26</x:v>
      </x:c>
      <x:c r="P860" t="n">
        <x:v>1087772.9619016976</x:v>
      </x:c>
    </x:row>
    <x:row r="861" ht="15" hidden="0" customHeight="1">
      <x:c r="A861" s="13" t="str">
        <x:v>2024-08-27</x:v>
      </x:c>
      <x:c r="B861" s="13" t="n">
        <x:v>0</x:v>
      </x:c>
      <x:c r="C861" s="13" t="n">
        <x:v>0</x:v>
      </x:c>
      <x:c r="D861" s="16" t="n">
        <x:v>0</x:v>
      </x:c>
      <x:c r="E861" s="16" t="n">
        <x:v>0</x:v>
      </x:c>
      <x:c r="F861" s="16" t="n">
        <x:v>0</x:v>
      </x:c>
      <x:c r="G861" s="16" t="n">
        <x:v>0</x:v>
      </x:c>
      <x:c r="H861" s="16" t="n">
        <x:v>0</x:v>
      </x:c>
      <x:c r="I861" s="16" t="n">
        <x:v>1087772.9619016976</x:v>
      </x:c>
      <x:c r="J861" s="16" t="n">
        <x:v>1087772.9619016976</x:v>
      </x:c>
      <x:c r="K861" s="16" t="n">
        <x:v>0</x:v>
      </x:c>
      <x:c r="L861" s="18" t="n">
        <x:v>0</x:v>
      </x:c>
      <x:c r="M861" s="18" t="n">
        <x:v>0</x:v>
      </x:c>
      <x:c r="O861" t="str">
        <x:v>2024-08-27</x:v>
      </x:c>
      <x:c r="P861" t="n">
        <x:v>1087772.9619016976</x:v>
      </x:c>
    </x:row>
    <x:row r="862" ht="15" hidden="0" customHeight="1">
      <x:c r="A862" s="13" t="str">
        <x:v>2024-08-28</x:v>
      </x:c>
      <x:c r="B862" s="13" t="n">
        <x:v>0</x:v>
      </x:c>
      <x:c r="C862" s="13" t="n">
        <x:v>0</x:v>
      </x:c>
      <x:c r="D862" s="16" t="n">
        <x:v>0</x:v>
      </x:c>
      <x:c r="E862" s="16" t="n">
        <x:v>0</x:v>
      </x:c>
      <x:c r="F862" s="16" t="n">
        <x:v>0</x:v>
      </x:c>
      <x:c r="G862" s="16" t="n">
        <x:v>0</x:v>
      </x:c>
      <x:c r="H862" s="16" t="n">
        <x:v>0</x:v>
      </x:c>
      <x:c r="I862" s="16" t="n">
        <x:v>1087772.9619016976</x:v>
      </x:c>
      <x:c r="J862" s="16" t="n">
        <x:v>1087772.9619016976</x:v>
      </x:c>
      <x:c r="K862" s="16" t="n">
        <x:v>0</x:v>
      </x:c>
      <x:c r="L862" s="18" t="n">
        <x:v>0</x:v>
      </x:c>
      <x:c r="M862" s="18" t="n">
        <x:v>0</x:v>
      </x:c>
      <x:c r="O862" t="str">
        <x:v>2024-08-28</x:v>
      </x:c>
      <x:c r="P862" t="n">
        <x:v>1087772.9619016976</x:v>
      </x:c>
    </x:row>
    <x:row r="863" ht="15" hidden="0" customHeight="1">
      <x:c r="A863" s="13" t="str">
        <x:v>2024-08-29</x:v>
      </x:c>
      <x:c r="B863" s="13" t="n">
        <x:v>0</x:v>
      </x:c>
      <x:c r="C863" s="13" t="n">
        <x:v>0</x:v>
      </x:c>
      <x:c r="D863" s="16" t="n">
        <x:v>0</x:v>
      </x:c>
      <x:c r="E863" s="16" t="n">
        <x:v>0</x:v>
      </x:c>
      <x:c r="F863" s="16" t="n">
        <x:v>0</x:v>
      </x:c>
      <x:c r="G863" s="16" t="n">
        <x:v>0</x:v>
      </x:c>
      <x:c r="H863" s="16" t="n">
        <x:v>0</x:v>
      </x:c>
      <x:c r="I863" s="16" t="n">
        <x:v>1087772.9619016976</x:v>
      </x:c>
      <x:c r="J863" s="16" t="n">
        <x:v>1087772.9619016976</x:v>
      </x:c>
      <x:c r="K863" s="16" t="n">
        <x:v>0</x:v>
      </x:c>
      <x:c r="L863" s="18" t="n">
        <x:v>0</x:v>
      </x:c>
      <x:c r="M863" s="18" t="n">
        <x:v>0</x:v>
      </x:c>
      <x:c r="O863" t="str">
        <x:v>2024-08-29</x:v>
      </x:c>
      <x:c r="P863" t="n">
        <x:v>1087772.9619016976</x:v>
      </x:c>
    </x:row>
    <x:row r="864" ht="15" hidden="0" customHeight="1">
      <x:c r="A864" s="13" t="str">
        <x:v>2024-08-30</x:v>
      </x:c>
      <x:c r="B864" s="13" t="n">
        <x:v>0</x:v>
      </x:c>
      <x:c r="C864" s="13" t="n">
        <x:v>0</x:v>
      </x:c>
      <x:c r="D864" s="16" t="n">
        <x:v>0</x:v>
      </x:c>
      <x:c r="E864" s="16" t="n">
        <x:v>0</x:v>
      </x:c>
      <x:c r="F864" s="16" t="n">
        <x:v>0</x:v>
      </x:c>
      <x:c r="G864" s="16" t="n">
        <x:v>0</x:v>
      </x:c>
      <x:c r="H864" s="16" t="n">
        <x:v>0</x:v>
      </x:c>
      <x:c r="I864" s="16" t="n">
        <x:v>1087772.9619016976</x:v>
      </x:c>
      <x:c r="J864" s="16" t="n">
        <x:v>1087772.9619016976</x:v>
      </x:c>
      <x:c r="K864" s="16" t="n">
        <x:v>0</x:v>
      </x:c>
      <x:c r="L864" s="18" t="n">
        <x:v>0</x:v>
      </x:c>
      <x:c r="M864" s="18" t="n">
        <x:v>0</x:v>
      </x:c>
      <x:c r="O864" t="str">
        <x:v>2024-08-30</x:v>
      </x:c>
      <x:c r="P864" t="n">
        <x:v>1087772.9619016976</x:v>
      </x:c>
    </x:row>
    <x:row r="865" ht="15" hidden="0" customHeight="1">
      <x:c r="A865" s="13" t="str">
        <x:v>2024-09-02</x:v>
      </x:c>
      <x:c r="B865" s="13" t="n">
        <x:v>0</x:v>
      </x:c>
      <x:c r="C865" s="13" t="n">
        <x:v>0</x:v>
      </x:c>
      <x:c r="D865" s="16" t="n">
        <x:v>0</x:v>
      </x:c>
      <x:c r="E865" s="16" t="n">
        <x:v>0</x:v>
      </x:c>
      <x:c r="F865" s="16" t="n">
        <x:v>0</x:v>
      </x:c>
      <x:c r="G865" s="16" t="n">
        <x:v>0</x:v>
      </x:c>
      <x:c r="H865" s="16" t="n">
        <x:v>0</x:v>
      </x:c>
      <x:c r="I865" s="16" t="n">
        <x:v>1087772.9619016976</x:v>
      </x:c>
      <x:c r="J865" s="16" t="n">
        <x:v>1087772.9619016976</x:v>
      </x:c>
      <x:c r="K865" s="16" t="n">
        <x:v>0</x:v>
      </x:c>
      <x:c r="L865" s="18" t="n">
        <x:v>0</x:v>
      </x:c>
      <x:c r="M865" s="18" t="n">
        <x:v>0</x:v>
      </x:c>
      <x:c r="O865" t="str">
        <x:v>2024-09-02</x:v>
      </x:c>
      <x:c r="P865" t="n">
        <x:v>1087772.9619016976</x:v>
      </x:c>
    </x:row>
    <x:row r="866" ht="15" hidden="0" customHeight="1">
      <x:c r="A866" s="13" t="str">
        <x:v>2024-09-03</x:v>
      </x:c>
      <x:c r="B866" s="13" t="n">
        <x:v>0</x:v>
      </x:c>
      <x:c r="C866" s="13" t="n">
        <x:v>0</x:v>
      </x:c>
      <x:c r="D866" s="16" t="n">
        <x:v>0</x:v>
      </x:c>
      <x:c r="E866" s="16" t="n">
        <x:v>0</x:v>
      </x:c>
      <x:c r="F866" s="16" t="n">
        <x:v>0</x:v>
      </x:c>
      <x:c r="G866" s="16" t="n">
        <x:v>0</x:v>
      </x:c>
      <x:c r="H866" s="16" t="n">
        <x:v>0</x:v>
      </x:c>
      <x:c r="I866" s="16" t="n">
        <x:v>1087772.9619016976</x:v>
      </x:c>
      <x:c r="J866" s="16" t="n">
        <x:v>1087772.9619016976</x:v>
      </x:c>
      <x:c r="K866" s="16" t="n">
        <x:v>0</x:v>
      </x:c>
      <x:c r="L866" s="18" t="n">
        <x:v>0</x:v>
      </x:c>
      <x:c r="M866" s="18" t="n">
        <x:v>0</x:v>
      </x:c>
      <x:c r="O866" t="str">
        <x:v>2024-09-03</x:v>
      </x:c>
      <x:c r="P866" t="n">
        <x:v>1087772.9619016976</x:v>
      </x:c>
    </x:row>
    <x:row r="867" ht="15" hidden="0" customHeight="1">
      <x:c r="A867" s="13" t="str">
        <x:v>2024-09-04</x:v>
      </x:c>
      <x:c r="B867" s="13" t="n">
        <x:v>0</x:v>
      </x:c>
      <x:c r="C867" s="13" t="n">
        <x:v>0</x:v>
      </x:c>
      <x:c r="D867" s="16" t="n">
        <x:v>0</x:v>
      </x:c>
      <x:c r="E867" s="16" t="n">
        <x:v>0</x:v>
      </x:c>
      <x:c r="F867" s="16" t="n">
        <x:v>0</x:v>
      </x:c>
      <x:c r="G867" s="16" t="n">
        <x:v>0</x:v>
      </x:c>
      <x:c r="H867" s="16" t="n">
        <x:v>0</x:v>
      </x:c>
      <x:c r="I867" s="16" t="n">
        <x:v>1087772.9619016976</x:v>
      </x:c>
      <x:c r="J867" s="16" t="n">
        <x:v>1087772.9619016976</x:v>
      </x:c>
      <x:c r="K867" s="16" t="n">
        <x:v>0</x:v>
      </x:c>
      <x:c r="L867" s="18" t="n">
        <x:v>0</x:v>
      </x:c>
      <x:c r="M867" s="18" t="n">
        <x:v>0</x:v>
      </x:c>
      <x:c r="O867" t="str">
        <x:v>2024-09-04</x:v>
      </x:c>
      <x:c r="P867" t="n">
        <x:v>1087772.9619016976</x:v>
      </x:c>
    </x:row>
    <x:row r="868" ht="15" hidden="0" customHeight="1">
      <x:c r="A868" s="13" t="str">
        <x:v>2024-09-05</x:v>
      </x:c>
      <x:c r="B868" s="13" t="n">
        <x:v>0</x:v>
      </x:c>
      <x:c r="C868" s="13" t="n">
        <x:v>0</x:v>
      </x:c>
      <x:c r="D868" s="16" t="n">
        <x:v>0</x:v>
      </x:c>
      <x:c r="E868" s="16" t="n">
        <x:v>0</x:v>
      </x:c>
      <x:c r="F868" s="16" t="n">
        <x:v>0</x:v>
      </x:c>
      <x:c r="G868" s="16" t="n">
        <x:v>0</x:v>
      </x:c>
      <x:c r="H868" s="16" t="n">
        <x:v>0</x:v>
      </x:c>
      <x:c r="I868" s="16" t="n">
        <x:v>1087772.9619016976</x:v>
      </x:c>
      <x:c r="J868" s="16" t="n">
        <x:v>1087772.9619016976</x:v>
      </x:c>
      <x:c r="K868" s="16" t="n">
        <x:v>0</x:v>
      </x:c>
      <x:c r="L868" s="18" t="n">
        <x:v>0</x:v>
      </x:c>
      <x:c r="M868" s="18" t="n">
        <x:v>0</x:v>
      </x:c>
      <x:c r="O868" t="str">
        <x:v>2024-09-05</x:v>
      </x:c>
      <x:c r="P868" t="n">
        <x:v>1087772.9619016976</x:v>
      </x:c>
    </x:row>
    <x:row r="869" ht="15" hidden="0" customHeight="1">
      <x:c r="A869" s="13" t="str">
        <x:v>2024-09-06</x:v>
      </x:c>
      <x:c r="B869" s="13" t="n">
        <x:v>0</x:v>
      </x:c>
      <x:c r="C869" s="13" t="n">
        <x:v>0</x:v>
      </x:c>
      <x:c r="D869" s="16" t="n">
        <x:v>0</x:v>
      </x:c>
      <x:c r="E869" s="16" t="n">
        <x:v>0</x:v>
      </x:c>
      <x:c r="F869" s="16" t="n">
        <x:v>0</x:v>
      </x:c>
      <x:c r="G869" s="16" t="n">
        <x:v>0</x:v>
      </x:c>
      <x:c r="H869" s="16" t="n">
        <x:v>0</x:v>
      </x:c>
      <x:c r="I869" s="16" t="n">
        <x:v>1087772.9619016976</x:v>
      </x:c>
      <x:c r="J869" s="16" t="n">
        <x:v>1087772.9619016976</x:v>
      </x:c>
      <x:c r="K869" s="16" t="n">
        <x:v>0</x:v>
      </x:c>
      <x:c r="L869" s="18" t="n">
        <x:v>0</x:v>
      </x:c>
      <x:c r="M869" s="18" t="n">
        <x:v>0</x:v>
      </x:c>
      <x:c r="O869" t="str">
        <x:v>2024-09-06</x:v>
      </x:c>
      <x:c r="P869" t="n">
        <x:v>1087772.9619016976</x:v>
      </x:c>
    </x:row>
    <x:row r="870" ht="15" hidden="0" customHeight="1">
      <x:c r="A870" s="13" t="str">
        <x:v>2024-09-09</x:v>
      </x:c>
      <x:c r="B870" s="13" t="n">
        <x:v>0</x:v>
      </x:c>
      <x:c r="C870" s="13" t="n">
        <x:v>0</x:v>
      </x:c>
      <x:c r="D870" s="16" t="n">
        <x:v>0</x:v>
      </x:c>
      <x:c r="E870" s="16" t="n">
        <x:v>0</x:v>
      </x:c>
      <x:c r="F870" s="16" t="n">
        <x:v>0</x:v>
      </x:c>
      <x:c r="G870" s="16" t="n">
        <x:v>0</x:v>
      </x:c>
      <x:c r="H870" s="16" t="n">
        <x:v>0</x:v>
      </x:c>
      <x:c r="I870" s="16" t="n">
        <x:v>1087772.9619016976</x:v>
      </x:c>
      <x:c r="J870" s="16" t="n">
        <x:v>1087772.9619016976</x:v>
      </x:c>
      <x:c r="K870" s="16" t="n">
        <x:v>0</x:v>
      </x:c>
      <x:c r="L870" s="18" t="n">
        <x:v>0</x:v>
      </x:c>
      <x:c r="M870" s="18" t="n">
        <x:v>0</x:v>
      </x:c>
      <x:c r="O870" t="str">
        <x:v>2024-09-09</x:v>
      </x:c>
      <x:c r="P870" t="n">
        <x:v>1087772.9619016976</x:v>
      </x:c>
    </x:row>
    <x:row r="871" ht="15" hidden="0" customHeight="1">
      <x:c r="A871" s="13" t="str">
        <x:v>2024-09-10</x:v>
      </x:c>
      <x:c r="B871" s="13" t="n">
        <x:v>0</x:v>
      </x:c>
      <x:c r="C871" s="13" t="n">
        <x:v>0</x:v>
      </x:c>
      <x:c r="D871" s="16" t="n">
        <x:v>0</x:v>
      </x:c>
      <x:c r="E871" s="16" t="n">
        <x:v>0</x:v>
      </x:c>
      <x:c r="F871" s="16" t="n">
        <x:v>0</x:v>
      </x:c>
      <x:c r="G871" s="16" t="n">
        <x:v>0</x:v>
      </x:c>
      <x:c r="H871" s="16" t="n">
        <x:v>0</x:v>
      </x:c>
      <x:c r="I871" s="16" t="n">
        <x:v>1087772.9619016976</x:v>
      </x:c>
      <x:c r="J871" s="16" t="n">
        <x:v>1087772.9619016976</x:v>
      </x:c>
      <x:c r="K871" s="16" t="n">
        <x:v>0</x:v>
      </x:c>
      <x:c r="L871" s="18" t="n">
        <x:v>0</x:v>
      </x:c>
      <x:c r="M871" s="18" t="n">
        <x:v>0</x:v>
      </x:c>
      <x:c r="O871" t="str">
        <x:v>2024-09-10</x:v>
      </x:c>
      <x:c r="P871" t="n">
        <x:v>1087772.9619016976</x:v>
      </x:c>
    </x:row>
    <x:row r="872" ht="15" hidden="0" customHeight="1">
      <x:c r="A872" s="13" t="str">
        <x:v>2024-09-11</x:v>
      </x:c>
      <x:c r="B872" s="13" t="n">
        <x:v>0</x:v>
      </x:c>
      <x:c r="C872" s="13" t="n">
        <x:v>0</x:v>
      </x:c>
      <x:c r="D872" s="16" t="n">
        <x:v>0</x:v>
      </x:c>
      <x:c r="E872" s="16" t="n">
        <x:v>0</x:v>
      </x:c>
      <x:c r="F872" s="16" t="n">
        <x:v>0</x:v>
      </x:c>
      <x:c r="G872" s="16" t="n">
        <x:v>0</x:v>
      </x:c>
      <x:c r="H872" s="16" t="n">
        <x:v>0</x:v>
      </x:c>
      <x:c r="I872" s="16" t="n">
        <x:v>1087772.9619016976</x:v>
      </x:c>
      <x:c r="J872" s="16" t="n">
        <x:v>1087772.9619016976</x:v>
      </x:c>
      <x:c r="K872" s="16" t="n">
        <x:v>0</x:v>
      </x:c>
      <x:c r="L872" s="18" t="n">
        <x:v>0</x:v>
      </x:c>
      <x:c r="M872" s="18" t="n">
        <x:v>0</x:v>
      </x:c>
      <x:c r="O872" t="str">
        <x:v>2024-09-11</x:v>
      </x:c>
      <x:c r="P872" t="n">
        <x:v>1087772.9619016976</x:v>
      </x:c>
    </x:row>
    <x:row r="873" ht="15" hidden="0" customHeight="1">
      <x:c r="A873" s="13" t="str">
        <x:v>2024-09-12</x:v>
      </x:c>
      <x:c r="B873" s="13" t="n">
        <x:v>0</x:v>
      </x:c>
      <x:c r="C873" s="13" t="n">
        <x:v>0</x:v>
      </x:c>
      <x:c r="D873" s="16" t="n">
        <x:v>0</x:v>
      </x:c>
      <x:c r="E873" s="16" t="n">
        <x:v>0</x:v>
      </x:c>
      <x:c r="F873" s="16" t="n">
        <x:v>0</x:v>
      </x:c>
      <x:c r="G873" s="16" t="n">
        <x:v>0</x:v>
      </x:c>
      <x:c r="H873" s="16" t="n">
        <x:v>0</x:v>
      </x:c>
      <x:c r="I873" s="16" t="n">
        <x:v>1087772.9619016976</x:v>
      </x:c>
      <x:c r="J873" s="16" t="n">
        <x:v>1087772.9619016976</x:v>
      </x:c>
      <x:c r="K873" s="16" t="n">
        <x:v>0</x:v>
      </x:c>
      <x:c r="L873" s="18" t="n">
        <x:v>0</x:v>
      </x:c>
      <x:c r="M873" s="18" t="n">
        <x:v>0</x:v>
      </x:c>
      <x:c r="O873" t="str">
        <x:v>2024-09-12</x:v>
      </x:c>
      <x:c r="P873" t="n">
        <x:v>1087772.9619016976</x:v>
      </x:c>
    </x:row>
    <x:row r="874" ht="15" hidden="0" customHeight="1">
      <x:c r="A874" s="13" t="str">
        <x:v>2024-09-13</x:v>
      </x:c>
      <x:c r="B874" s="13" t="n">
        <x:v>0</x:v>
      </x:c>
      <x:c r="C874" s="13" t="n">
        <x:v>0</x:v>
      </x:c>
      <x:c r="D874" s="16" t="n">
        <x:v>0</x:v>
      </x:c>
      <x:c r="E874" s="16" t="n">
        <x:v>0</x:v>
      </x:c>
      <x:c r="F874" s="16" t="n">
        <x:v>0</x:v>
      </x:c>
      <x:c r="G874" s="16" t="n">
        <x:v>0</x:v>
      </x:c>
      <x:c r="H874" s="16" t="n">
        <x:v>0</x:v>
      </x:c>
      <x:c r="I874" s="16" t="n">
        <x:v>1087772.9619016976</x:v>
      </x:c>
      <x:c r="J874" s="16" t="n">
        <x:v>1087772.9619016976</x:v>
      </x:c>
      <x:c r="K874" s="16" t="n">
        <x:v>0</x:v>
      </x:c>
      <x:c r="L874" s="18" t="n">
        <x:v>0</x:v>
      </x:c>
      <x:c r="M874" s="18" t="n">
        <x:v>0</x:v>
      </x:c>
      <x:c r="O874" t="str">
        <x:v>2024-09-13</x:v>
      </x:c>
      <x:c r="P874" t="n">
        <x:v>1087772.9619016976</x:v>
      </x:c>
    </x:row>
    <x:row r="875" ht="15" hidden="0" customHeight="1">
      <x:c r="A875" s="13" t="str">
        <x:v>2024-09-16</x:v>
      </x:c>
      <x:c r="B875" s="13" t="n">
        <x:v>0</x:v>
      </x:c>
      <x:c r="C875" s="13" t="n">
        <x:v>0</x:v>
      </x:c>
      <x:c r="D875" s="16" t="n">
        <x:v>0</x:v>
      </x:c>
      <x:c r="E875" s="16" t="n">
        <x:v>0</x:v>
      </x:c>
      <x:c r="F875" s="16" t="n">
        <x:v>0</x:v>
      </x:c>
      <x:c r="G875" s="16" t="n">
        <x:v>0</x:v>
      </x:c>
      <x:c r="H875" s="16" t="n">
        <x:v>0</x:v>
      </x:c>
      <x:c r="I875" s="16" t="n">
        <x:v>1087772.9619016976</x:v>
      </x:c>
      <x:c r="J875" s="16" t="n">
        <x:v>1087772.9619016976</x:v>
      </x:c>
      <x:c r="K875" s="16" t="n">
        <x:v>0</x:v>
      </x:c>
      <x:c r="L875" s="18" t="n">
        <x:v>0</x:v>
      </x:c>
      <x:c r="M875" s="18" t="n">
        <x:v>0</x:v>
      </x:c>
      <x:c r="O875" t="str">
        <x:v>2024-09-16</x:v>
      </x:c>
      <x:c r="P875" t="n">
        <x:v>1087772.9619016976</x:v>
      </x:c>
    </x:row>
    <x:row r="876" ht="15" hidden="0" customHeight="1">
      <x:c r="A876" s="13" t="str">
        <x:v>2024-09-17</x:v>
      </x:c>
      <x:c r="B876" s="13" t="n">
        <x:v>0</x:v>
      </x:c>
      <x:c r="C876" s="13" t="n">
        <x:v>0</x:v>
      </x:c>
      <x:c r="D876" s="16" t="n">
        <x:v>0</x:v>
      </x:c>
      <x:c r="E876" s="16" t="n">
        <x:v>0</x:v>
      </x:c>
      <x:c r="F876" s="16" t="n">
        <x:v>0</x:v>
      </x:c>
      <x:c r="G876" s="16" t="n">
        <x:v>0</x:v>
      </x:c>
      <x:c r="H876" s="16" t="n">
        <x:v>0</x:v>
      </x:c>
      <x:c r="I876" s="16" t="n">
        <x:v>1087772.9619016976</x:v>
      </x:c>
      <x:c r="J876" s="16" t="n">
        <x:v>1087772.9619016976</x:v>
      </x:c>
      <x:c r="K876" s="16" t="n">
        <x:v>0</x:v>
      </x:c>
      <x:c r="L876" s="18" t="n">
        <x:v>0</x:v>
      </x:c>
      <x:c r="M876" s="18" t="n">
        <x:v>0</x:v>
      </x:c>
      <x:c r="O876" t="str">
        <x:v>2024-09-17</x:v>
      </x:c>
      <x:c r="P876" t="n">
        <x:v>1087772.9619016976</x:v>
      </x:c>
    </x:row>
    <x:row r="877" ht="15" hidden="0" customHeight="1">
      <x:c r="A877" s="13" t="str">
        <x:v>2024-09-18</x:v>
      </x:c>
      <x:c r="B877" s="13" t="n">
        <x:v>0</x:v>
      </x:c>
      <x:c r="C877" s="13" t="n">
        <x:v>0</x:v>
      </x:c>
      <x:c r="D877" s="16" t="n">
        <x:v>0</x:v>
      </x:c>
      <x:c r="E877" s="16" t="n">
        <x:v>0</x:v>
      </x:c>
      <x:c r="F877" s="16" t="n">
        <x:v>0</x:v>
      </x:c>
      <x:c r="G877" s="16" t="n">
        <x:v>0</x:v>
      </x:c>
      <x:c r="H877" s="16" t="n">
        <x:v>0</x:v>
      </x:c>
      <x:c r="I877" s="16" t="n">
        <x:v>1087772.9619016976</x:v>
      </x:c>
      <x:c r="J877" s="16" t="n">
        <x:v>1087772.9619016976</x:v>
      </x:c>
      <x:c r="K877" s="16" t="n">
        <x:v>0</x:v>
      </x:c>
      <x:c r="L877" s="18" t="n">
        <x:v>0</x:v>
      </x:c>
      <x:c r="M877" s="18" t="n">
        <x:v>0</x:v>
      </x:c>
      <x:c r="O877" t="str">
        <x:v>2024-09-18</x:v>
      </x:c>
      <x:c r="P877" t="n">
        <x:v>1087772.9619016976</x:v>
      </x:c>
    </x:row>
    <x:row r="878" ht="15" hidden="0" customHeight="1">
      <x:c r="A878" s="13" t="str">
        <x:v>2024-09-19</x:v>
      </x:c>
      <x:c r="B878" s="13" t="n">
        <x:v>0</x:v>
      </x:c>
      <x:c r="C878" s="13" t="n">
        <x:v>0</x:v>
      </x:c>
      <x:c r="D878" s="16" t="n">
        <x:v>0</x:v>
      </x:c>
      <x:c r="E878" s="16" t="n">
        <x:v>0</x:v>
      </x:c>
      <x:c r="F878" s="16" t="n">
        <x:v>0</x:v>
      </x:c>
      <x:c r="G878" s="16" t="n">
        <x:v>0</x:v>
      </x:c>
      <x:c r="H878" s="16" t="n">
        <x:v>0</x:v>
      </x:c>
      <x:c r="I878" s="16" t="n">
        <x:v>1087772.9619016976</x:v>
      </x:c>
      <x:c r="J878" s="16" t="n">
        <x:v>1087772.9619016976</x:v>
      </x:c>
      <x:c r="K878" s="16" t="n">
        <x:v>0</x:v>
      </x:c>
      <x:c r="L878" s="18" t="n">
        <x:v>0</x:v>
      </x:c>
      <x:c r="M878" s="18" t="n">
        <x:v>0</x:v>
      </x:c>
      <x:c r="O878" t="str">
        <x:v>2024-09-19</x:v>
      </x:c>
      <x:c r="P878" t="n">
        <x:v>1087772.9619016976</x:v>
      </x:c>
    </x:row>
    <x:row r="879" ht="15" hidden="0" customHeight="1">
      <x:c r="A879" s="13" t="str">
        <x:v>2024-09-20</x:v>
      </x:c>
      <x:c r="B879" s="13" t="n">
        <x:v>0</x:v>
      </x:c>
      <x:c r="C879" s="13" t="n">
        <x:v>0</x:v>
      </x:c>
      <x:c r="D879" s="16" t="n">
        <x:v>0</x:v>
      </x:c>
      <x:c r="E879" s="16" t="n">
        <x:v>0</x:v>
      </x:c>
      <x:c r="F879" s="16" t="n">
        <x:v>0</x:v>
      </x:c>
      <x:c r="G879" s="16" t="n">
        <x:v>0</x:v>
      </x:c>
      <x:c r="H879" s="16" t="n">
        <x:v>0</x:v>
      </x:c>
      <x:c r="I879" s="16" t="n">
        <x:v>1087772.9619016976</x:v>
      </x:c>
      <x:c r="J879" s="16" t="n">
        <x:v>1087772.9619016976</x:v>
      </x:c>
      <x:c r="K879" s="16" t="n">
        <x:v>0</x:v>
      </x:c>
      <x:c r="L879" s="18" t="n">
        <x:v>0</x:v>
      </x:c>
      <x:c r="M879" s="18" t="n">
        <x:v>0</x:v>
      </x:c>
      <x:c r="O879" t="str">
        <x:v>2024-09-20</x:v>
      </x:c>
      <x:c r="P879" t="n">
        <x:v>1087772.9619016976</x:v>
      </x:c>
    </x:row>
    <x:row r="880" ht="15" hidden="0" customHeight="1">
      <x:c r="A880" s="13" t="str">
        <x:v>2024-09-23</x:v>
      </x:c>
      <x:c r="B880" s="13" t="n">
        <x:v>0</x:v>
      </x:c>
      <x:c r="C880" s="13" t="n">
        <x:v>0</x:v>
      </x:c>
      <x:c r="D880" s="16" t="n">
        <x:v>0</x:v>
      </x:c>
      <x:c r="E880" s="16" t="n">
        <x:v>0</x:v>
      </x:c>
      <x:c r="F880" s="16" t="n">
        <x:v>0</x:v>
      </x:c>
      <x:c r="G880" s="16" t="n">
        <x:v>0</x:v>
      </x:c>
      <x:c r="H880" s="16" t="n">
        <x:v>0</x:v>
      </x:c>
      <x:c r="I880" s="16" t="n">
        <x:v>1087772.9619016976</x:v>
      </x:c>
      <x:c r="J880" s="16" t="n">
        <x:v>1087772.9619016976</x:v>
      </x:c>
      <x:c r="K880" s="16" t="n">
        <x:v>0</x:v>
      </x:c>
      <x:c r="L880" s="18" t="n">
        <x:v>0</x:v>
      </x:c>
      <x:c r="M880" s="18" t="n">
        <x:v>0</x:v>
      </x:c>
      <x:c r="O880" t="str">
        <x:v>2024-09-23</x:v>
      </x:c>
      <x:c r="P880" t="n">
        <x:v>1087772.9619016976</x:v>
      </x:c>
    </x:row>
    <x:row r="881" ht="15" hidden="0" customHeight="1">
      <x:c r="A881" s="13" t="str">
        <x:v>2024-09-24</x:v>
      </x:c>
      <x:c r="B881" s="13" t="n">
        <x:v>0</x:v>
      </x:c>
      <x:c r="C881" s="13" t="n">
        <x:v>0</x:v>
      </x:c>
      <x:c r="D881" s="16" t="n">
        <x:v>0</x:v>
      </x:c>
      <x:c r="E881" s="16" t="n">
        <x:v>0</x:v>
      </x:c>
      <x:c r="F881" s="16" t="n">
        <x:v>0</x:v>
      </x:c>
      <x:c r="G881" s="16" t="n">
        <x:v>0</x:v>
      </x:c>
      <x:c r="H881" s="16" t="n">
        <x:v>0</x:v>
      </x:c>
      <x:c r="I881" s="16" t="n">
        <x:v>1087772.9619016976</x:v>
      </x:c>
      <x:c r="J881" s="16" t="n">
        <x:v>1087772.9619016976</x:v>
      </x:c>
      <x:c r="K881" s="16" t="n">
        <x:v>0</x:v>
      </x:c>
      <x:c r="L881" s="18" t="n">
        <x:v>0</x:v>
      </x:c>
      <x:c r="M881" s="18" t="n">
        <x:v>0</x:v>
      </x:c>
      <x:c r="O881" t="str">
        <x:v>2024-09-24</x:v>
      </x:c>
      <x:c r="P881" t="n">
        <x:v>1087772.9619016976</x:v>
      </x:c>
    </x:row>
    <x:row r="882" ht="15" hidden="0" customHeight="1">
      <x:c r="A882" s="13" t="str">
        <x:v>2024-09-25</x:v>
      </x:c>
      <x:c r="B882" s="13" t="n">
        <x:v>0</x:v>
      </x:c>
      <x:c r="C882" s="13" t="n">
        <x:v>0</x:v>
      </x:c>
      <x:c r="D882" s="16" t="n">
        <x:v>0</x:v>
      </x:c>
      <x:c r="E882" s="16" t="n">
        <x:v>0</x:v>
      </x:c>
      <x:c r="F882" s="16" t="n">
        <x:v>0</x:v>
      </x:c>
      <x:c r="G882" s="16" t="n">
        <x:v>0</x:v>
      </x:c>
      <x:c r="H882" s="16" t="n">
        <x:v>0</x:v>
      </x:c>
      <x:c r="I882" s="16" t="n">
        <x:v>1087772.9619016976</x:v>
      </x:c>
      <x:c r="J882" s="16" t="n">
        <x:v>1087772.9619016976</x:v>
      </x:c>
      <x:c r="K882" s="16" t="n">
        <x:v>0</x:v>
      </x:c>
      <x:c r="L882" s="18" t="n">
        <x:v>0</x:v>
      </x:c>
      <x:c r="M882" s="18" t="n">
        <x:v>0</x:v>
      </x:c>
      <x:c r="O882" t="str">
        <x:v>2024-09-25</x:v>
      </x:c>
      <x:c r="P882" t="n">
        <x:v>1087772.9619016976</x:v>
      </x:c>
    </x:row>
    <x:row r="883" ht="15" hidden="0" customHeight="1">
      <x:c r="A883" s="13" t="str">
        <x:v>2024-09-26</x:v>
      </x:c>
      <x:c r="B883" s="13" t="n">
        <x:v>0</x:v>
      </x:c>
      <x:c r="C883" s="13" t="n">
        <x:v>0</x:v>
      </x:c>
      <x:c r="D883" s="16" t="n">
        <x:v>0</x:v>
      </x:c>
      <x:c r="E883" s="16" t="n">
        <x:v>0</x:v>
      </x:c>
      <x:c r="F883" s="16" t="n">
        <x:v>0</x:v>
      </x:c>
      <x:c r="G883" s="16" t="n">
        <x:v>0</x:v>
      </x:c>
      <x:c r="H883" s="16" t="n">
        <x:v>0</x:v>
      </x:c>
      <x:c r="I883" s="16" t="n">
        <x:v>1087772.9619016976</x:v>
      </x:c>
      <x:c r="J883" s="16" t="n">
        <x:v>1087772.9619016976</x:v>
      </x:c>
      <x:c r="K883" s="16" t="n">
        <x:v>0</x:v>
      </x:c>
      <x:c r="L883" s="18" t="n">
        <x:v>0</x:v>
      </x:c>
      <x:c r="M883" s="18" t="n">
        <x:v>0</x:v>
      </x:c>
      <x:c r="O883" t="str">
        <x:v>2024-09-26</x:v>
      </x:c>
      <x:c r="P883" t="n">
        <x:v>1087772.9619016976</x:v>
      </x:c>
    </x:row>
    <x:row r="884" ht="15" hidden="0" customHeight="1">
      <x:c r="A884" s="13" t="str">
        <x:v>2024-09-27</x:v>
      </x:c>
      <x:c r="B884" s="13" t="n">
        <x:v>0</x:v>
      </x:c>
      <x:c r="C884" s="13" t="n">
        <x:v>0</x:v>
      </x:c>
      <x:c r="D884" s="16" t="n">
        <x:v>0</x:v>
      </x:c>
      <x:c r="E884" s="16" t="n">
        <x:v>0</x:v>
      </x:c>
      <x:c r="F884" s="16" t="n">
        <x:v>0</x:v>
      </x:c>
      <x:c r="G884" s="16" t="n">
        <x:v>0</x:v>
      </x:c>
      <x:c r="H884" s="16" t="n">
        <x:v>0</x:v>
      </x:c>
      <x:c r="I884" s="16" t="n">
        <x:v>1087772.9619016976</x:v>
      </x:c>
      <x:c r="J884" s="16" t="n">
        <x:v>1087772.9619016976</x:v>
      </x:c>
      <x:c r="K884" s="16" t="n">
        <x:v>0</x:v>
      </x:c>
      <x:c r="L884" s="18" t="n">
        <x:v>0</x:v>
      </x:c>
      <x:c r="M884" s="18" t="n">
        <x:v>0</x:v>
      </x:c>
      <x:c r="O884" t="str">
        <x:v>2024-09-27</x:v>
      </x:c>
      <x:c r="P884" t="n">
        <x:v>1087772.9619016976</x:v>
      </x:c>
    </x:row>
    <x:row r="885" ht="15" hidden="0" customHeight="1">
      <x:c r="A885" s="13" t="str">
        <x:v>2024-09-30</x:v>
      </x:c>
      <x:c r="B885" s="13" t="n">
        <x:v>0</x:v>
      </x:c>
      <x:c r="C885" s="13" t="n">
        <x:v>0</x:v>
      </x:c>
      <x:c r="D885" s="16" t="n">
        <x:v>0</x:v>
      </x:c>
      <x:c r="E885" s="16" t="n">
        <x:v>0</x:v>
      </x:c>
      <x:c r="F885" s="16" t="n">
        <x:v>0</x:v>
      </x:c>
      <x:c r="G885" s="16" t="n">
        <x:v>0</x:v>
      </x:c>
      <x:c r="H885" s="16" t="n">
        <x:v>0</x:v>
      </x:c>
      <x:c r="I885" s="16" t="n">
        <x:v>1087772.9619016976</x:v>
      </x:c>
      <x:c r="J885" s="16" t="n">
        <x:v>1087772.9619016976</x:v>
      </x:c>
      <x:c r="K885" s="16" t="n">
        <x:v>0</x:v>
      </x:c>
      <x:c r="L885" s="18" t="n">
        <x:v>0</x:v>
      </x:c>
      <x:c r="M885" s="18" t="n">
        <x:v>0</x:v>
      </x:c>
      <x:c r="O885" t="str">
        <x:v>2024-09-30</x:v>
      </x:c>
      <x:c r="P885" t="n">
        <x:v>1087772.9619016976</x:v>
      </x:c>
    </x:row>
    <x:row r="886" ht="15" hidden="0" customHeight="1">
      <x:c r="A886" s="13" t="str">
        <x:v>2024-10-01</x:v>
      </x:c>
      <x:c r="B886" s="13" t="n">
        <x:v>0</x:v>
      </x:c>
      <x:c r="C886" s="13" t="n">
        <x:v>0</x:v>
      </x:c>
      <x:c r="D886" s="16" t="n">
        <x:v>0</x:v>
      </x:c>
      <x:c r="E886" s="16" t="n">
        <x:v>0</x:v>
      </x:c>
      <x:c r="F886" s="16" t="n">
        <x:v>0</x:v>
      </x:c>
      <x:c r="G886" s="16" t="n">
        <x:v>0</x:v>
      </x:c>
      <x:c r="H886" s="16" t="n">
        <x:v>0</x:v>
      </x:c>
      <x:c r="I886" s="16" t="n">
        <x:v>1087772.9619016976</x:v>
      </x:c>
      <x:c r="J886" s="16" t="n">
        <x:v>1087772.9619016976</x:v>
      </x:c>
      <x:c r="K886" s="16" t="n">
        <x:v>0</x:v>
      </x:c>
      <x:c r="L886" s="18" t="n">
        <x:v>0</x:v>
      </x:c>
      <x:c r="M886" s="18" t="n">
        <x:v>0</x:v>
      </x:c>
      <x:c r="O886" t="str">
        <x:v>2024-10-01</x:v>
      </x:c>
      <x:c r="P886" t="n">
        <x:v>1087772.9619016976</x:v>
      </x:c>
    </x:row>
    <x:row r="887" ht="15" hidden="0" customHeight="1">
      <x:c r="A887" s="13" t="str">
        <x:v>2024-10-02</x:v>
      </x:c>
      <x:c r="B887" s="13" t="n">
        <x:v>0</x:v>
      </x:c>
      <x:c r="C887" s="13" t="n">
        <x:v>0</x:v>
      </x:c>
      <x:c r="D887" s="16" t="n">
        <x:v>0</x:v>
      </x:c>
      <x:c r="E887" s="16" t="n">
        <x:v>0</x:v>
      </x:c>
      <x:c r="F887" s="16" t="n">
        <x:v>0</x:v>
      </x:c>
      <x:c r="G887" s="16" t="n">
        <x:v>0</x:v>
      </x:c>
      <x:c r="H887" s="16" t="n">
        <x:v>0</x:v>
      </x:c>
      <x:c r="I887" s="16" t="n">
        <x:v>1087772.9619016976</x:v>
      </x:c>
      <x:c r="J887" s="16" t="n">
        <x:v>1087772.9619016976</x:v>
      </x:c>
      <x:c r="K887" s="16" t="n">
        <x:v>0</x:v>
      </x:c>
      <x:c r="L887" s="18" t="n">
        <x:v>0</x:v>
      </x:c>
      <x:c r="M887" s="18" t="n">
        <x:v>0</x:v>
      </x:c>
      <x:c r="O887" t="str">
        <x:v>2024-10-02</x:v>
      </x:c>
      <x:c r="P887" t="n">
        <x:v>1087772.9619016976</x:v>
      </x:c>
    </x:row>
    <x:row r="888" ht="15" hidden="0" customHeight="1">
      <x:c r="A888" s="13" t="str">
        <x:v>2024-10-03</x:v>
      </x:c>
      <x:c r="B888" s="13" t="n">
        <x:v>0</x:v>
      </x:c>
      <x:c r="C888" s="13" t="n">
        <x:v>0</x:v>
      </x:c>
      <x:c r="D888" s="16" t="n">
        <x:v>0</x:v>
      </x:c>
      <x:c r="E888" s="16" t="n">
        <x:v>0</x:v>
      </x:c>
      <x:c r="F888" s="16" t="n">
        <x:v>0</x:v>
      </x:c>
      <x:c r="G888" s="16" t="n">
        <x:v>0</x:v>
      </x:c>
      <x:c r="H888" s="16" t="n">
        <x:v>0</x:v>
      </x:c>
      <x:c r="I888" s="16" t="n">
        <x:v>1087772.9619016976</x:v>
      </x:c>
      <x:c r="J888" s="16" t="n">
        <x:v>1087772.9619016976</x:v>
      </x:c>
      <x:c r="K888" s="16" t="n">
        <x:v>0</x:v>
      </x:c>
      <x:c r="L888" s="18" t="n">
        <x:v>0</x:v>
      </x:c>
      <x:c r="M888" s="18" t="n">
        <x:v>0</x:v>
      </x:c>
      <x:c r="O888" t="str">
        <x:v>2024-10-03</x:v>
      </x:c>
      <x:c r="P888" t="n">
        <x:v>1087772.9619016976</x:v>
      </x:c>
    </x:row>
    <x:row r="889" ht="15" hidden="0" customHeight="1">
      <x:c r="A889" s="13" t="str">
        <x:v>2024-10-04</x:v>
      </x:c>
      <x:c r="B889" s="13" t="n">
        <x:v>0</x:v>
      </x:c>
      <x:c r="C889" s="13" t="n">
        <x:v>0</x:v>
      </x:c>
      <x:c r="D889" s="16" t="n">
        <x:v>0</x:v>
      </x:c>
      <x:c r="E889" s="16" t="n">
        <x:v>0</x:v>
      </x:c>
      <x:c r="F889" s="16" t="n">
        <x:v>0</x:v>
      </x:c>
      <x:c r="G889" s="16" t="n">
        <x:v>0</x:v>
      </x:c>
      <x:c r="H889" s="16" t="n">
        <x:v>0</x:v>
      </x:c>
      <x:c r="I889" s="16" t="n">
        <x:v>1087772.9619016976</x:v>
      </x:c>
      <x:c r="J889" s="16" t="n">
        <x:v>1087772.9619016976</x:v>
      </x:c>
      <x:c r="K889" s="16" t="n">
        <x:v>0</x:v>
      </x:c>
      <x:c r="L889" s="18" t="n">
        <x:v>0</x:v>
      </x:c>
      <x:c r="M889" s="18" t="n">
        <x:v>0</x:v>
      </x:c>
      <x:c r="O889" t="str">
        <x:v>2024-10-04</x:v>
      </x:c>
      <x:c r="P889" t="n">
        <x:v>1087772.9619016976</x:v>
      </x:c>
    </x:row>
    <x:row r="890" ht="15" hidden="0" customHeight="1">
      <x:c r="A890" s="13" t="str">
        <x:v>2024-10-07</x:v>
      </x:c>
      <x:c r="B890" s="13" t="n">
        <x:v>0</x:v>
      </x:c>
      <x:c r="C890" s="13" t="n">
        <x:v>0</x:v>
      </x:c>
      <x:c r="D890" s="16" t="n">
        <x:v>0</x:v>
      </x:c>
      <x:c r="E890" s="16" t="n">
        <x:v>0</x:v>
      </x:c>
      <x:c r="F890" s="16" t="n">
        <x:v>0</x:v>
      </x:c>
      <x:c r="G890" s="16" t="n">
        <x:v>0</x:v>
      </x:c>
      <x:c r="H890" s="16" t="n">
        <x:v>0</x:v>
      </x:c>
      <x:c r="I890" s="16" t="n">
        <x:v>1087772.9619016976</x:v>
      </x:c>
      <x:c r="J890" s="16" t="n">
        <x:v>1087772.9619016976</x:v>
      </x:c>
      <x:c r="K890" s="16" t="n">
        <x:v>0</x:v>
      </x:c>
      <x:c r="L890" s="18" t="n">
        <x:v>0</x:v>
      </x:c>
      <x:c r="M890" s="18" t="n">
        <x:v>0</x:v>
      </x:c>
      <x:c r="O890" t="str">
        <x:v>2024-10-07</x:v>
      </x:c>
      <x:c r="P890" t="n">
        <x:v>1087772.9619016976</x:v>
      </x:c>
    </x:row>
    <x:row r="891" ht="15" hidden="0" customHeight="1">
      <x:c r="A891" s="13" t="str">
        <x:v>2024-10-08</x:v>
      </x:c>
      <x:c r="B891" s="13" t="n">
        <x:v>0</x:v>
      </x:c>
      <x:c r="C891" s="13" t="n">
        <x:v>0</x:v>
      </x:c>
      <x:c r="D891" s="16" t="n">
        <x:v>0</x:v>
      </x:c>
      <x:c r="E891" s="16" t="n">
        <x:v>0</x:v>
      </x:c>
      <x:c r="F891" s="16" t="n">
        <x:v>0</x:v>
      </x:c>
      <x:c r="G891" s="16" t="n">
        <x:v>0</x:v>
      </x:c>
      <x:c r="H891" s="16" t="n">
        <x:v>0</x:v>
      </x:c>
      <x:c r="I891" s="16" t="n">
        <x:v>1087772.9619016976</x:v>
      </x:c>
      <x:c r="J891" s="16" t="n">
        <x:v>1087772.9619016976</x:v>
      </x:c>
      <x:c r="K891" s="16" t="n">
        <x:v>0</x:v>
      </x:c>
      <x:c r="L891" s="18" t="n">
        <x:v>0</x:v>
      </x:c>
      <x:c r="M891" s="18" t="n">
        <x:v>0</x:v>
      </x:c>
      <x:c r="O891" t="str">
        <x:v>2024-10-08</x:v>
      </x:c>
      <x:c r="P891" t="n">
        <x:v>1087772.9619016976</x:v>
      </x:c>
    </x:row>
    <x:row r="892" ht="15" hidden="0" customHeight="1">
      <x:c r="A892" s="13" t="str">
        <x:v>2024-10-09</x:v>
      </x:c>
      <x:c r="B892" s="13" t="n">
        <x:v>0</x:v>
      </x:c>
      <x:c r="C892" s="13" t="n">
        <x:v>0</x:v>
      </x:c>
      <x:c r="D892" s="16" t="n">
        <x:v>0</x:v>
      </x:c>
      <x:c r="E892" s="16" t="n">
        <x:v>0</x:v>
      </x:c>
      <x:c r="F892" s="16" t="n">
        <x:v>0</x:v>
      </x:c>
      <x:c r="G892" s="16" t="n">
        <x:v>0</x:v>
      </x:c>
      <x:c r="H892" s="16" t="n">
        <x:v>0</x:v>
      </x:c>
      <x:c r="I892" s="16" t="n">
        <x:v>1087772.9619016976</x:v>
      </x:c>
      <x:c r="J892" s="16" t="n">
        <x:v>1087772.9619016976</x:v>
      </x:c>
      <x:c r="K892" s="16" t="n">
        <x:v>0</x:v>
      </x:c>
      <x:c r="L892" s="18" t="n">
        <x:v>0</x:v>
      </x:c>
      <x:c r="M892" s="18" t="n">
        <x:v>0</x:v>
      </x:c>
      <x:c r="O892" t="str">
        <x:v>2024-10-09</x:v>
      </x:c>
      <x:c r="P892" t="n">
        <x:v>1087772.9619016976</x:v>
      </x:c>
    </x:row>
    <x:row r="893" ht="15" hidden="0" customHeight="1">
      <x:c r="A893" s="13" t="str">
        <x:v>2024-10-10</x:v>
      </x:c>
      <x:c r="B893" s="13" t="n">
        <x:v>0</x:v>
      </x:c>
      <x:c r="C893" s="13" t="n">
        <x:v>0</x:v>
      </x:c>
      <x:c r="D893" s="16" t="n">
        <x:v>0</x:v>
      </x:c>
      <x:c r="E893" s="16" t="n">
        <x:v>0</x:v>
      </x:c>
      <x:c r="F893" s="16" t="n">
        <x:v>0</x:v>
      </x:c>
      <x:c r="G893" s="16" t="n">
        <x:v>0</x:v>
      </x:c>
      <x:c r="H893" s="16" t="n">
        <x:v>0</x:v>
      </x:c>
      <x:c r="I893" s="16" t="n">
        <x:v>1087772.9619016976</x:v>
      </x:c>
      <x:c r="J893" s="16" t="n">
        <x:v>1087772.9619016976</x:v>
      </x:c>
      <x:c r="K893" s="16" t="n">
        <x:v>0</x:v>
      </x:c>
      <x:c r="L893" s="18" t="n">
        <x:v>0</x:v>
      </x:c>
      <x:c r="M893" s="18" t="n">
        <x:v>0</x:v>
      </x:c>
      <x:c r="O893" t="str">
        <x:v>2024-10-10</x:v>
      </x:c>
      <x:c r="P893" t="n">
        <x:v>1087772.9619016976</x:v>
      </x:c>
    </x:row>
    <x:row r="894" ht="15" hidden="0" customHeight="1">
      <x:c r="A894" s="13" t="str">
        <x:v>2024-10-11</x:v>
      </x:c>
      <x:c r="B894" s="13" t="n">
        <x:v>0</x:v>
      </x:c>
      <x:c r="C894" s="13" t="n">
        <x:v>0</x:v>
      </x:c>
      <x:c r="D894" s="16" t="n">
        <x:v>0</x:v>
      </x:c>
      <x:c r="E894" s="16" t="n">
        <x:v>0</x:v>
      </x:c>
      <x:c r="F894" s="16" t="n">
        <x:v>0</x:v>
      </x:c>
      <x:c r="G894" s="16" t="n">
        <x:v>0</x:v>
      </x:c>
      <x:c r="H894" s="16" t="n">
        <x:v>0</x:v>
      </x:c>
      <x:c r="I894" s="16" t="n">
        <x:v>1087772.9619016976</x:v>
      </x:c>
      <x:c r="J894" s="16" t="n">
        <x:v>1087772.9619016976</x:v>
      </x:c>
      <x:c r="K894" s="16" t="n">
        <x:v>0</x:v>
      </x:c>
      <x:c r="L894" s="18" t="n">
        <x:v>0</x:v>
      </x:c>
      <x:c r="M894" s="18" t="n">
        <x:v>0</x:v>
      </x:c>
      <x:c r="O894" t="str">
        <x:v>2024-10-11</x:v>
      </x:c>
      <x:c r="P894" t="n">
        <x:v>1087772.9619016976</x:v>
      </x:c>
    </x:row>
    <x:row r="895" ht="15" hidden="0" customHeight="1">
      <x:c r="A895" s="13" t="str">
        <x:v>2024-10-14</x:v>
      </x:c>
      <x:c r="B895" s="13" t="n">
        <x:v>0</x:v>
      </x:c>
      <x:c r="C895" s="13" t="n">
        <x:v>0</x:v>
      </x:c>
      <x:c r="D895" s="16" t="n">
        <x:v>0</x:v>
      </x:c>
      <x:c r="E895" s="16" t="n">
        <x:v>0</x:v>
      </x:c>
      <x:c r="F895" s="16" t="n">
        <x:v>0</x:v>
      </x:c>
      <x:c r="G895" s="16" t="n">
        <x:v>0</x:v>
      </x:c>
      <x:c r="H895" s="16" t="n">
        <x:v>0</x:v>
      </x:c>
      <x:c r="I895" s="16" t="n">
        <x:v>1087772.9619016976</x:v>
      </x:c>
      <x:c r="J895" s="16" t="n">
        <x:v>1087772.9619016976</x:v>
      </x:c>
      <x:c r="K895" s="16" t="n">
        <x:v>0</x:v>
      </x:c>
      <x:c r="L895" s="18" t="n">
        <x:v>0</x:v>
      </x:c>
      <x:c r="M895" s="18" t="n">
        <x:v>0</x:v>
      </x:c>
      <x:c r="O895" t="str">
        <x:v>2024-10-14</x:v>
      </x:c>
      <x:c r="P895" t="n">
        <x:v>1087772.9619016976</x:v>
      </x:c>
    </x:row>
    <x:row r="896" ht="15" hidden="0" customHeight="1">
      <x:c r="A896" s="13" t="str">
        <x:v>2024-10-15</x:v>
      </x:c>
      <x:c r="B896" s="13" t="n">
        <x:v>0</x:v>
      </x:c>
      <x:c r="C896" s="13" t="n">
        <x:v>0</x:v>
      </x:c>
      <x:c r="D896" s="16" t="n">
        <x:v>0</x:v>
      </x:c>
      <x:c r="E896" s="16" t="n">
        <x:v>0</x:v>
      </x:c>
      <x:c r="F896" s="16" t="n">
        <x:v>0</x:v>
      </x:c>
      <x:c r="G896" s="16" t="n">
        <x:v>0</x:v>
      </x:c>
      <x:c r="H896" s="16" t="n">
        <x:v>0</x:v>
      </x:c>
      <x:c r="I896" s="16" t="n">
        <x:v>1087772.9619016976</x:v>
      </x:c>
      <x:c r="J896" s="16" t="n">
        <x:v>1087772.9619016976</x:v>
      </x:c>
      <x:c r="K896" s="16" t="n">
        <x:v>0</x:v>
      </x:c>
      <x:c r="L896" s="18" t="n">
        <x:v>0</x:v>
      </x:c>
      <x:c r="M896" s="18" t="n">
        <x:v>0</x:v>
      </x:c>
      <x:c r="O896" t="str">
        <x:v>2024-10-15</x:v>
      </x:c>
      <x:c r="P896" t="n">
        <x:v>1087772.9619016976</x:v>
      </x:c>
    </x:row>
    <x:row r="897" ht="15" hidden="0" customHeight="1">
      <x:c r="A897" s="13" t="str">
        <x:v>2024-10-16</x:v>
      </x:c>
      <x:c r="B897" s="13" t="n">
        <x:v>0</x:v>
      </x:c>
      <x:c r="C897" s="13" t="n">
        <x:v>0</x:v>
      </x:c>
      <x:c r="D897" s="16" t="n">
        <x:v>0</x:v>
      </x:c>
      <x:c r="E897" s="16" t="n">
        <x:v>0</x:v>
      </x:c>
      <x:c r="F897" s="16" t="n">
        <x:v>0</x:v>
      </x:c>
      <x:c r="G897" s="16" t="n">
        <x:v>0</x:v>
      </x:c>
      <x:c r="H897" s="16" t="n">
        <x:v>0</x:v>
      </x:c>
      <x:c r="I897" s="16" t="n">
        <x:v>1087772.9619016976</x:v>
      </x:c>
      <x:c r="J897" s="16" t="n">
        <x:v>1087772.9619016976</x:v>
      </x:c>
      <x:c r="K897" s="16" t="n">
        <x:v>0</x:v>
      </x:c>
      <x:c r="L897" s="18" t="n">
        <x:v>0</x:v>
      </x:c>
      <x:c r="M897" s="18" t="n">
        <x:v>0</x:v>
      </x:c>
      <x:c r="O897" t="str">
        <x:v>2024-10-16</x:v>
      </x:c>
      <x:c r="P897" t="n">
        <x:v>1087772.9619016976</x:v>
      </x:c>
    </x:row>
    <x:row r="898" ht="15" hidden="0" customHeight="1">
      <x:c r="A898" s="13" t="str">
        <x:v>2024-10-17</x:v>
      </x:c>
      <x:c r="B898" s="13" t="n">
        <x:v>0</x:v>
      </x:c>
      <x:c r="C898" s="13" t="n">
        <x:v>0</x:v>
      </x:c>
      <x:c r="D898" s="16" t="n">
        <x:v>0</x:v>
      </x:c>
      <x:c r="E898" s="16" t="n">
        <x:v>0</x:v>
      </x:c>
      <x:c r="F898" s="16" t="n">
        <x:v>0</x:v>
      </x:c>
      <x:c r="G898" s="16" t="n">
        <x:v>0</x:v>
      </x:c>
      <x:c r="H898" s="16" t="n">
        <x:v>0</x:v>
      </x:c>
      <x:c r="I898" s="16" t="n">
        <x:v>1087772.9619016976</x:v>
      </x:c>
      <x:c r="J898" s="16" t="n">
        <x:v>1087772.9619016976</x:v>
      </x:c>
      <x:c r="K898" s="16" t="n">
        <x:v>0</x:v>
      </x:c>
      <x:c r="L898" s="18" t="n">
        <x:v>0</x:v>
      </x:c>
      <x:c r="M898" s="18" t="n">
        <x:v>0</x:v>
      </x:c>
      <x:c r="O898" t="str">
        <x:v>2024-10-17</x:v>
      </x:c>
      <x:c r="P898" t="n">
        <x:v>1087772.9619016976</x:v>
      </x:c>
    </x:row>
    <x:row r="899" ht="15" hidden="0" customHeight="1">
      <x:c r="A899" s="13" t="str">
        <x:v>2024-10-18</x:v>
      </x:c>
      <x:c r="B899" s="13" t="n">
        <x:v>0</x:v>
      </x:c>
      <x:c r="C899" s="13" t="n">
        <x:v>0</x:v>
      </x:c>
      <x:c r="D899" s="16" t="n">
        <x:v>0</x:v>
      </x:c>
      <x:c r="E899" s="16" t="n">
        <x:v>0</x:v>
      </x:c>
      <x:c r="F899" s="16" t="n">
        <x:v>0</x:v>
      </x:c>
      <x:c r="G899" s="16" t="n">
        <x:v>0</x:v>
      </x:c>
      <x:c r="H899" s="16" t="n">
        <x:v>0</x:v>
      </x:c>
      <x:c r="I899" s="16" t="n">
        <x:v>1087772.9619016976</x:v>
      </x:c>
      <x:c r="J899" s="16" t="n">
        <x:v>1087772.9619016976</x:v>
      </x:c>
      <x:c r="K899" s="16" t="n">
        <x:v>0</x:v>
      </x:c>
      <x:c r="L899" s="18" t="n">
        <x:v>0</x:v>
      </x:c>
      <x:c r="M899" s="18" t="n">
        <x:v>0</x:v>
      </x:c>
      <x:c r="O899" t="str">
        <x:v>2024-10-18</x:v>
      </x:c>
      <x:c r="P899" t="n">
        <x:v>1087772.9619016976</x:v>
      </x:c>
    </x:row>
    <x:row r="900" ht="15" hidden="0" customHeight="1">
      <x:c r="A900" s="13" t="str">
        <x:v>2024-10-21</x:v>
      </x:c>
      <x:c r="B900" s="13" t="n">
        <x:v>0</x:v>
      </x:c>
      <x:c r="C900" s="13" t="n">
        <x:v>0</x:v>
      </x:c>
      <x:c r="D900" s="16" t="n">
        <x:v>0</x:v>
      </x:c>
      <x:c r="E900" s="16" t="n">
        <x:v>0</x:v>
      </x:c>
      <x:c r="F900" s="16" t="n">
        <x:v>0</x:v>
      </x:c>
      <x:c r="G900" s="16" t="n">
        <x:v>0</x:v>
      </x:c>
      <x:c r="H900" s="16" t="n">
        <x:v>0</x:v>
      </x:c>
      <x:c r="I900" s="16" t="n">
        <x:v>1087772.9619016976</x:v>
      </x:c>
      <x:c r="J900" s="16" t="n">
        <x:v>1087772.9619016976</x:v>
      </x:c>
      <x:c r="K900" s="16" t="n">
        <x:v>0</x:v>
      </x:c>
      <x:c r="L900" s="18" t="n">
        <x:v>0</x:v>
      </x:c>
      <x:c r="M900" s="18" t="n">
        <x:v>0</x:v>
      </x:c>
      <x:c r="O900" t="str">
        <x:v>2024-10-21</x:v>
      </x:c>
      <x:c r="P900" t="n">
        <x:v>1087772.9619016976</x:v>
      </x:c>
    </x:row>
    <x:row r="901" ht="15" hidden="0" customHeight="1">
      <x:c r="A901" s="13" t="str">
        <x:v>2024-10-22</x:v>
      </x:c>
      <x:c r="B901" s="13" t="n">
        <x:v>0</x:v>
      </x:c>
      <x:c r="C901" s="13" t="n">
        <x:v>0</x:v>
      </x:c>
      <x:c r="D901" s="16" t="n">
        <x:v>0</x:v>
      </x:c>
      <x:c r="E901" s="16" t="n">
        <x:v>0</x:v>
      </x:c>
      <x:c r="F901" s="16" t="n">
        <x:v>0</x:v>
      </x:c>
      <x:c r="G901" s="16" t="n">
        <x:v>0</x:v>
      </x:c>
      <x:c r="H901" s="16" t="n">
        <x:v>0</x:v>
      </x:c>
      <x:c r="I901" s="16" t="n">
        <x:v>1087772.9619016976</x:v>
      </x:c>
      <x:c r="J901" s="16" t="n">
        <x:v>1087772.9619016976</x:v>
      </x:c>
      <x:c r="K901" s="16" t="n">
        <x:v>0</x:v>
      </x:c>
      <x:c r="L901" s="18" t="n">
        <x:v>0</x:v>
      </x:c>
      <x:c r="M901" s="18" t="n">
        <x:v>0</x:v>
      </x:c>
      <x:c r="O901" t="str">
        <x:v>2024-10-22</x:v>
      </x:c>
      <x:c r="P901" t="n">
        <x:v>1087772.9619016976</x:v>
      </x:c>
    </x:row>
    <x:row r="902" ht="15" hidden="0" customHeight="1">
      <x:c r="A902" s="13" t="str">
        <x:v>2024-10-23</x:v>
      </x:c>
      <x:c r="B902" s="13" t="n">
        <x:v>0</x:v>
      </x:c>
      <x:c r="C902" s="13" t="n">
        <x:v>0</x:v>
      </x:c>
      <x:c r="D902" s="16" t="n">
        <x:v>0</x:v>
      </x:c>
      <x:c r="E902" s="16" t="n">
        <x:v>0</x:v>
      </x:c>
      <x:c r="F902" s="16" t="n">
        <x:v>0</x:v>
      </x:c>
      <x:c r="G902" s="16" t="n">
        <x:v>0</x:v>
      </x:c>
      <x:c r="H902" s="16" t="n">
        <x:v>0</x:v>
      </x:c>
      <x:c r="I902" s="16" t="n">
        <x:v>1087772.9619016976</x:v>
      </x:c>
      <x:c r="J902" s="16" t="n">
        <x:v>1087772.9619016976</x:v>
      </x:c>
      <x:c r="K902" s="16" t="n">
        <x:v>0</x:v>
      </x:c>
      <x:c r="L902" s="18" t="n">
        <x:v>0</x:v>
      </x:c>
      <x:c r="M902" s="18" t="n">
        <x:v>0</x:v>
      </x:c>
      <x:c r="O902" t="str">
        <x:v>2024-10-23</x:v>
      </x:c>
      <x:c r="P902" t="n">
        <x:v>1087772.9619016976</x:v>
      </x:c>
    </x:row>
    <x:row r="903" ht="15" hidden="0" customHeight="1">
      <x:c r="A903" s="13" t="str">
        <x:v>2024-10-24</x:v>
      </x:c>
      <x:c r="B903" s="13" t="n">
        <x:v>0</x:v>
      </x:c>
      <x:c r="C903" s="13" t="n">
        <x:v>0</x:v>
      </x:c>
      <x:c r="D903" s="16" t="n">
        <x:v>0</x:v>
      </x:c>
      <x:c r="E903" s="16" t="n">
        <x:v>0</x:v>
      </x:c>
      <x:c r="F903" s="16" t="n">
        <x:v>0</x:v>
      </x:c>
      <x:c r="G903" s="16" t="n">
        <x:v>0</x:v>
      </x:c>
      <x:c r="H903" s="16" t="n">
        <x:v>0</x:v>
      </x:c>
      <x:c r="I903" s="16" t="n">
        <x:v>1087772.9619016976</x:v>
      </x:c>
      <x:c r="J903" s="16" t="n">
        <x:v>1087772.9619016976</x:v>
      </x:c>
      <x:c r="K903" s="16" t="n">
        <x:v>0</x:v>
      </x:c>
      <x:c r="L903" s="18" t="n">
        <x:v>0</x:v>
      </x:c>
      <x:c r="M903" s="18" t="n">
        <x:v>0</x:v>
      </x:c>
      <x:c r="O903" t="str">
        <x:v>2024-10-24</x:v>
      </x:c>
      <x:c r="P903" t="n">
        <x:v>1087772.9619016976</x:v>
      </x:c>
    </x:row>
    <x:row r="904" ht="15" hidden="0" customHeight="1">
      <x:c r="A904" s="13" t="str">
        <x:v>2024-10-25</x:v>
      </x:c>
      <x:c r="B904" s="13" t="n">
        <x:v>0</x:v>
      </x:c>
      <x:c r="C904" s="13" t="n">
        <x:v>0</x:v>
      </x:c>
      <x:c r="D904" s="16" t="n">
        <x:v>0</x:v>
      </x:c>
      <x:c r="E904" s="16" t="n">
        <x:v>0</x:v>
      </x:c>
      <x:c r="F904" s="16" t="n">
        <x:v>0</x:v>
      </x:c>
      <x:c r="G904" s="16" t="n">
        <x:v>0</x:v>
      </x:c>
      <x:c r="H904" s="16" t="n">
        <x:v>0</x:v>
      </x:c>
      <x:c r="I904" s="16" t="n">
        <x:v>1087772.9619016976</x:v>
      </x:c>
      <x:c r="J904" s="16" t="n">
        <x:v>1087772.9619016976</x:v>
      </x:c>
      <x:c r="K904" s="16" t="n">
        <x:v>0</x:v>
      </x:c>
      <x:c r="L904" s="18" t="n">
        <x:v>0</x:v>
      </x:c>
      <x:c r="M904" s="18" t="n">
        <x:v>0</x:v>
      </x:c>
      <x:c r="O904" t="str">
        <x:v>2024-10-25</x:v>
      </x:c>
      <x:c r="P904" t="n">
        <x:v>1087772.9619016976</x:v>
      </x:c>
    </x:row>
    <x:row r="905" ht="15" hidden="0" customHeight="1">
      <x:c r="A905" s="13" t="str">
        <x:v>2024-10-28</x:v>
      </x:c>
      <x:c r="B905" s="13" t="n">
        <x:v>0</x:v>
      </x:c>
      <x:c r="C905" s="13" t="n">
        <x:v>0</x:v>
      </x:c>
      <x:c r="D905" s="16" t="n">
        <x:v>0</x:v>
      </x:c>
      <x:c r="E905" s="16" t="n">
        <x:v>0</x:v>
      </x:c>
      <x:c r="F905" s="16" t="n">
        <x:v>0</x:v>
      </x:c>
      <x:c r="G905" s="16" t="n">
        <x:v>0</x:v>
      </x:c>
      <x:c r="H905" s="16" t="n">
        <x:v>0</x:v>
      </x:c>
      <x:c r="I905" s="16" t="n">
        <x:v>1087772.9619016976</x:v>
      </x:c>
      <x:c r="J905" s="16" t="n">
        <x:v>1087772.9619016976</x:v>
      </x:c>
      <x:c r="K905" s="16" t="n">
        <x:v>0</x:v>
      </x:c>
      <x:c r="L905" s="18" t="n">
        <x:v>0</x:v>
      </x:c>
      <x:c r="M905" s="18" t="n">
        <x:v>0</x:v>
      </x:c>
      <x:c r="O905" t="str">
        <x:v>2024-10-28</x:v>
      </x:c>
      <x:c r="P905" t="n">
        <x:v>1087772.9619016976</x:v>
      </x:c>
    </x:row>
    <x:row r="906" ht="15" hidden="0" customHeight="1">
      <x:c r="A906" s="13" t="str">
        <x:v>2024-10-29</x:v>
      </x:c>
      <x:c r="B906" s="13" t="n">
        <x:v>0</x:v>
      </x:c>
      <x:c r="C906" s="13" t="n">
        <x:v>0</x:v>
      </x:c>
      <x:c r="D906" s="16" t="n">
        <x:v>0</x:v>
      </x:c>
      <x:c r="E906" s="16" t="n">
        <x:v>0</x:v>
      </x:c>
      <x:c r="F906" s="16" t="n">
        <x:v>0</x:v>
      </x:c>
      <x:c r="G906" s="16" t="n">
        <x:v>0</x:v>
      </x:c>
      <x:c r="H906" s="16" t="n">
        <x:v>0</x:v>
      </x:c>
      <x:c r="I906" s="16" t="n">
        <x:v>1087772.9619016976</x:v>
      </x:c>
      <x:c r="J906" s="16" t="n">
        <x:v>1087772.9619016976</x:v>
      </x:c>
      <x:c r="K906" s="16" t="n">
        <x:v>0</x:v>
      </x:c>
      <x:c r="L906" s="18" t="n">
        <x:v>0</x:v>
      </x:c>
      <x:c r="M906" s="18" t="n">
        <x:v>0</x:v>
      </x:c>
      <x:c r="O906" t="str">
        <x:v>2024-10-29</x:v>
      </x:c>
      <x:c r="P906" t="n">
        <x:v>1087772.9619016976</x:v>
      </x:c>
    </x:row>
    <x:row r="907" ht="15" hidden="0" customHeight="1">
      <x:c r="A907" s="13" t="str">
        <x:v>2024-10-30</x:v>
      </x:c>
      <x:c r="B907" s="13" t="n">
        <x:v>0</x:v>
      </x:c>
      <x:c r="C907" s="13" t="n">
        <x:v>0</x:v>
      </x:c>
      <x:c r="D907" s="16" t="n">
        <x:v>0</x:v>
      </x:c>
      <x:c r="E907" s="16" t="n">
        <x:v>0</x:v>
      </x:c>
      <x:c r="F907" s="16" t="n">
        <x:v>0</x:v>
      </x:c>
      <x:c r="G907" s="16" t="n">
        <x:v>0</x:v>
      </x:c>
      <x:c r="H907" s="16" t="n">
        <x:v>0</x:v>
      </x:c>
      <x:c r="I907" s="16" t="n">
        <x:v>1087772.9619016976</x:v>
      </x:c>
      <x:c r="J907" s="16" t="n">
        <x:v>1087772.9619016976</x:v>
      </x:c>
      <x:c r="K907" s="16" t="n">
        <x:v>0</x:v>
      </x:c>
      <x:c r="L907" s="18" t="n">
        <x:v>0</x:v>
      </x:c>
      <x:c r="M907" s="18" t="n">
        <x:v>0</x:v>
      </x:c>
      <x:c r="O907" t="str">
        <x:v>2024-10-30</x:v>
      </x:c>
      <x:c r="P907" t="n">
        <x:v>1087772.9619016976</x:v>
      </x:c>
    </x:row>
    <x:row r="908" ht="15" hidden="0" customHeight="1">
      <x:c r="A908" s="13" t="str">
        <x:v>2024-10-31</x:v>
      </x:c>
      <x:c r="B908" s="13" t="n">
        <x:v>0</x:v>
      </x:c>
      <x:c r="C908" s="13" t="n">
        <x:v>0</x:v>
      </x:c>
      <x:c r="D908" s="16" t="n">
        <x:v>0</x:v>
      </x:c>
      <x:c r="E908" s="16" t="n">
        <x:v>0</x:v>
      </x:c>
      <x:c r="F908" s="16" t="n">
        <x:v>0</x:v>
      </x:c>
      <x:c r="G908" s="16" t="n">
        <x:v>0</x:v>
      </x:c>
      <x:c r="H908" s="16" t="n">
        <x:v>0</x:v>
      </x:c>
      <x:c r="I908" s="16" t="n">
        <x:v>1087772.9619016976</x:v>
      </x:c>
      <x:c r="J908" s="16" t="n">
        <x:v>1087772.9619016976</x:v>
      </x:c>
      <x:c r="K908" s="16" t="n">
        <x:v>0</x:v>
      </x:c>
      <x:c r="L908" s="18" t="n">
        <x:v>0</x:v>
      </x:c>
      <x:c r="M908" s="18" t="n">
        <x:v>0</x:v>
      </x:c>
      <x:c r="O908" t="str">
        <x:v>2024-10-31</x:v>
      </x:c>
      <x:c r="P908" t="n">
        <x:v>1087772.9619016976</x:v>
      </x:c>
    </x:row>
    <x:row r="909" ht="15" hidden="0" customHeight="1">
      <x:c r="A909" s="13" t="str">
        <x:v>2024-11-01</x:v>
      </x:c>
      <x:c r="B909" s="13" t="n">
        <x:v>0</x:v>
      </x:c>
      <x:c r="C909" s="13" t="n">
        <x:v>0</x:v>
      </x:c>
      <x:c r="D909" s="16" t="n">
        <x:v>0</x:v>
      </x:c>
      <x:c r="E909" s="16" t="n">
        <x:v>0</x:v>
      </x:c>
      <x:c r="F909" s="16" t="n">
        <x:v>0</x:v>
      </x:c>
      <x:c r="G909" s="16" t="n">
        <x:v>0</x:v>
      </x:c>
      <x:c r="H909" s="16" t="n">
        <x:v>0</x:v>
      </x:c>
      <x:c r="I909" s="16" t="n">
        <x:v>1087772.9619016976</x:v>
      </x:c>
      <x:c r="J909" s="16" t="n">
        <x:v>1087772.9619016976</x:v>
      </x:c>
      <x:c r="K909" s="16" t="n">
        <x:v>0</x:v>
      </x:c>
      <x:c r="L909" s="18" t="n">
        <x:v>0</x:v>
      </x:c>
      <x:c r="M909" s="18" t="n">
        <x:v>0</x:v>
      </x:c>
      <x:c r="O909" t="str">
        <x:v>2024-11-01</x:v>
      </x:c>
      <x:c r="P909" t="n">
        <x:v>1087772.9619016976</x:v>
      </x:c>
    </x:row>
    <x:row r="910" ht="15" hidden="0" customHeight="1">
      <x:c r="A910" s="13" t="str">
        <x:v>2024-11-04</x:v>
      </x:c>
      <x:c r="B910" s="13" t="n">
        <x:v>0</x:v>
      </x:c>
      <x:c r="C910" s="13" t="n">
        <x:v>0</x:v>
      </x:c>
      <x:c r="D910" s="16" t="n">
        <x:v>0</x:v>
      </x:c>
      <x:c r="E910" s="16" t="n">
        <x:v>0</x:v>
      </x:c>
      <x:c r="F910" s="16" t="n">
        <x:v>0</x:v>
      </x:c>
      <x:c r="G910" s="16" t="n">
        <x:v>0</x:v>
      </x:c>
      <x:c r="H910" s="16" t="n">
        <x:v>0</x:v>
      </x:c>
      <x:c r="I910" s="16" t="n">
        <x:v>1087772.9619016976</x:v>
      </x:c>
      <x:c r="J910" s="16" t="n">
        <x:v>1087772.9619016976</x:v>
      </x:c>
      <x:c r="K910" s="16" t="n">
        <x:v>0</x:v>
      </x:c>
      <x:c r="L910" s="18" t="n">
        <x:v>0</x:v>
      </x:c>
      <x:c r="M910" s="18" t="n">
        <x:v>0</x:v>
      </x:c>
      <x:c r="O910" t="str">
        <x:v>2024-11-04</x:v>
      </x:c>
      <x:c r="P910" t="n">
        <x:v>1087772.9619016976</x:v>
      </x:c>
    </x:row>
    <x:row r="911" ht="15" hidden="0" customHeight="1">
      <x:c r="A911" s="13" t="str">
        <x:v>2024-11-05</x:v>
      </x:c>
      <x:c r="B911" s="13" t="n">
        <x:v>1</x:v>
      </x:c>
      <x:c r="C911" s="13" t="n">
        <x:v>11</x:v>
      </x:c>
      <x:c r="D911" s="16" t="n">
        <x:v>494.99999999999534</x:v>
      </x:c>
      <x:c r="E911" s="16" t="n">
        <x:v>1426.8083987908856</x:v>
      </x:c>
      <x:c r="F911" s="16" t="n">
        <x:v>-931.8083987908902</x:v>
      </x:c>
      <x:c r="G911" s="16" t="n">
        <x:v>347980.76246124326</x:v>
      </x:c>
      <x:c r="H911" s="16" t="n">
        <x:v>374923.7030358905</x:v>
      </x:c>
      <x:c r="I911" s="16" t="n">
        <x:v>1086841.153502907</x:v>
      </x:c>
      <x:c r="J911" s="16" t="n">
        <x:v>1087772.9619016976</x:v>
      </x:c>
      <x:c r="K911" s="16" t="n">
        <x:v>-931.8083987908904</x:v>
      </x:c>
      <x:c r="L911" s="18" t="n">
        <x:v>-0.0008566202980094</x:v>
      </x:c>
      <x:c r="M911" s="18" t="n">
        <x:v>-0.0008566202980094</x:v>
      </x:c>
      <x:c r="O911" t="str">
        <x:v>2024-11-05</x:v>
      </x:c>
      <x:c r="P911" t="n">
        <x:v>1086841.153502907</x:v>
      </x:c>
    </x:row>
    <x:row r="912" ht="15" hidden="0" customHeight="1">
      <x:c r="A912" s="13" t="str">
        <x:v>2024-11-06</x:v>
      </x:c>
      <x:c r="B912" s="13" t="n">
        <x:v>0</x:v>
      </x:c>
      <x:c r="C912" s="13" t="n">
        <x:v>0</x:v>
      </x:c>
      <x:c r="D912" s="16" t="n">
        <x:v>0</x:v>
      </x:c>
      <x:c r="E912" s="16" t="n">
        <x:v>0</x:v>
      </x:c>
      <x:c r="F912" s="16" t="n">
        <x:v>0</x:v>
      </x:c>
      <x:c r="G912" s="16" t="n">
        <x:v>0</x:v>
      </x:c>
      <x:c r="H912" s="16" t="n">
        <x:v>0</x:v>
      </x:c>
      <x:c r="I912" s="16" t="n">
        <x:v>1086841.153502907</x:v>
      </x:c>
      <x:c r="J912" s="16" t="n">
        <x:v>1087772.9619016976</x:v>
      </x:c>
      <x:c r="K912" s="16" t="n">
        <x:v>-931.8083987908904</x:v>
      </x:c>
      <x:c r="L912" s="18" t="n">
        <x:v>-0.0008566202980094</x:v>
      </x:c>
      <x:c r="M912" s="18" t="n">
        <x:v>0</x:v>
      </x:c>
      <x:c r="O912" t="str">
        <x:v>2024-11-06</x:v>
      </x:c>
      <x:c r="P912" t="n">
        <x:v>1086841.153502907</x:v>
      </x:c>
    </x:row>
    <x:row r="913" ht="15" hidden="0" customHeight="1">
      <x:c r="A913" s="13" t="str">
        <x:v>2024-11-07</x:v>
      </x:c>
      <x:c r="B913" s="13" t="n">
        <x:v>0</x:v>
      </x:c>
      <x:c r="C913" s="13" t="n">
        <x:v>0</x:v>
      </x:c>
      <x:c r="D913" s="16" t="n">
        <x:v>0</x:v>
      </x:c>
      <x:c r="E913" s="16" t="n">
        <x:v>0</x:v>
      </x:c>
      <x:c r="F913" s="16" t="n">
        <x:v>0</x:v>
      </x:c>
      <x:c r="G913" s="16" t="n">
        <x:v>0</x:v>
      </x:c>
      <x:c r="H913" s="16" t="n">
        <x:v>0</x:v>
      </x:c>
      <x:c r="I913" s="16" t="n">
        <x:v>1086841.153502907</x:v>
      </x:c>
      <x:c r="J913" s="16" t="n">
        <x:v>1087772.9619016976</x:v>
      </x:c>
      <x:c r="K913" s="16" t="n">
        <x:v>-931.8083987908904</x:v>
      </x:c>
      <x:c r="L913" s="18" t="n">
        <x:v>-0.0008566202980094</x:v>
      </x:c>
      <x:c r="M913" s="18" t="n">
        <x:v>0</x:v>
      </x:c>
      <x:c r="O913" t="str">
        <x:v>2024-11-07</x:v>
      </x:c>
      <x:c r="P913" t="n">
        <x:v>1086841.153502907</x:v>
      </x:c>
    </x:row>
    <x:row r="914" ht="15" hidden="0" customHeight="1">
      <x:c r="A914" s="13" t="str">
        <x:v>2024-11-08</x:v>
      </x:c>
      <x:c r="B914" s="13" t="n">
        <x:v>0</x:v>
      </x:c>
      <x:c r="C914" s="13" t="n">
        <x:v>0</x:v>
      </x:c>
      <x:c r="D914" s="16" t="n">
        <x:v>0</x:v>
      </x:c>
      <x:c r="E914" s="16" t="n">
        <x:v>0</x:v>
      </x:c>
      <x:c r="F914" s="16" t="n">
        <x:v>0</x:v>
      </x:c>
      <x:c r="G914" s="16" t="n">
        <x:v>0</x:v>
      </x:c>
      <x:c r="H914" s="16" t="n">
        <x:v>0</x:v>
      </x:c>
      <x:c r="I914" s="16" t="n">
        <x:v>1086841.153502907</x:v>
      </x:c>
      <x:c r="J914" s="16" t="n">
        <x:v>1087772.9619016976</x:v>
      </x:c>
      <x:c r="K914" s="16" t="n">
        <x:v>-931.8083987908904</x:v>
      </x:c>
      <x:c r="L914" s="18" t="n">
        <x:v>-0.0008566202980094</x:v>
      </x:c>
      <x:c r="M914" s="18" t="n">
        <x:v>0</x:v>
      </x:c>
      <x:c r="O914" t="str">
        <x:v>2024-11-08</x:v>
      </x:c>
      <x:c r="P914" t="n">
        <x:v>1086841.153502907</x:v>
      </x:c>
    </x:row>
    <x:row r="915" ht="15" hidden="0" customHeight="1">
      <x:c r="A915" s="13" t="str">
        <x:v>2024-11-11</x:v>
      </x:c>
      <x:c r="B915" s="13" t="n">
        <x:v>0</x:v>
      </x:c>
      <x:c r="C915" s="13" t="n">
        <x:v>0</x:v>
      </x:c>
      <x:c r="D915" s="16" t="n">
        <x:v>0</x:v>
      </x:c>
      <x:c r="E915" s="16" t="n">
        <x:v>0</x:v>
      </x:c>
      <x:c r="F915" s="16" t="n">
        <x:v>0</x:v>
      </x:c>
      <x:c r="G915" s="16" t="n">
        <x:v>0</x:v>
      </x:c>
      <x:c r="H915" s="16" t="n">
        <x:v>0</x:v>
      </x:c>
      <x:c r="I915" s="16" t="n">
        <x:v>1086841.153502907</x:v>
      </x:c>
      <x:c r="J915" s="16" t="n">
        <x:v>1087772.9619016976</x:v>
      </x:c>
      <x:c r="K915" s="16" t="n">
        <x:v>-931.8083987908904</x:v>
      </x:c>
      <x:c r="L915" s="18" t="n">
        <x:v>-0.0008566202980094</x:v>
      </x:c>
      <x:c r="M915" s="18" t="n">
        <x:v>0</x:v>
      </x:c>
      <x:c r="O915" t="str">
        <x:v>2024-11-11</x:v>
      </x:c>
      <x:c r="P915" t="n">
        <x:v>1086841.153502907</x:v>
      </x:c>
    </x:row>
    <x:row r="916" ht="15" hidden="0" customHeight="1">
      <x:c r="A916" s="13" t="str">
        <x:v>2024-11-12</x:v>
      </x:c>
      <x:c r="B916" s="13" t="n">
        <x:v>0</x:v>
      </x:c>
      <x:c r="C916" s="13" t="n">
        <x:v>0</x:v>
      </x:c>
      <x:c r="D916" s="16" t="n">
        <x:v>0</x:v>
      </x:c>
      <x:c r="E916" s="16" t="n">
        <x:v>0</x:v>
      </x:c>
      <x:c r="F916" s="16" t="n">
        <x:v>0</x:v>
      </x:c>
      <x:c r="G916" s="16" t="n">
        <x:v>0</x:v>
      </x:c>
      <x:c r="H916" s="16" t="n">
        <x:v>0</x:v>
      </x:c>
      <x:c r="I916" s="16" t="n">
        <x:v>1086841.153502907</x:v>
      </x:c>
      <x:c r="J916" s="16" t="n">
        <x:v>1087772.9619016976</x:v>
      </x:c>
      <x:c r="K916" s="16" t="n">
        <x:v>-931.8083987908904</x:v>
      </x:c>
      <x:c r="L916" s="18" t="n">
        <x:v>-0.0008566202980094</x:v>
      </x:c>
      <x:c r="M916" s="18" t="n">
        <x:v>0</x:v>
      </x:c>
      <x:c r="O916" t="str">
        <x:v>2024-11-12</x:v>
      </x:c>
      <x:c r="P916" t="n">
        <x:v>1086841.153502907</x:v>
      </x:c>
    </x:row>
    <x:row r="917" ht="15" hidden="0" customHeight="1">
      <x:c r="A917" s="13" t="str">
        <x:v>2024-11-13</x:v>
      </x:c>
      <x:c r="B917" s="13" t="n">
        <x:v>0</x:v>
      </x:c>
      <x:c r="C917" s="13" t="n">
        <x:v>0</x:v>
      </x:c>
      <x:c r="D917" s="16" t="n">
        <x:v>0</x:v>
      </x:c>
      <x:c r="E917" s="16" t="n">
        <x:v>0</x:v>
      </x:c>
      <x:c r="F917" s="16" t="n">
        <x:v>0</x:v>
      </x:c>
      <x:c r="G917" s="16" t="n">
        <x:v>0</x:v>
      </x:c>
      <x:c r="H917" s="16" t="n">
        <x:v>0</x:v>
      </x:c>
      <x:c r="I917" s="16" t="n">
        <x:v>1086841.153502907</x:v>
      </x:c>
      <x:c r="J917" s="16" t="n">
        <x:v>1087772.9619016976</x:v>
      </x:c>
      <x:c r="K917" s="16" t="n">
        <x:v>-931.8083987908904</x:v>
      </x:c>
      <x:c r="L917" s="18" t="n">
        <x:v>-0.0008566202980094</x:v>
      </x:c>
      <x:c r="M917" s="18" t="n">
        <x:v>0</x:v>
      </x:c>
      <x:c r="O917" t="str">
        <x:v>2024-11-13</x:v>
      </x:c>
      <x:c r="P917" t="n">
        <x:v>1086841.153502907</x:v>
      </x:c>
    </x:row>
    <x:row r="918" ht="15" hidden="0" customHeight="1">
      <x:c r="A918" s="13" t="str">
        <x:v>2024-11-14</x:v>
      </x:c>
      <x:c r="B918" s="13" t="n">
        <x:v>0</x:v>
      </x:c>
      <x:c r="C918" s="13" t="n">
        <x:v>0</x:v>
      </x:c>
      <x:c r="D918" s="16" t="n">
        <x:v>0</x:v>
      </x:c>
      <x:c r="E918" s="16" t="n">
        <x:v>0</x:v>
      </x:c>
      <x:c r="F918" s="16" t="n">
        <x:v>0</x:v>
      </x:c>
      <x:c r="G918" s="16" t="n">
        <x:v>0</x:v>
      </x:c>
      <x:c r="H918" s="16" t="n">
        <x:v>0</x:v>
      </x:c>
      <x:c r="I918" s="16" t="n">
        <x:v>1086841.153502907</x:v>
      </x:c>
      <x:c r="J918" s="16" t="n">
        <x:v>1087772.9619016976</x:v>
      </x:c>
      <x:c r="K918" s="16" t="n">
        <x:v>-931.8083987908904</x:v>
      </x:c>
      <x:c r="L918" s="18" t="n">
        <x:v>-0.0008566202980094</x:v>
      </x:c>
      <x:c r="M918" s="18" t="n">
        <x:v>0</x:v>
      </x:c>
      <x:c r="O918" t="str">
        <x:v>2024-11-14</x:v>
      </x:c>
      <x:c r="P918" t="n">
        <x:v>1086841.153502907</x:v>
      </x:c>
    </x:row>
    <x:row r="919" ht="15" hidden="0" customHeight="1">
      <x:c r="A919" s="13" t="str">
        <x:v>2024-11-15</x:v>
      </x:c>
      <x:c r="B919" s="13" t="n">
        <x:v>0</x:v>
      </x:c>
      <x:c r="C919" s="13" t="n">
        <x:v>0</x:v>
      </x:c>
      <x:c r="D919" s="16" t="n">
        <x:v>0</x:v>
      </x:c>
      <x:c r="E919" s="16" t="n">
        <x:v>0</x:v>
      </x:c>
      <x:c r="F919" s="16" t="n">
        <x:v>0</x:v>
      </x:c>
      <x:c r="G919" s="16" t="n">
        <x:v>0</x:v>
      </x:c>
      <x:c r="H919" s="16" t="n">
        <x:v>0</x:v>
      </x:c>
      <x:c r="I919" s="16" t="n">
        <x:v>1086841.153502907</x:v>
      </x:c>
      <x:c r="J919" s="16" t="n">
        <x:v>1087772.9619016976</x:v>
      </x:c>
      <x:c r="K919" s="16" t="n">
        <x:v>-931.8083987908904</x:v>
      </x:c>
      <x:c r="L919" s="18" t="n">
        <x:v>-0.0008566202980094</x:v>
      </x:c>
      <x:c r="M919" s="18" t="n">
        <x:v>0</x:v>
      </x:c>
      <x:c r="O919" t="str">
        <x:v>2024-11-15</x:v>
      </x:c>
      <x:c r="P919" t="n">
        <x:v>1086841.153502907</x:v>
      </x:c>
    </x:row>
    <x:row r="920" ht="15" hidden="0" customHeight="1">
      <x:c r="A920" s="13" t="str">
        <x:v>2024-11-18</x:v>
      </x:c>
      <x:c r="B920" s="13" t="n">
        <x:v>0</x:v>
      </x:c>
      <x:c r="C920" s="13" t="n">
        <x:v>0</x:v>
      </x:c>
      <x:c r="D920" s="16" t="n">
        <x:v>0</x:v>
      </x:c>
      <x:c r="E920" s="16" t="n">
        <x:v>0</x:v>
      </x:c>
      <x:c r="F920" s="16" t="n">
        <x:v>0</x:v>
      </x:c>
      <x:c r="G920" s="16" t="n">
        <x:v>0</x:v>
      </x:c>
      <x:c r="H920" s="16" t="n">
        <x:v>0</x:v>
      </x:c>
      <x:c r="I920" s="16" t="n">
        <x:v>1086841.153502907</x:v>
      </x:c>
      <x:c r="J920" s="16" t="n">
        <x:v>1087772.9619016976</x:v>
      </x:c>
      <x:c r="K920" s="16" t="n">
        <x:v>-931.8083987908904</x:v>
      </x:c>
      <x:c r="L920" s="18" t="n">
        <x:v>-0.0008566202980094</x:v>
      </x:c>
      <x:c r="M920" s="18" t="n">
        <x:v>0</x:v>
      </x:c>
      <x:c r="O920" t="str">
        <x:v>2024-11-18</x:v>
      </x:c>
      <x:c r="P920" t="n">
        <x:v>1086841.153502907</x:v>
      </x:c>
    </x:row>
    <x:row r="921" ht="15" hidden="0" customHeight="1">
      <x:c r="A921" s="13" t="str">
        <x:v>2024-11-19</x:v>
      </x:c>
      <x:c r="B921" s="13" t="n">
        <x:v>0</x:v>
      </x:c>
      <x:c r="C921" s="13" t="n">
        <x:v>0</x:v>
      </x:c>
      <x:c r="D921" s="16" t="n">
        <x:v>0</x:v>
      </x:c>
      <x:c r="E921" s="16" t="n">
        <x:v>0</x:v>
      </x:c>
      <x:c r="F921" s="16" t="n">
        <x:v>0</x:v>
      </x:c>
      <x:c r="G921" s="16" t="n">
        <x:v>0</x:v>
      </x:c>
      <x:c r="H921" s="16" t="n">
        <x:v>0</x:v>
      </x:c>
      <x:c r="I921" s="16" t="n">
        <x:v>1086841.153502907</x:v>
      </x:c>
      <x:c r="J921" s="16" t="n">
        <x:v>1087772.9619016976</x:v>
      </x:c>
      <x:c r="K921" s="16" t="n">
        <x:v>-931.8083987908904</x:v>
      </x:c>
      <x:c r="L921" s="18" t="n">
        <x:v>-0.0008566202980094</x:v>
      </x:c>
      <x:c r="M921" s="18" t="n">
        <x:v>0</x:v>
      </x:c>
      <x:c r="O921" t="str">
        <x:v>2024-11-19</x:v>
      </x:c>
      <x:c r="P921" t="n">
        <x:v>1086841.153502907</x:v>
      </x:c>
    </x:row>
    <x:row r="922" ht="15" hidden="0" customHeight="1">
      <x:c r="A922" s="13" t="str">
        <x:v>2024-11-20</x:v>
      </x:c>
      <x:c r="B922" s="13" t="n">
        <x:v>0</x:v>
      </x:c>
      <x:c r="C922" s="13" t="n">
        <x:v>0</x:v>
      </x:c>
      <x:c r="D922" s="16" t="n">
        <x:v>0</x:v>
      </x:c>
      <x:c r="E922" s="16" t="n">
        <x:v>0</x:v>
      </x:c>
      <x:c r="F922" s="16" t="n">
        <x:v>0</x:v>
      </x:c>
      <x:c r="G922" s="16" t="n">
        <x:v>0</x:v>
      </x:c>
      <x:c r="H922" s="16" t="n">
        <x:v>0</x:v>
      </x:c>
      <x:c r="I922" s="16" t="n">
        <x:v>1086841.153502907</x:v>
      </x:c>
      <x:c r="J922" s="16" t="n">
        <x:v>1087772.9619016976</x:v>
      </x:c>
      <x:c r="K922" s="16" t="n">
        <x:v>-931.8083987908904</x:v>
      </x:c>
      <x:c r="L922" s="18" t="n">
        <x:v>-0.0008566202980094</x:v>
      </x:c>
      <x:c r="M922" s="18" t="n">
        <x:v>0</x:v>
      </x:c>
      <x:c r="O922" t="str">
        <x:v>2024-11-20</x:v>
      </x:c>
      <x:c r="P922" t="n">
        <x:v>1086841.153502907</x:v>
      </x:c>
    </x:row>
    <x:row r="923" ht="15" hidden="0" customHeight="1">
      <x:c r="A923" s="13" t="str">
        <x:v>2024-11-21</x:v>
      </x:c>
      <x:c r="B923" s="13" t="n">
        <x:v>0</x:v>
      </x:c>
      <x:c r="C923" s="13" t="n">
        <x:v>0</x:v>
      </x:c>
      <x:c r="D923" s="16" t="n">
        <x:v>0</x:v>
      </x:c>
      <x:c r="E923" s="16" t="n">
        <x:v>0</x:v>
      </x:c>
      <x:c r="F923" s="16" t="n">
        <x:v>0</x:v>
      </x:c>
      <x:c r="G923" s="16" t="n">
        <x:v>0</x:v>
      </x:c>
      <x:c r="H923" s="16" t="n">
        <x:v>0</x:v>
      </x:c>
      <x:c r="I923" s="16" t="n">
        <x:v>1086841.153502907</x:v>
      </x:c>
      <x:c r="J923" s="16" t="n">
        <x:v>1087772.9619016976</x:v>
      </x:c>
      <x:c r="K923" s="16" t="n">
        <x:v>-931.8083987908904</x:v>
      </x:c>
      <x:c r="L923" s="18" t="n">
        <x:v>-0.0008566202980094</x:v>
      </x:c>
      <x:c r="M923" s="18" t="n">
        <x:v>0</x:v>
      </x:c>
      <x:c r="O923" t="str">
        <x:v>2024-11-21</x:v>
      </x:c>
      <x:c r="P923" t="n">
        <x:v>1086841.153502907</x:v>
      </x:c>
    </x:row>
    <x:row r="924" ht="15" hidden="0" customHeight="1">
      <x:c r="A924" s="13" t="str">
        <x:v>2024-11-22</x:v>
      </x:c>
      <x:c r="B924" s="13" t="n">
        <x:v>0</x:v>
      </x:c>
      <x:c r="C924" s="13" t="n">
        <x:v>0</x:v>
      </x:c>
      <x:c r="D924" s="16" t="n">
        <x:v>0</x:v>
      </x:c>
      <x:c r="E924" s="16" t="n">
        <x:v>0</x:v>
      </x:c>
      <x:c r="F924" s="16" t="n">
        <x:v>0</x:v>
      </x:c>
      <x:c r="G924" s="16" t="n">
        <x:v>0</x:v>
      </x:c>
      <x:c r="H924" s="16" t="n">
        <x:v>0</x:v>
      </x:c>
      <x:c r="I924" s="16" t="n">
        <x:v>1086841.153502907</x:v>
      </x:c>
      <x:c r="J924" s="16" t="n">
        <x:v>1087772.9619016976</x:v>
      </x:c>
      <x:c r="K924" s="16" t="n">
        <x:v>-931.8083987908904</x:v>
      </x:c>
      <x:c r="L924" s="18" t="n">
        <x:v>-0.0008566202980094</x:v>
      </x:c>
      <x:c r="M924" s="18" t="n">
        <x:v>0</x:v>
      </x:c>
      <x:c r="O924" t="str">
        <x:v>2024-11-22</x:v>
      </x:c>
      <x:c r="P924" t="n">
        <x:v>1086841.153502907</x:v>
      </x:c>
    </x:row>
    <x:row r="925" ht="15" hidden="0" customHeight="1">
      <x:c r="A925" s="13" t="str">
        <x:v>2024-11-25</x:v>
      </x:c>
      <x:c r="B925" s="13" t="n">
        <x:v>0</x:v>
      </x:c>
      <x:c r="C925" s="13" t="n">
        <x:v>0</x:v>
      </x:c>
      <x:c r="D925" s="16" t="n">
        <x:v>0</x:v>
      </x:c>
      <x:c r="E925" s="16" t="n">
        <x:v>0</x:v>
      </x:c>
      <x:c r="F925" s="16" t="n">
        <x:v>0</x:v>
      </x:c>
      <x:c r="G925" s="16" t="n">
        <x:v>0</x:v>
      </x:c>
      <x:c r="H925" s="16" t="n">
        <x:v>0</x:v>
      </x:c>
      <x:c r="I925" s="16" t="n">
        <x:v>1086841.153502907</x:v>
      </x:c>
      <x:c r="J925" s="16" t="n">
        <x:v>1087772.9619016976</x:v>
      </x:c>
      <x:c r="K925" s="16" t="n">
        <x:v>-931.8083987908904</x:v>
      </x:c>
      <x:c r="L925" s="18" t="n">
        <x:v>-0.0008566202980094</x:v>
      </x:c>
      <x:c r="M925" s="18" t="n">
        <x:v>0</x:v>
      </x:c>
      <x:c r="O925" t="str">
        <x:v>2024-11-25</x:v>
      </x:c>
      <x:c r="P925" t="n">
        <x:v>1086841.153502907</x:v>
      </x:c>
    </x:row>
    <x:row r="926" ht="15" hidden="0" customHeight="1">
      <x:c r="A926" s="13" t="str">
        <x:v>2024-11-26</x:v>
      </x:c>
      <x:c r="B926" s="13" t="n">
        <x:v>0</x:v>
      </x:c>
      <x:c r="C926" s="13" t="n">
        <x:v>0</x:v>
      </x:c>
      <x:c r="D926" s="16" t="n">
        <x:v>0</x:v>
      </x:c>
      <x:c r="E926" s="16" t="n">
        <x:v>0</x:v>
      </x:c>
      <x:c r="F926" s="16" t="n">
        <x:v>0</x:v>
      </x:c>
      <x:c r="G926" s="16" t="n">
        <x:v>0</x:v>
      </x:c>
      <x:c r="H926" s="16" t="n">
        <x:v>0</x:v>
      </x:c>
      <x:c r="I926" s="16" t="n">
        <x:v>1086841.153502907</x:v>
      </x:c>
      <x:c r="J926" s="16" t="n">
        <x:v>1087772.9619016976</x:v>
      </x:c>
      <x:c r="K926" s="16" t="n">
        <x:v>-931.8083987908904</x:v>
      </x:c>
      <x:c r="L926" s="18" t="n">
        <x:v>-0.0008566202980094</x:v>
      </x:c>
      <x:c r="M926" s="18" t="n">
        <x:v>0</x:v>
      </x:c>
      <x:c r="O926" t="str">
        <x:v>2024-11-26</x:v>
      </x:c>
      <x:c r="P926" t="n">
        <x:v>1086841.153502907</x:v>
      </x:c>
    </x:row>
    <x:row r="927" ht="15" hidden="0" customHeight="1">
      <x:c r="A927" s="13" t="str">
        <x:v>2024-11-27</x:v>
      </x:c>
      <x:c r="B927" s="13" t="n">
        <x:v>0</x:v>
      </x:c>
      <x:c r="C927" s="13" t="n">
        <x:v>0</x:v>
      </x:c>
      <x:c r="D927" s="16" t="n">
        <x:v>0</x:v>
      </x:c>
      <x:c r="E927" s="16" t="n">
        <x:v>0</x:v>
      </x:c>
      <x:c r="F927" s="16" t="n">
        <x:v>0</x:v>
      </x:c>
      <x:c r="G927" s="16" t="n">
        <x:v>0</x:v>
      </x:c>
      <x:c r="H927" s="16" t="n">
        <x:v>0</x:v>
      </x:c>
      <x:c r="I927" s="16" t="n">
        <x:v>1086841.153502907</x:v>
      </x:c>
      <x:c r="J927" s="16" t="n">
        <x:v>1087772.9619016976</x:v>
      </x:c>
      <x:c r="K927" s="16" t="n">
        <x:v>-931.8083987908904</x:v>
      </x:c>
      <x:c r="L927" s="18" t="n">
        <x:v>-0.0008566202980094</x:v>
      </x:c>
      <x:c r="M927" s="18" t="n">
        <x:v>0</x:v>
      </x:c>
      <x:c r="O927" t="str">
        <x:v>2024-11-27</x:v>
      </x:c>
      <x:c r="P927" t="n">
        <x:v>1086841.153502907</x:v>
      </x:c>
    </x:row>
    <x:row r="928" ht="15" hidden="0" customHeight="1">
      <x:c r="A928" s="13" t="str">
        <x:v>2024-11-28</x:v>
      </x:c>
      <x:c r="B928" s="13" t="n">
        <x:v>0</x:v>
      </x:c>
      <x:c r="C928" s="13" t="n">
        <x:v>0</x:v>
      </x:c>
      <x:c r="D928" s="16" t="n">
        <x:v>0</x:v>
      </x:c>
      <x:c r="E928" s="16" t="n">
        <x:v>0</x:v>
      </x:c>
      <x:c r="F928" s="16" t="n">
        <x:v>0</x:v>
      </x:c>
      <x:c r="G928" s="16" t="n">
        <x:v>0</x:v>
      </x:c>
      <x:c r="H928" s="16" t="n">
        <x:v>0</x:v>
      </x:c>
      <x:c r="I928" s="16" t="n">
        <x:v>1086841.153502907</x:v>
      </x:c>
      <x:c r="J928" s="16" t="n">
        <x:v>1087772.9619016976</x:v>
      </x:c>
      <x:c r="K928" s="16" t="n">
        <x:v>-931.8083987908904</x:v>
      </x:c>
      <x:c r="L928" s="18" t="n">
        <x:v>-0.0008566202980094</x:v>
      </x:c>
      <x:c r="M928" s="18" t="n">
        <x:v>0</x:v>
      </x:c>
      <x:c r="O928" t="str">
        <x:v>2024-11-28</x:v>
      </x:c>
      <x:c r="P928" t="n">
        <x:v>1086841.153502907</x:v>
      </x:c>
    </x:row>
    <x:row r="929" ht="15" hidden="0" customHeight="1">
      <x:c r="A929" s="13" t="str">
        <x:v>2024-11-29</x:v>
      </x:c>
      <x:c r="B929" s="13" t="n">
        <x:v>0</x:v>
      </x:c>
      <x:c r="C929" s="13" t="n">
        <x:v>0</x:v>
      </x:c>
      <x:c r="D929" s="16" t="n">
        <x:v>0</x:v>
      </x:c>
      <x:c r="E929" s="16" t="n">
        <x:v>0</x:v>
      </x:c>
      <x:c r="F929" s="16" t="n">
        <x:v>0</x:v>
      </x:c>
      <x:c r="G929" s="16" t="n">
        <x:v>0</x:v>
      </x:c>
      <x:c r="H929" s="16" t="n">
        <x:v>0</x:v>
      </x:c>
      <x:c r="I929" s="16" t="n">
        <x:v>1086841.153502907</x:v>
      </x:c>
      <x:c r="J929" s="16" t="n">
        <x:v>1087772.9619016976</x:v>
      </x:c>
      <x:c r="K929" s="16" t="n">
        <x:v>-931.8083987908904</x:v>
      </x:c>
      <x:c r="L929" s="18" t="n">
        <x:v>-0.0008566202980094</x:v>
      </x:c>
      <x:c r="M929" s="18" t="n">
        <x:v>0</x:v>
      </x:c>
      <x:c r="O929" t="str">
        <x:v>2024-11-29</x:v>
      </x:c>
      <x:c r="P929" t="n">
        <x:v>1086841.153502907</x:v>
      </x:c>
    </x:row>
    <x:row r="930" ht="15" hidden="0" customHeight="1">
      <x:c r="A930" s="13" t="str">
        <x:v>2024-12-02</x:v>
      </x:c>
      <x:c r="B930" s="13" t="n">
        <x:v>0</x:v>
      </x:c>
      <x:c r="C930" s="13" t="n">
        <x:v>0</x:v>
      </x:c>
      <x:c r="D930" s="16" t="n">
        <x:v>0</x:v>
      </x:c>
      <x:c r="E930" s="16" t="n">
        <x:v>0</x:v>
      </x:c>
      <x:c r="F930" s="16" t="n">
        <x:v>0</x:v>
      </x:c>
      <x:c r="G930" s="16" t="n">
        <x:v>0</x:v>
      </x:c>
      <x:c r="H930" s="16" t="n">
        <x:v>0</x:v>
      </x:c>
      <x:c r="I930" s="16" t="n">
        <x:v>1086841.153502907</x:v>
      </x:c>
      <x:c r="J930" s="16" t="n">
        <x:v>1087772.9619016976</x:v>
      </x:c>
      <x:c r="K930" s="16" t="n">
        <x:v>-931.8083987908904</x:v>
      </x:c>
      <x:c r="L930" s="18" t="n">
        <x:v>-0.0008566202980094</x:v>
      </x:c>
      <x:c r="M930" s="18" t="n">
        <x:v>0</x:v>
      </x:c>
      <x:c r="O930" t="str">
        <x:v>2024-12-02</x:v>
      </x:c>
      <x:c r="P930" t="n">
        <x:v>1086841.153502907</x:v>
      </x:c>
    </x:row>
    <x:row r="931" ht="15" hidden="0" customHeight="1">
      <x:c r="A931" s="13" t="str">
        <x:v>2024-12-03</x:v>
      </x:c>
      <x:c r="B931" s="13" t="n">
        <x:v>0</x:v>
      </x:c>
      <x:c r="C931" s="13" t="n">
        <x:v>0</x:v>
      </x:c>
      <x:c r="D931" s="16" t="n">
        <x:v>0</x:v>
      </x:c>
      <x:c r="E931" s="16" t="n">
        <x:v>0</x:v>
      </x:c>
      <x:c r="F931" s="16" t="n">
        <x:v>0</x:v>
      </x:c>
      <x:c r="G931" s="16" t="n">
        <x:v>0</x:v>
      </x:c>
      <x:c r="H931" s="16" t="n">
        <x:v>0</x:v>
      </x:c>
      <x:c r="I931" s="16" t="n">
        <x:v>1086841.153502907</x:v>
      </x:c>
      <x:c r="J931" s="16" t="n">
        <x:v>1087772.9619016976</x:v>
      </x:c>
      <x:c r="K931" s="16" t="n">
        <x:v>-931.8083987908904</x:v>
      </x:c>
      <x:c r="L931" s="18" t="n">
        <x:v>-0.0008566202980094</x:v>
      </x:c>
      <x:c r="M931" s="18" t="n">
        <x:v>0</x:v>
      </x:c>
      <x:c r="O931" t="str">
        <x:v>2024-12-03</x:v>
      </x:c>
      <x:c r="P931" t="n">
        <x:v>1086841.153502907</x:v>
      </x:c>
    </x:row>
    <x:row r="932" ht="15" hidden="0" customHeight="1">
      <x:c r="A932" s="13" t="str">
        <x:v>2024-12-04</x:v>
      </x:c>
      <x:c r="B932" s="13" t="n">
        <x:v>0</x:v>
      </x:c>
      <x:c r="C932" s="13" t="n">
        <x:v>0</x:v>
      </x:c>
      <x:c r="D932" s="16" t="n">
        <x:v>0</x:v>
      </x:c>
      <x:c r="E932" s="16" t="n">
        <x:v>0</x:v>
      </x:c>
      <x:c r="F932" s="16" t="n">
        <x:v>0</x:v>
      </x:c>
      <x:c r="G932" s="16" t="n">
        <x:v>0</x:v>
      </x:c>
      <x:c r="H932" s="16" t="n">
        <x:v>0</x:v>
      </x:c>
      <x:c r="I932" s="16" t="n">
        <x:v>1086841.153502907</x:v>
      </x:c>
      <x:c r="J932" s="16" t="n">
        <x:v>1087772.9619016976</x:v>
      </x:c>
      <x:c r="K932" s="16" t="n">
        <x:v>-931.8083987908904</x:v>
      </x:c>
      <x:c r="L932" s="18" t="n">
        <x:v>-0.0008566202980094</x:v>
      </x:c>
      <x:c r="M932" s="18" t="n">
        <x:v>0</x:v>
      </x:c>
      <x:c r="O932" t="str">
        <x:v>2024-12-04</x:v>
      </x:c>
      <x:c r="P932" t="n">
        <x:v>1086841.153502907</x:v>
      </x:c>
    </x:row>
    <x:row r="933" ht="15" hidden="0" customHeight="1">
      <x:c r="A933" s="13" t="str">
        <x:v>2024-12-05</x:v>
      </x:c>
      <x:c r="B933" s="13" t="n">
        <x:v>0</x:v>
      </x:c>
      <x:c r="C933" s="13" t="n">
        <x:v>0</x:v>
      </x:c>
      <x:c r="D933" s="16" t="n">
        <x:v>0</x:v>
      </x:c>
      <x:c r="E933" s="16" t="n">
        <x:v>0</x:v>
      </x:c>
      <x:c r="F933" s="16" t="n">
        <x:v>0</x:v>
      </x:c>
      <x:c r="G933" s="16" t="n">
        <x:v>0</x:v>
      </x:c>
      <x:c r="H933" s="16" t="n">
        <x:v>0</x:v>
      </x:c>
      <x:c r="I933" s="16" t="n">
        <x:v>1086841.153502907</x:v>
      </x:c>
      <x:c r="J933" s="16" t="n">
        <x:v>1087772.9619016976</x:v>
      </x:c>
      <x:c r="K933" s="16" t="n">
        <x:v>-931.8083987908904</x:v>
      </x:c>
      <x:c r="L933" s="18" t="n">
        <x:v>-0.0008566202980094</x:v>
      </x:c>
      <x:c r="M933" s="18" t="n">
        <x:v>0</x:v>
      </x:c>
      <x:c r="O933" t="str">
        <x:v>2024-12-05</x:v>
      </x:c>
      <x:c r="P933" t="n">
        <x:v>1086841.153502907</x:v>
      </x:c>
    </x:row>
    <x:row r="934" ht="15" hidden="0" customHeight="1">
      <x:c r="A934" s="13" t="str">
        <x:v>2024-12-06</x:v>
      </x:c>
      <x:c r="B934" s="13" t="n">
        <x:v>0</x:v>
      </x:c>
      <x:c r="C934" s="13" t="n">
        <x:v>0</x:v>
      </x:c>
      <x:c r="D934" s="16" t="n">
        <x:v>0</x:v>
      </x:c>
      <x:c r="E934" s="16" t="n">
        <x:v>0</x:v>
      </x:c>
      <x:c r="F934" s="16" t="n">
        <x:v>0</x:v>
      </x:c>
      <x:c r="G934" s="16" t="n">
        <x:v>0</x:v>
      </x:c>
      <x:c r="H934" s="16" t="n">
        <x:v>0</x:v>
      </x:c>
      <x:c r="I934" s="16" t="n">
        <x:v>1086841.153502907</x:v>
      </x:c>
      <x:c r="J934" s="16" t="n">
        <x:v>1087772.9619016976</x:v>
      </x:c>
      <x:c r="K934" s="16" t="n">
        <x:v>-931.8083987908904</x:v>
      </x:c>
      <x:c r="L934" s="18" t="n">
        <x:v>-0.0008566202980094</x:v>
      </x:c>
      <x:c r="M934" s="18" t="n">
        <x:v>0</x:v>
      </x:c>
      <x:c r="O934" t="str">
        <x:v>2024-12-06</x:v>
      </x:c>
      <x:c r="P934" t="n">
        <x:v>1086841.153502907</x:v>
      </x:c>
    </x:row>
    <x:row r="935" ht="15" hidden="0" customHeight="1">
      <x:c r="A935" s="13" t="str">
        <x:v>2024-12-09</x:v>
      </x:c>
      <x:c r="B935" s="13" t="n">
        <x:v>1</x:v>
      </x:c>
      <x:c r="C935" s="13" t="n">
        <x:v>11</x:v>
      </x:c>
      <x:c r="D935" s="16" t="n">
        <x:v>275.0000000000039</x:v>
      </x:c>
      <x:c r="E935" s="16" t="n">
        <x:v>926.6078005327934</x:v>
      </x:c>
      <x:c r="F935" s="16" t="n">
        <x:v>-651.6078005327895</x:v>
      </x:c>
      <x:c r="G935" s="16" t="n">
        <x:v>257702.2501938913</x:v>
      </x:c>
      <x:c r="H935" s="16" t="n">
        <x:v>361797.1253867454</x:v>
      </x:c>
      <x:c r="I935" s="16" t="n">
        <x:v>1086189.5457023738</x:v>
      </x:c>
      <x:c r="J935" s="16" t="n">
        <x:v>1087772.9619016976</x:v>
      </x:c>
      <x:c r="K935" s="16" t="n">
        <x:v>-1583.4161993237212</x:v>
      </x:c>
      <x:c r="L935" s="18" t="n">
        <x:v>-0.001455649528699</x:v>
      </x:c>
      <x:c r="M935" s="18" t="n">
        <x:v>-0.000599542811231</x:v>
      </x:c>
      <x:c r="O935" t="str">
        <x:v>2024-12-09</x:v>
      </x:c>
      <x:c r="P935" t="n">
        <x:v>1086189.5457023738</x:v>
      </x:c>
    </x:row>
    <x:row r="936" ht="15" hidden="0" customHeight="1">
      <x:c r="A936" s="13" t="str">
        <x:v>2024-12-10</x:v>
      </x:c>
      <x:c r="B936" s="13" t="n">
        <x:v>0</x:v>
      </x:c>
      <x:c r="C936" s="13" t="n">
        <x:v>0</x:v>
      </x:c>
      <x:c r="D936" s="16" t="n">
        <x:v>0</x:v>
      </x:c>
      <x:c r="E936" s="16" t="n">
        <x:v>0</x:v>
      </x:c>
      <x:c r="F936" s="16" t="n">
        <x:v>0</x:v>
      </x:c>
      <x:c r="G936" s="16" t="n">
        <x:v>0</x:v>
      </x:c>
      <x:c r="H936" s="16" t="n">
        <x:v>0</x:v>
      </x:c>
      <x:c r="I936" s="16" t="n">
        <x:v>1086189.5457023738</x:v>
      </x:c>
      <x:c r="J936" s="16" t="n">
        <x:v>1087772.9619016976</x:v>
      </x:c>
      <x:c r="K936" s="16" t="n">
        <x:v>-1583.4161993237212</x:v>
      </x:c>
      <x:c r="L936" s="18" t="n">
        <x:v>-0.001455649528699</x:v>
      </x:c>
      <x:c r="M936" s="18" t="n">
        <x:v>0</x:v>
      </x:c>
      <x:c r="O936" t="str">
        <x:v>2024-12-10</x:v>
      </x:c>
      <x:c r="P936" t="n">
        <x:v>1086189.5457023738</x:v>
      </x:c>
    </x:row>
    <x:row r="937" ht="15" hidden="0" customHeight="1">
      <x:c r="A937" s="13" t="str">
        <x:v>2024-12-11</x:v>
      </x:c>
      <x:c r="B937" s="13" t="n">
        <x:v>0</x:v>
      </x:c>
      <x:c r="C937" s="13" t="n">
        <x:v>0</x:v>
      </x:c>
      <x:c r="D937" s="16" t="n">
        <x:v>0</x:v>
      </x:c>
      <x:c r="E937" s="16" t="n">
        <x:v>0</x:v>
      </x:c>
      <x:c r="F937" s="16" t="n">
        <x:v>0</x:v>
      </x:c>
      <x:c r="G937" s="16" t="n">
        <x:v>0</x:v>
      </x:c>
      <x:c r="H937" s="16" t="n">
        <x:v>0</x:v>
      </x:c>
      <x:c r="I937" s="16" t="n">
        <x:v>1086189.5457023738</x:v>
      </x:c>
      <x:c r="J937" s="16" t="n">
        <x:v>1087772.9619016976</x:v>
      </x:c>
      <x:c r="K937" s="16" t="n">
        <x:v>-1583.4161993237212</x:v>
      </x:c>
      <x:c r="L937" s="18" t="n">
        <x:v>-0.001455649528699</x:v>
      </x:c>
      <x:c r="M937" s="18" t="n">
        <x:v>0</x:v>
      </x:c>
      <x:c r="O937" t="str">
        <x:v>2024-12-11</x:v>
      </x:c>
      <x:c r="P937" t="n">
        <x:v>1086189.5457023738</x:v>
      </x:c>
    </x:row>
    <x:row r="938" ht="15" hidden="0" customHeight="1">
      <x:c r="A938" s="13" t="str">
        <x:v>2024-12-12</x:v>
      </x:c>
      <x:c r="B938" s="13" t="n">
        <x:v>1</x:v>
      </x:c>
      <x:c r="C938" s="13" t="n">
        <x:v>13</x:v>
      </x:c>
      <x:c r="D938" s="16" t="n">
        <x:v>195.0000000000008</x:v>
      </x:c>
      <x:c r="E938" s="16" t="n">
        <x:v>436.6738242197695</x:v>
      </x:c>
      <x:c r="F938" s="16" t="n">
        <x:v>-241.6738242197688</x:v>
      </x:c>
      <x:c r="G938" s="16" t="n">
        <x:v>67729.73674190613</x:v>
      </x:c>
      <x:c r="H938" s="16" t="n">
        <x:v>378435.1757450296</x:v>
      </x:c>
      <x:c r="I938" s="16" t="n">
        <x:v>1085947.871878154</x:v>
      </x:c>
      <x:c r="J938" s="16" t="n">
        <x:v>1087772.9619016976</x:v>
      </x:c>
      <x:c r="K938" s="16" t="n">
        <x:v>-1825.0900235434528</x:v>
      </x:c>
      <x:c r="L938" s="18" t="n">
        <x:v>-0.0016778225672687</x:v>
      </x:c>
      <x:c r="M938" s="18" t="n">
        <x:v>-0.0002224969161007</x:v>
      </x:c>
      <x:c r="O938" t="str">
        <x:v>2024-12-12</x:v>
      </x:c>
      <x:c r="P938" t="n">
        <x:v>1085947.871878154</x:v>
      </x:c>
    </x:row>
    <x:row r="939" ht="15" hidden="0" customHeight="1">
      <x:c r="A939" s="13" t="str">
        <x:v>2024-12-13</x:v>
      </x:c>
      <x:c r="B939" s="13" t="n">
        <x:v>0</x:v>
      </x:c>
      <x:c r="C939" s="13" t="n">
        <x:v>0</x:v>
      </x:c>
      <x:c r="D939" s="16" t="n">
        <x:v>0</x:v>
      </x:c>
      <x:c r="E939" s="16" t="n">
        <x:v>0</x:v>
      </x:c>
      <x:c r="F939" s="16" t="n">
        <x:v>0</x:v>
      </x:c>
      <x:c r="G939" s="16" t="n">
        <x:v>0</x:v>
      </x:c>
      <x:c r="H939" s="16" t="n">
        <x:v>0</x:v>
      </x:c>
      <x:c r="I939" s="16" t="n">
        <x:v>1085947.871878154</x:v>
      </x:c>
      <x:c r="J939" s="16" t="n">
        <x:v>1087772.9619016976</x:v>
      </x:c>
      <x:c r="K939" s="16" t="n">
        <x:v>-1825.0900235434528</x:v>
      </x:c>
      <x:c r="L939" s="18" t="n">
        <x:v>-0.0016778225672687</x:v>
      </x:c>
      <x:c r="M939" s="18" t="n">
        <x:v>0</x:v>
      </x:c>
      <x:c r="O939" t="str">
        <x:v>2024-12-13</x:v>
      </x:c>
      <x:c r="P939" t="n">
        <x:v>1085947.871878154</x:v>
      </x:c>
    </x:row>
    <x:row r="940" ht="15" hidden="0" customHeight="1">
      <x:c r="A940" s="13" t="str">
        <x:v>2024-12-16</x:v>
      </x:c>
      <x:c r="B940" s="13" t="n">
        <x:v>0</x:v>
      </x:c>
      <x:c r="C940" s="13" t="n">
        <x:v>0</x:v>
      </x:c>
      <x:c r="D940" s="16" t="n">
        <x:v>0</x:v>
      </x:c>
      <x:c r="E940" s="16" t="n">
        <x:v>0</x:v>
      </x:c>
      <x:c r="F940" s="16" t="n">
        <x:v>0</x:v>
      </x:c>
      <x:c r="G940" s="16" t="n">
        <x:v>0</x:v>
      </x:c>
      <x:c r="H940" s="16" t="n">
        <x:v>0</x:v>
      </x:c>
      <x:c r="I940" s="16" t="n">
        <x:v>1085947.871878154</x:v>
      </x:c>
      <x:c r="J940" s="16" t="n">
        <x:v>1087772.9619016976</x:v>
      </x:c>
      <x:c r="K940" s="16" t="n">
        <x:v>-1825.0900235434528</x:v>
      </x:c>
      <x:c r="L940" s="18" t="n">
        <x:v>-0.0016778225672687</x:v>
      </x:c>
      <x:c r="M940" s="18" t="n">
        <x:v>0</x:v>
      </x:c>
      <x:c r="O940" t="str">
        <x:v>2024-12-16</x:v>
      </x:c>
      <x:c r="P940" t="n">
        <x:v>1085947.871878154</x:v>
      </x:c>
    </x:row>
    <x:row r="941" ht="15" hidden="0" customHeight="1">
      <x:c r="A941" s="13" t="str">
        <x:v>2024-12-17</x:v>
      </x:c>
      <x:c r="B941" s="13" t="n">
        <x:v>0</x:v>
      </x:c>
      <x:c r="C941" s="13" t="n">
        <x:v>0</x:v>
      </x:c>
      <x:c r="D941" s="16" t="n">
        <x:v>0</x:v>
      </x:c>
      <x:c r="E941" s="16" t="n">
        <x:v>0</x:v>
      </x:c>
      <x:c r="F941" s="16" t="n">
        <x:v>0</x:v>
      </x:c>
      <x:c r="G941" s="16" t="n">
        <x:v>0</x:v>
      </x:c>
      <x:c r="H941" s="16" t="n">
        <x:v>0</x:v>
      </x:c>
      <x:c r="I941" s="16" t="n">
        <x:v>1085947.871878154</x:v>
      </x:c>
      <x:c r="J941" s="16" t="n">
        <x:v>1087772.9619016976</x:v>
      </x:c>
      <x:c r="K941" s="16" t="n">
        <x:v>-1825.0900235434528</x:v>
      </x:c>
      <x:c r="L941" s="18" t="n">
        <x:v>-0.0016778225672687</x:v>
      </x:c>
      <x:c r="M941" s="18" t="n">
        <x:v>0</x:v>
      </x:c>
      <x:c r="O941" t="str">
        <x:v>2024-12-17</x:v>
      </x:c>
      <x:c r="P941" t="n">
        <x:v>1085947.871878154</x:v>
      </x:c>
    </x:row>
    <x:row r="942" ht="15" hidden="0" customHeight="1">
      <x:c r="A942" s="13" t="str">
        <x:v>2024-12-18</x:v>
      </x:c>
      <x:c r="B942" s="13" t="n">
        <x:v>0</x:v>
      </x:c>
      <x:c r="C942" s="13" t="n">
        <x:v>0</x:v>
      </x:c>
      <x:c r="D942" s="16" t="n">
        <x:v>0</x:v>
      </x:c>
      <x:c r="E942" s="16" t="n">
        <x:v>0</x:v>
      </x:c>
      <x:c r="F942" s="16" t="n">
        <x:v>0</x:v>
      </x:c>
      <x:c r="G942" s="16" t="n">
        <x:v>0</x:v>
      </x:c>
      <x:c r="H942" s="16" t="n">
        <x:v>0</x:v>
      </x:c>
      <x:c r="I942" s="16" t="n">
        <x:v>1085947.871878154</x:v>
      </x:c>
      <x:c r="J942" s="16" t="n">
        <x:v>1087772.9619016976</x:v>
      </x:c>
      <x:c r="K942" s="16" t="n">
        <x:v>-1825.0900235434528</x:v>
      </x:c>
      <x:c r="L942" s="18" t="n">
        <x:v>-0.0016778225672687</x:v>
      </x:c>
      <x:c r="M942" s="18" t="n">
        <x:v>0</x:v>
      </x:c>
      <x:c r="O942" t="str">
        <x:v>2024-12-18</x:v>
      </x:c>
      <x:c r="P942" t="n">
        <x:v>1085947.871878154</x:v>
      </x:c>
    </x:row>
    <x:row r="943" ht="15" hidden="0" customHeight="1">
      <x:c r="A943" s="13" t="str">
        <x:v>2024-12-19</x:v>
      </x:c>
      <x:c r="B943" s="13" t="n">
        <x:v>0</x:v>
      </x:c>
      <x:c r="C943" s="13" t="n">
        <x:v>0</x:v>
      </x:c>
      <x:c r="D943" s="16" t="n">
        <x:v>0</x:v>
      </x:c>
      <x:c r="E943" s="16" t="n">
        <x:v>0</x:v>
      </x:c>
      <x:c r="F943" s="16" t="n">
        <x:v>0</x:v>
      </x:c>
      <x:c r="G943" s="16" t="n">
        <x:v>0</x:v>
      </x:c>
      <x:c r="H943" s="16" t="n">
        <x:v>0</x:v>
      </x:c>
      <x:c r="I943" s="16" t="n">
        <x:v>1085947.871878154</x:v>
      </x:c>
      <x:c r="J943" s="16" t="n">
        <x:v>1087772.9619016976</x:v>
      </x:c>
      <x:c r="K943" s="16" t="n">
        <x:v>-1825.0900235434528</x:v>
      </x:c>
      <x:c r="L943" s="18" t="n">
        <x:v>-0.0016778225672687</x:v>
      </x:c>
      <x:c r="M943" s="18" t="n">
        <x:v>0</x:v>
      </x:c>
      <x:c r="O943" t="str">
        <x:v>2024-12-19</x:v>
      </x:c>
      <x:c r="P943" t="n">
        <x:v>1085947.871878154</x:v>
      </x:c>
    </x:row>
    <x:row r="944" ht="15" hidden="0" customHeight="1">
      <x:c r="A944" s="13" t="str">
        <x:v>2024-12-20</x:v>
      </x:c>
      <x:c r="B944" s="13" t="n">
        <x:v>0</x:v>
      </x:c>
      <x:c r="C944" s="13" t="n">
        <x:v>0</x:v>
      </x:c>
      <x:c r="D944" s="16" t="n">
        <x:v>0</x:v>
      </x:c>
      <x:c r="E944" s="16" t="n">
        <x:v>0</x:v>
      </x:c>
      <x:c r="F944" s="16" t="n">
        <x:v>0</x:v>
      </x:c>
      <x:c r="G944" s="16" t="n">
        <x:v>0</x:v>
      </x:c>
      <x:c r="H944" s="16" t="n">
        <x:v>0</x:v>
      </x:c>
      <x:c r="I944" s="16" t="n">
        <x:v>1085947.871878154</x:v>
      </x:c>
      <x:c r="J944" s="16" t="n">
        <x:v>1087772.9619016976</x:v>
      </x:c>
      <x:c r="K944" s="16" t="n">
        <x:v>-1825.0900235434528</x:v>
      </x:c>
      <x:c r="L944" s="18" t="n">
        <x:v>-0.0016778225672687</x:v>
      </x:c>
      <x:c r="M944" s="18" t="n">
        <x:v>0</x:v>
      </x:c>
      <x:c r="O944" t="str">
        <x:v>2024-12-20</x:v>
      </x:c>
      <x:c r="P944" t="n">
        <x:v>1085947.871878154</x:v>
      </x:c>
    </x:row>
    <x:row r="945" ht="15" hidden="0" customHeight="1">
      <x:c r="A945" s="13" t="str">
        <x:v>2024-12-23</x:v>
      </x:c>
      <x:c r="B945" s="13" t="n">
        <x:v>0</x:v>
      </x:c>
      <x:c r="C945" s="13" t="n">
        <x:v>0</x:v>
      </x:c>
      <x:c r="D945" s="16" t="n">
        <x:v>0</x:v>
      </x:c>
      <x:c r="E945" s="16" t="n">
        <x:v>0</x:v>
      </x:c>
      <x:c r="F945" s="16" t="n">
        <x:v>0</x:v>
      </x:c>
      <x:c r="G945" s="16" t="n">
        <x:v>0</x:v>
      </x:c>
      <x:c r="H945" s="16" t="n">
        <x:v>0</x:v>
      </x:c>
      <x:c r="I945" s="16" t="n">
        <x:v>1085947.871878154</x:v>
      </x:c>
      <x:c r="J945" s="16" t="n">
        <x:v>1087772.9619016976</x:v>
      </x:c>
      <x:c r="K945" s="16" t="n">
        <x:v>-1825.0900235434528</x:v>
      </x:c>
      <x:c r="L945" s="18" t="n">
        <x:v>-0.0016778225672687</x:v>
      </x:c>
      <x:c r="M945" s="18" t="n">
        <x:v>0</x:v>
      </x:c>
      <x:c r="O945" t="str">
        <x:v>2024-12-23</x:v>
      </x:c>
      <x:c r="P945" t="n">
        <x:v>1085947.871878154</x:v>
      </x:c>
    </x:row>
    <x:row r="946" ht="15" hidden="0" customHeight="1">
      <x:c r="A946" s="13" t="str">
        <x:v>2024-12-24</x:v>
      </x:c>
      <x:c r="B946" s="13" t="n">
        <x:v>0</x:v>
      </x:c>
      <x:c r="C946" s="13" t="n">
        <x:v>0</x:v>
      </x:c>
      <x:c r="D946" s="16" t="n">
        <x:v>0</x:v>
      </x:c>
      <x:c r="E946" s="16" t="n">
        <x:v>0</x:v>
      </x:c>
      <x:c r="F946" s="16" t="n">
        <x:v>0</x:v>
      </x:c>
      <x:c r="G946" s="16" t="n">
        <x:v>0</x:v>
      </x:c>
      <x:c r="H946" s="16" t="n">
        <x:v>0</x:v>
      </x:c>
      <x:c r="I946" s="16" t="n">
        <x:v>1085947.871878154</x:v>
      </x:c>
      <x:c r="J946" s="16" t="n">
        <x:v>1087772.9619016976</x:v>
      </x:c>
      <x:c r="K946" s="16" t="n">
        <x:v>-1825.0900235434528</x:v>
      </x:c>
      <x:c r="L946" s="18" t="n">
        <x:v>-0.0016778225672687</x:v>
      </x:c>
      <x:c r="M946" s="18" t="n">
        <x:v>0</x:v>
      </x:c>
      <x:c r="O946" t="str">
        <x:v>2024-12-24</x:v>
      </x:c>
      <x:c r="P946" t="n">
        <x:v>1085947.871878154</x:v>
      </x:c>
    </x:row>
    <x:row r="947" ht="15" hidden="0" customHeight="1">
      <x:c r="A947" s="13" t="str">
        <x:v>2024-12-25</x:v>
      </x:c>
      <x:c r="B947" s="13" t="n">
        <x:v>0</x:v>
      </x:c>
      <x:c r="C947" s="13" t="n">
        <x:v>0</x:v>
      </x:c>
      <x:c r="D947" s="16" t="n">
        <x:v>0</x:v>
      </x:c>
      <x:c r="E947" s="16" t="n">
        <x:v>0</x:v>
      </x:c>
      <x:c r="F947" s="16" t="n">
        <x:v>0</x:v>
      </x:c>
      <x:c r="G947" s="16" t="n">
        <x:v>0</x:v>
      </x:c>
      <x:c r="H947" s="16" t="n">
        <x:v>0</x:v>
      </x:c>
      <x:c r="I947" s="16" t="n">
        <x:v>1085947.871878154</x:v>
      </x:c>
      <x:c r="J947" s="16" t="n">
        <x:v>1087772.9619016976</x:v>
      </x:c>
      <x:c r="K947" s="16" t="n">
        <x:v>-1825.0900235434528</x:v>
      </x:c>
      <x:c r="L947" s="18" t="n">
        <x:v>-0.0016778225672687</x:v>
      </x:c>
      <x:c r="M947" s="18" t="n">
        <x:v>0</x:v>
      </x:c>
      <x:c r="O947" t="str">
        <x:v>2024-12-25</x:v>
      </x:c>
      <x:c r="P947" t="n">
        <x:v>1085947.871878154</x:v>
      </x:c>
    </x:row>
    <x:row r="948" ht="15" hidden="0" customHeight="1">
      <x:c r="A948" s="13" t="str">
        <x:v>2024-12-26</x:v>
      </x:c>
      <x:c r="B948" s="13" t="n">
        <x:v>0</x:v>
      </x:c>
      <x:c r="C948" s="13" t="n">
        <x:v>0</x:v>
      </x:c>
      <x:c r="D948" s="16" t="n">
        <x:v>0</x:v>
      </x:c>
      <x:c r="E948" s="16" t="n">
        <x:v>0</x:v>
      </x:c>
      <x:c r="F948" s="16" t="n">
        <x:v>0</x:v>
      </x:c>
      <x:c r="G948" s="16" t="n">
        <x:v>0</x:v>
      </x:c>
      <x:c r="H948" s="16" t="n">
        <x:v>0</x:v>
      </x:c>
      <x:c r="I948" s="16" t="n">
        <x:v>1085947.871878154</x:v>
      </x:c>
      <x:c r="J948" s="16" t="n">
        <x:v>1087772.9619016976</x:v>
      </x:c>
      <x:c r="K948" s="16" t="n">
        <x:v>-1825.0900235434528</x:v>
      </x:c>
      <x:c r="L948" s="18" t="n">
        <x:v>-0.0016778225672687</x:v>
      </x:c>
      <x:c r="M948" s="18" t="n">
        <x:v>0</x:v>
      </x:c>
      <x:c r="O948" t="str">
        <x:v>2024-12-26</x:v>
      </x:c>
      <x:c r="P948" t="n">
        <x:v>1085947.871878154</x:v>
      </x:c>
    </x:row>
    <x:row r="949" ht="15" hidden="0" customHeight="1">
      <x:c r="A949" s="13" t="str">
        <x:v>2024-12-27</x:v>
      </x:c>
      <x:c r="B949" s="13" t="n">
        <x:v>0</x:v>
      </x:c>
      <x:c r="C949" s="13" t="n">
        <x:v>0</x:v>
      </x:c>
      <x:c r="D949" s="16" t="n">
        <x:v>0</x:v>
      </x:c>
      <x:c r="E949" s="16" t="n">
        <x:v>0</x:v>
      </x:c>
      <x:c r="F949" s="16" t="n">
        <x:v>0</x:v>
      </x:c>
      <x:c r="G949" s="16" t="n">
        <x:v>0</x:v>
      </x:c>
      <x:c r="H949" s="16" t="n">
        <x:v>0</x:v>
      </x:c>
      <x:c r="I949" s="16" t="n">
        <x:v>1085947.871878154</x:v>
      </x:c>
      <x:c r="J949" s="16" t="n">
        <x:v>1087772.9619016976</x:v>
      </x:c>
      <x:c r="K949" s="16" t="n">
        <x:v>-1825.0900235434528</x:v>
      </x:c>
      <x:c r="L949" s="18" t="n">
        <x:v>-0.0016778225672687</x:v>
      </x:c>
      <x:c r="M949" s="18" t="n">
        <x:v>0</x:v>
      </x:c>
      <x:c r="O949" t="str">
        <x:v>2024-12-27</x:v>
      </x:c>
      <x:c r="P949" t="n">
        <x:v>1085947.871878154</x:v>
      </x:c>
    </x:row>
    <x:row r="950" ht="15" hidden="0" customHeight="1">
      <x:c r="A950" s="13" t="str">
        <x:v>2024-12-30</x:v>
      </x:c>
      <x:c r="B950" s="13" t="n">
        <x:v>0</x:v>
      </x:c>
      <x:c r="C950" s="13" t="n">
        <x:v>0</x:v>
      </x:c>
      <x:c r="D950" s="16" t="n">
        <x:v>0</x:v>
      </x:c>
      <x:c r="E950" s="16" t="n">
        <x:v>0</x:v>
      </x:c>
      <x:c r="F950" s="16" t="n">
        <x:v>0</x:v>
      </x:c>
      <x:c r="G950" s="16" t="n">
        <x:v>0</x:v>
      </x:c>
      <x:c r="H950" s="16" t="n">
        <x:v>0</x:v>
      </x:c>
      <x:c r="I950" s="16" t="n">
        <x:v>1085947.871878154</x:v>
      </x:c>
      <x:c r="J950" s="16" t="n">
        <x:v>1087772.9619016976</x:v>
      </x:c>
      <x:c r="K950" s="16" t="n">
        <x:v>-1825.0900235434528</x:v>
      </x:c>
      <x:c r="L950" s="18" t="n">
        <x:v>-0.0016778225672687</x:v>
      </x:c>
      <x:c r="M950" s="18" t="n">
        <x:v>0</x:v>
      </x:c>
      <x:c r="O950" t="str">
        <x:v>2024-12-30</x:v>
      </x:c>
      <x:c r="P950" t="n">
        <x:v>1085947.871878154</x:v>
      </x:c>
    </x:row>
    <x:row r="951" ht="15" hidden="0" customHeight="1">
      <x:c r="A951" s="13" t="str">
        <x:v>2024-12-31</x:v>
      </x:c>
      <x:c r="B951" s="13" t="n">
        <x:v>0</x:v>
      </x:c>
      <x:c r="C951" s="13" t="n">
        <x:v>0</x:v>
      </x:c>
      <x:c r="D951" s="16" t="n">
        <x:v>0</x:v>
      </x:c>
      <x:c r="E951" s="16" t="n">
        <x:v>0</x:v>
      </x:c>
      <x:c r="F951" s="16" t="n">
        <x:v>0</x:v>
      </x:c>
      <x:c r="G951" s="16" t="n">
        <x:v>0</x:v>
      </x:c>
      <x:c r="H951" s="16" t="n">
        <x:v>0</x:v>
      </x:c>
      <x:c r="I951" s="16" t="n">
        <x:v>1085947.871878154</x:v>
      </x:c>
      <x:c r="J951" s="16" t="n">
        <x:v>1087772.9619016976</x:v>
      </x:c>
      <x:c r="K951" s="16" t="n">
        <x:v>-1825.0900235434528</x:v>
      </x:c>
      <x:c r="L951" s="18" t="n">
        <x:v>-0.0016778225672687</x:v>
      </x:c>
      <x:c r="M951" s="18" t="n">
        <x:v>0</x:v>
      </x:c>
      <x:c r="O951" t="str">
        <x:v>2024-12-31</x:v>
      </x:c>
      <x:c r="P951" t="n">
        <x:v>1085947.871878154</x:v>
      </x:c>
    </x:row>
    <x:row r="952" ht="15" hidden="0" customHeight="1">
      <x:c r="A952" s="13" t="str">
        <x:v>2025-01-01</x:v>
      </x:c>
      <x:c r="B952" s="13" t="n">
        <x:v>1</x:v>
      </x:c>
      <x:c r="C952" s="13" t="n">
        <x:v>4</x:v>
      </x:c>
      <x:c r="D952" s="16" t="n">
        <x:v>-255.00000000000043</x:v>
      </x:c>
      <x:c r="E952" s="16" t="n">
        <x:v>881.4675438846682</x:v>
      </x:c>
      <x:c r="F952" s="16" t="n">
        <x:v>-1136.4675438846689</x:v>
      </x:c>
      <x:c r="G952" s="16" t="n">
        <x:v>249946.8414172638</x:v>
      </x:c>
      <x:c r="H952" s="16" t="n">
        <x:v>374094.8649688247</x:v>
      </x:c>
      <x:c r="I952" s="16" t="n">
        <x:v>1084811.4043342697</x:v>
      </x:c>
      <x:c r="J952" s="16" t="n">
        <x:v>1087772.9619016976</x:v>
      </x:c>
      <x:c r="K952" s="16" t="n">
        <x:v>-2961.557567428099</x:v>
      </x:c>
      <x:c r="L952" s="18" t="n">
        <x:v>-0.002722587958291</x:v>
      </x:c>
      <x:c r="M952" s="18" t="n">
        <x:v>-0.0010465212680228</x:v>
      </x:c>
      <x:c r="O952" t="str">
        <x:v>2025-01-01</x:v>
      </x:c>
      <x:c r="P952" t="n">
        <x:v>1084811.4043342697</x:v>
      </x:c>
    </x:row>
    <x:row r="953" ht="15" hidden="0" customHeight="1">
      <x:c r="A953" s="13" t="str">
        <x:v>2025-01-02</x:v>
      </x:c>
      <x:c r="B953" s="13" t="n">
        <x:v>0</x:v>
      </x:c>
      <x:c r="C953" s="13" t="n">
        <x:v>0</x:v>
      </x:c>
      <x:c r="D953" s="16" t="n">
        <x:v>0</x:v>
      </x:c>
      <x:c r="E953" s="16" t="n">
        <x:v>0</x:v>
      </x:c>
      <x:c r="F953" s="16" t="n">
        <x:v>0</x:v>
      </x:c>
      <x:c r="G953" s="16" t="n">
        <x:v>0</x:v>
      </x:c>
      <x:c r="H953" s="16" t="n">
        <x:v>0</x:v>
      </x:c>
      <x:c r="I953" s="16" t="n">
        <x:v>1084811.4043342697</x:v>
      </x:c>
      <x:c r="J953" s="16" t="n">
        <x:v>1087772.9619016976</x:v>
      </x:c>
      <x:c r="K953" s="16" t="n">
        <x:v>-2961.557567428099</x:v>
      </x:c>
      <x:c r="L953" s="18" t="n">
        <x:v>-0.002722587958291</x:v>
      </x:c>
      <x:c r="M953" s="18" t="n">
        <x:v>0</x:v>
      </x:c>
      <x:c r="O953" t="str">
        <x:v>2025-01-02</x:v>
      </x:c>
      <x:c r="P953" t="n">
        <x:v>1084811.4043342697</x:v>
      </x:c>
    </x:row>
    <x:row r="954" ht="15" hidden="0" customHeight="1">
      <x:c r="A954" s="13" t="str">
        <x:v>2025-01-03</x:v>
      </x:c>
      <x:c r="B954" s="13" t="n">
        <x:v>0</x:v>
      </x:c>
      <x:c r="C954" s="13" t="n">
        <x:v>0</x:v>
      </x:c>
      <x:c r="D954" s="16" t="n">
        <x:v>0</x:v>
      </x:c>
      <x:c r="E954" s="16" t="n">
        <x:v>0</x:v>
      </x:c>
      <x:c r="F954" s="16" t="n">
        <x:v>0</x:v>
      </x:c>
      <x:c r="G954" s="16" t="n">
        <x:v>0</x:v>
      </x:c>
      <x:c r="H954" s="16" t="n">
        <x:v>0</x:v>
      </x:c>
      <x:c r="I954" s="16" t="n">
        <x:v>1084811.4043342697</x:v>
      </x:c>
      <x:c r="J954" s="16" t="n">
        <x:v>1087772.9619016976</x:v>
      </x:c>
      <x:c r="K954" s="16" t="n">
        <x:v>-2961.557567428099</x:v>
      </x:c>
      <x:c r="L954" s="18" t="n">
        <x:v>-0.002722587958291</x:v>
      </x:c>
      <x:c r="M954" s="18" t="n">
        <x:v>0</x:v>
      </x:c>
      <x:c r="O954" t="str">
        <x:v>2025-01-03</x:v>
      </x:c>
      <x:c r="P954" t="n">
        <x:v>1084811.4043342697</x:v>
      </x:c>
    </x:row>
    <x:row r="955" ht="15" hidden="0" customHeight="1">
      <x:c r="A955" s="13" t="str">
        <x:v>2025-01-06</x:v>
      </x:c>
      <x:c r="B955" s="13" t="n">
        <x:v>0</x:v>
      </x:c>
      <x:c r="C955" s="13" t="n">
        <x:v>0</x:v>
      </x:c>
      <x:c r="D955" s="16" t="n">
        <x:v>0</x:v>
      </x:c>
      <x:c r="E955" s="16" t="n">
        <x:v>0</x:v>
      </x:c>
      <x:c r="F955" s="16" t="n">
        <x:v>0</x:v>
      </x:c>
      <x:c r="G955" s="16" t="n">
        <x:v>0</x:v>
      </x:c>
      <x:c r="H955" s="16" t="n">
        <x:v>0</x:v>
      </x:c>
      <x:c r="I955" s="16" t="n">
        <x:v>1084811.4043342697</x:v>
      </x:c>
      <x:c r="J955" s="16" t="n">
        <x:v>1087772.9619016976</x:v>
      </x:c>
      <x:c r="K955" s="16" t="n">
        <x:v>-2961.557567428099</x:v>
      </x:c>
      <x:c r="L955" s="18" t="n">
        <x:v>-0.002722587958291</x:v>
      </x:c>
      <x:c r="M955" s="18" t="n">
        <x:v>0</x:v>
      </x:c>
      <x:c r="O955" t="str">
        <x:v>2025-01-06</x:v>
      </x:c>
      <x:c r="P955" t="n">
        <x:v>1084811.4043342697</x:v>
      </x:c>
    </x:row>
    <x:row r="956" ht="15" hidden="0" customHeight="1">
      <x:c r="A956" s="13" t="str">
        <x:v>2025-01-07</x:v>
      </x:c>
      <x:c r="B956" s="13" t="n">
        <x:v>0</x:v>
      </x:c>
      <x:c r="C956" s="13" t="n">
        <x:v>0</x:v>
      </x:c>
      <x:c r="D956" s="16" t="n">
        <x:v>0</x:v>
      </x:c>
      <x:c r="E956" s="16" t="n">
        <x:v>0</x:v>
      </x:c>
      <x:c r="F956" s="16" t="n">
        <x:v>0</x:v>
      </x:c>
      <x:c r="G956" s="16" t="n">
        <x:v>0</x:v>
      </x:c>
      <x:c r="H956" s="16" t="n">
        <x:v>0</x:v>
      </x:c>
      <x:c r="I956" s="16" t="n">
        <x:v>1084811.4043342697</x:v>
      </x:c>
      <x:c r="J956" s="16" t="n">
        <x:v>1087772.9619016976</x:v>
      </x:c>
      <x:c r="K956" s="16" t="n">
        <x:v>-2961.557567428099</x:v>
      </x:c>
      <x:c r="L956" s="18" t="n">
        <x:v>-0.002722587958291</x:v>
      </x:c>
      <x:c r="M956" s="18" t="n">
        <x:v>0</x:v>
      </x:c>
      <x:c r="O956" t="str">
        <x:v>2025-01-07</x:v>
      </x:c>
      <x:c r="P956" t="n">
        <x:v>1084811.4043342697</x:v>
      </x:c>
    </x:row>
    <x:row r="957" ht="15" hidden="0" customHeight="1">
      <x:c r="A957" s="13" t="str">
        <x:v>2025-01-08</x:v>
      </x:c>
      <x:c r="B957" s="13" t="n">
        <x:v>0</x:v>
      </x:c>
      <x:c r="C957" s="13" t="n">
        <x:v>0</x:v>
      </x:c>
      <x:c r="D957" s="16" t="n">
        <x:v>0</x:v>
      </x:c>
      <x:c r="E957" s="16" t="n">
        <x:v>0</x:v>
      </x:c>
      <x:c r="F957" s="16" t="n">
        <x:v>0</x:v>
      </x:c>
      <x:c r="G957" s="16" t="n">
        <x:v>0</x:v>
      </x:c>
      <x:c r="H957" s="16" t="n">
        <x:v>0</x:v>
      </x:c>
      <x:c r="I957" s="16" t="n">
        <x:v>1084811.4043342697</x:v>
      </x:c>
      <x:c r="J957" s="16" t="n">
        <x:v>1087772.9619016976</x:v>
      </x:c>
      <x:c r="K957" s="16" t="n">
        <x:v>-2961.557567428099</x:v>
      </x:c>
      <x:c r="L957" s="18" t="n">
        <x:v>-0.002722587958291</x:v>
      </x:c>
      <x:c r="M957" s="18" t="n">
        <x:v>0</x:v>
      </x:c>
      <x:c r="O957" t="str">
        <x:v>2025-01-08</x:v>
      </x:c>
      <x:c r="P957" t="n">
        <x:v>1084811.4043342697</x:v>
      </x:c>
    </x:row>
    <x:row r="958" ht="15" hidden="0" customHeight="1">
      <x:c r="A958" s="13" t="str">
        <x:v>2025-01-09</x:v>
      </x:c>
      <x:c r="B958" s="13" t="n">
        <x:v>0</x:v>
      </x:c>
      <x:c r="C958" s="13" t="n">
        <x:v>0</x:v>
      </x:c>
      <x:c r="D958" s="16" t="n">
        <x:v>0</x:v>
      </x:c>
      <x:c r="E958" s="16" t="n">
        <x:v>0</x:v>
      </x:c>
      <x:c r="F958" s="16" t="n">
        <x:v>0</x:v>
      </x:c>
      <x:c r="G958" s="16" t="n">
        <x:v>0</x:v>
      </x:c>
      <x:c r="H958" s="16" t="n">
        <x:v>0</x:v>
      </x:c>
      <x:c r="I958" s="16" t="n">
        <x:v>1084811.4043342697</x:v>
      </x:c>
      <x:c r="J958" s="16" t="n">
        <x:v>1087772.9619016976</x:v>
      </x:c>
      <x:c r="K958" s="16" t="n">
        <x:v>-2961.557567428099</x:v>
      </x:c>
      <x:c r="L958" s="18" t="n">
        <x:v>-0.002722587958291</x:v>
      </x:c>
      <x:c r="M958" s="18" t="n">
        <x:v>0</x:v>
      </x:c>
      <x:c r="O958" t="str">
        <x:v>2025-01-09</x:v>
      </x:c>
      <x:c r="P958" t="n">
        <x:v>1084811.4043342697</x:v>
      </x:c>
    </x:row>
    <x:row r="959" ht="15" hidden="0" customHeight="1">
      <x:c r="A959" s="13" t="str">
        <x:v>2025-01-10</x:v>
      </x:c>
      <x:c r="B959" s="13" t="n">
        <x:v>0</x:v>
      </x:c>
      <x:c r="C959" s="13" t="n">
        <x:v>0</x:v>
      </x:c>
      <x:c r="D959" s="16" t="n">
        <x:v>0</x:v>
      </x:c>
      <x:c r="E959" s="16" t="n">
        <x:v>0</x:v>
      </x:c>
      <x:c r="F959" s="16" t="n">
        <x:v>0</x:v>
      </x:c>
      <x:c r="G959" s="16" t="n">
        <x:v>0</x:v>
      </x:c>
      <x:c r="H959" s="16" t="n">
        <x:v>0</x:v>
      </x:c>
      <x:c r="I959" s="16" t="n">
        <x:v>1084811.4043342697</x:v>
      </x:c>
      <x:c r="J959" s="16" t="n">
        <x:v>1087772.9619016976</x:v>
      </x:c>
      <x:c r="K959" s="16" t="n">
        <x:v>-2961.557567428099</x:v>
      </x:c>
      <x:c r="L959" s="18" t="n">
        <x:v>-0.002722587958291</x:v>
      </x:c>
      <x:c r="M959" s="18" t="n">
        <x:v>0</x:v>
      </x:c>
      <x:c r="O959" t="str">
        <x:v>2025-01-10</x:v>
      </x:c>
      <x:c r="P959" t="n">
        <x:v>1084811.4043342697</x:v>
      </x:c>
    </x:row>
    <x:row r="960" ht="15" hidden="0" customHeight="1">
      <x:c r="A960" s="13" t="str">
        <x:v>2025-01-13</x:v>
      </x:c>
      <x:c r="B960" s="13" t="n">
        <x:v>0</x:v>
      </x:c>
      <x:c r="C960" s="13" t="n">
        <x:v>0</x:v>
      </x:c>
      <x:c r="D960" s="16" t="n">
        <x:v>0</x:v>
      </x:c>
      <x:c r="E960" s="16" t="n">
        <x:v>0</x:v>
      </x:c>
      <x:c r="F960" s="16" t="n">
        <x:v>0</x:v>
      </x:c>
      <x:c r="G960" s="16" t="n">
        <x:v>0</x:v>
      </x:c>
      <x:c r="H960" s="16" t="n">
        <x:v>0</x:v>
      </x:c>
      <x:c r="I960" s="16" t="n">
        <x:v>1084811.4043342697</x:v>
      </x:c>
      <x:c r="J960" s="16" t="n">
        <x:v>1087772.9619016976</x:v>
      </x:c>
      <x:c r="K960" s="16" t="n">
        <x:v>-2961.557567428099</x:v>
      </x:c>
      <x:c r="L960" s="18" t="n">
        <x:v>-0.002722587958291</x:v>
      </x:c>
      <x:c r="M960" s="18" t="n">
        <x:v>0</x:v>
      </x:c>
      <x:c r="O960" t="str">
        <x:v>2025-01-13</x:v>
      </x:c>
      <x:c r="P960" t="n">
        <x:v>1084811.4043342697</x:v>
      </x:c>
    </x:row>
    <x:row r="961" ht="15" hidden="0" customHeight="1">
      <x:c r="A961" s="13" t="str">
        <x:v>2025-01-14</x:v>
      </x:c>
      <x:c r="B961" s="13" t="n">
        <x:v>0</x:v>
      </x:c>
      <x:c r="C961" s="13" t="n">
        <x:v>0</x:v>
      </x:c>
      <x:c r="D961" s="16" t="n">
        <x:v>0</x:v>
      </x:c>
      <x:c r="E961" s="16" t="n">
        <x:v>0</x:v>
      </x:c>
      <x:c r="F961" s="16" t="n">
        <x:v>0</x:v>
      </x:c>
      <x:c r="G961" s="16" t="n">
        <x:v>0</x:v>
      </x:c>
      <x:c r="H961" s="16" t="n">
        <x:v>0</x:v>
      </x:c>
      <x:c r="I961" s="16" t="n">
        <x:v>1084811.4043342697</x:v>
      </x:c>
      <x:c r="J961" s="16" t="n">
        <x:v>1087772.9619016976</x:v>
      </x:c>
      <x:c r="K961" s="16" t="n">
        <x:v>-2961.557567428099</x:v>
      </x:c>
      <x:c r="L961" s="18" t="n">
        <x:v>-0.002722587958291</x:v>
      </x:c>
      <x:c r="M961" s="18" t="n">
        <x:v>0</x:v>
      </x:c>
      <x:c r="O961" t="str">
        <x:v>2025-01-14</x:v>
      </x:c>
      <x:c r="P961" t="n">
        <x:v>1084811.4043342697</x:v>
      </x:c>
    </x:row>
    <x:row r="962" ht="15" hidden="0" customHeight="1">
      <x:c r="A962" s="13" t="str">
        <x:v>2025-01-15</x:v>
      </x:c>
      <x:c r="B962" s="13" t="n">
        <x:v>0</x:v>
      </x:c>
      <x:c r="C962" s="13" t="n">
        <x:v>0</x:v>
      </x:c>
      <x:c r="D962" s="16" t="n">
        <x:v>0</x:v>
      </x:c>
      <x:c r="E962" s="16" t="n">
        <x:v>0</x:v>
      </x:c>
      <x:c r="F962" s="16" t="n">
        <x:v>0</x:v>
      </x:c>
      <x:c r="G962" s="16" t="n">
        <x:v>0</x:v>
      </x:c>
      <x:c r="H962" s="16" t="n">
        <x:v>0</x:v>
      </x:c>
      <x:c r="I962" s="16" t="n">
        <x:v>1084811.4043342697</x:v>
      </x:c>
      <x:c r="J962" s="16" t="n">
        <x:v>1087772.9619016976</x:v>
      </x:c>
      <x:c r="K962" s="16" t="n">
        <x:v>-2961.557567428099</x:v>
      </x:c>
      <x:c r="L962" s="18" t="n">
        <x:v>-0.002722587958291</x:v>
      </x:c>
      <x:c r="M962" s="18" t="n">
        <x:v>0</x:v>
      </x:c>
      <x:c r="O962" t="str">
        <x:v>2025-01-15</x:v>
      </x:c>
      <x:c r="P962" t="n">
        <x:v>1084811.4043342697</x:v>
      </x:c>
    </x:row>
    <x:row r="963" ht="15" hidden="0" customHeight="1">
      <x:c r="A963" s="13" t="str">
        <x:v>2025-01-16</x:v>
      </x:c>
      <x:c r="B963" s="13" t="n">
        <x:v>0</x:v>
      </x:c>
      <x:c r="C963" s="13" t="n">
        <x:v>0</x:v>
      </x:c>
      <x:c r="D963" s="16" t="n">
        <x:v>0</x:v>
      </x:c>
      <x:c r="E963" s="16" t="n">
        <x:v>0</x:v>
      </x:c>
      <x:c r="F963" s="16" t="n">
        <x:v>0</x:v>
      </x:c>
      <x:c r="G963" s="16" t="n">
        <x:v>0</x:v>
      </x:c>
      <x:c r="H963" s="16" t="n">
        <x:v>0</x:v>
      </x:c>
      <x:c r="I963" s="16" t="n">
        <x:v>1084811.4043342697</x:v>
      </x:c>
      <x:c r="J963" s="16" t="n">
        <x:v>1087772.9619016976</x:v>
      </x:c>
      <x:c r="K963" s="16" t="n">
        <x:v>-2961.557567428099</x:v>
      </x:c>
      <x:c r="L963" s="18" t="n">
        <x:v>-0.002722587958291</x:v>
      </x:c>
      <x:c r="M963" s="18" t="n">
        <x:v>0</x:v>
      </x:c>
      <x:c r="O963" t="str">
        <x:v>2025-01-16</x:v>
      </x:c>
      <x:c r="P963" t="n">
        <x:v>1084811.4043342697</x:v>
      </x:c>
    </x:row>
    <x:row r="964" ht="15" hidden="0" customHeight="1">
      <x:c r="A964" s="13" t="str">
        <x:v>2025-01-17</x:v>
      </x:c>
      <x:c r="B964" s="13" t="n">
        <x:v>0</x:v>
      </x:c>
      <x:c r="C964" s="13" t="n">
        <x:v>0</x:v>
      </x:c>
      <x:c r="D964" s="16" t="n">
        <x:v>0</x:v>
      </x:c>
      <x:c r="E964" s="16" t="n">
        <x:v>0</x:v>
      </x:c>
      <x:c r="F964" s="16" t="n">
        <x:v>0</x:v>
      </x:c>
      <x:c r="G964" s="16" t="n">
        <x:v>0</x:v>
      </x:c>
      <x:c r="H964" s="16" t="n">
        <x:v>0</x:v>
      </x:c>
      <x:c r="I964" s="16" t="n">
        <x:v>1084811.4043342697</x:v>
      </x:c>
      <x:c r="J964" s="16" t="n">
        <x:v>1087772.9619016976</x:v>
      </x:c>
      <x:c r="K964" s="16" t="n">
        <x:v>-2961.557567428099</x:v>
      </x:c>
      <x:c r="L964" s="18" t="n">
        <x:v>-0.002722587958291</x:v>
      </x:c>
      <x:c r="M964" s="18" t="n">
        <x:v>0</x:v>
      </x:c>
      <x:c r="O964" t="str">
        <x:v>2025-01-17</x:v>
      </x:c>
      <x:c r="P964" t="n">
        <x:v>1084811.4043342697</x:v>
      </x:c>
    </x:row>
    <x:row r="965" ht="15" hidden="0" customHeight="1">
      <x:c r="A965" s="13" t="str">
        <x:v>2025-01-20</x:v>
      </x:c>
      <x:c r="B965" s="13" t="n">
        <x:v>0</x:v>
      </x:c>
      <x:c r="C965" s="13" t="n">
        <x:v>0</x:v>
      </x:c>
      <x:c r="D965" s="16" t="n">
        <x:v>0</x:v>
      </x:c>
      <x:c r="E965" s="16" t="n">
        <x:v>0</x:v>
      </x:c>
      <x:c r="F965" s="16" t="n">
        <x:v>0</x:v>
      </x:c>
      <x:c r="G965" s="16" t="n">
        <x:v>0</x:v>
      </x:c>
      <x:c r="H965" s="16" t="n">
        <x:v>0</x:v>
      </x:c>
      <x:c r="I965" s="16" t="n">
        <x:v>1084811.4043342697</x:v>
      </x:c>
      <x:c r="J965" s="16" t="n">
        <x:v>1087772.9619016976</x:v>
      </x:c>
      <x:c r="K965" s="16" t="n">
        <x:v>-2961.557567428099</x:v>
      </x:c>
      <x:c r="L965" s="18" t="n">
        <x:v>-0.002722587958291</x:v>
      </x:c>
      <x:c r="M965" s="18" t="n">
        <x:v>0</x:v>
      </x:c>
      <x:c r="O965" t="str">
        <x:v>2025-01-20</x:v>
      </x:c>
      <x:c r="P965" t="n">
        <x:v>1084811.4043342697</x:v>
      </x:c>
    </x:row>
    <x:row r="966" ht="15" hidden="0" customHeight="1">
      <x:c r="A966" s="13" t="str">
        <x:v>2025-01-21</x:v>
      </x:c>
      <x:c r="B966" s="13" t="n">
        <x:v>0</x:v>
      </x:c>
      <x:c r="C966" s="13" t="n">
        <x:v>0</x:v>
      </x:c>
      <x:c r="D966" s="16" t="n">
        <x:v>0</x:v>
      </x:c>
      <x:c r="E966" s="16" t="n">
        <x:v>0</x:v>
      </x:c>
      <x:c r="F966" s="16" t="n">
        <x:v>0</x:v>
      </x:c>
      <x:c r="G966" s="16" t="n">
        <x:v>0</x:v>
      </x:c>
      <x:c r="H966" s="16" t="n">
        <x:v>0</x:v>
      </x:c>
      <x:c r="I966" s="16" t="n">
        <x:v>1084811.4043342697</x:v>
      </x:c>
      <x:c r="J966" s="16" t="n">
        <x:v>1087772.9619016976</x:v>
      </x:c>
      <x:c r="K966" s="16" t="n">
        <x:v>-2961.557567428099</x:v>
      </x:c>
      <x:c r="L966" s="18" t="n">
        <x:v>-0.002722587958291</x:v>
      </x:c>
      <x:c r="M966" s="18" t="n">
        <x:v>0</x:v>
      </x:c>
      <x:c r="O966" t="str">
        <x:v>2025-01-21</x:v>
      </x:c>
      <x:c r="P966" t="n">
        <x:v>1084811.4043342697</x:v>
      </x:c>
    </x:row>
    <x:row r="967" ht="15" hidden="0" customHeight="1">
      <x:c r="A967" s="13" t="str">
        <x:v>2025-01-22</x:v>
      </x:c>
      <x:c r="B967" s="13" t="n">
        <x:v>0</x:v>
      </x:c>
      <x:c r="C967" s="13" t="n">
        <x:v>0</x:v>
      </x:c>
      <x:c r="D967" s="16" t="n">
        <x:v>0</x:v>
      </x:c>
      <x:c r="E967" s="16" t="n">
        <x:v>0</x:v>
      </x:c>
      <x:c r="F967" s="16" t="n">
        <x:v>0</x:v>
      </x:c>
      <x:c r="G967" s="16" t="n">
        <x:v>0</x:v>
      </x:c>
      <x:c r="H967" s="16" t="n">
        <x:v>0</x:v>
      </x:c>
      <x:c r="I967" s="16" t="n">
        <x:v>1084811.4043342697</x:v>
      </x:c>
      <x:c r="J967" s="16" t="n">
        <x:v>1087772.9619016976</x:v>
      </x:c>
      <x:c r="K967" s="16" t="n">
        <x:v>-2961.557567428099</x:v>
      </x:c>
      <x:c r="L967" s="18" t="n">
        <x:v>-0.002722587958291</x:v>
      </x:c>
      <x:c r="M967" s="18" t="n">
        <x:v>0</x:v>
      </x:c>
      <x:c r="O967" t="str">
        <x:v>2025-01-22</x:v>
      </x:c>
      <x:c r="P967" t="n">
        <x:v>1084811.4043342697</x:v>
      </x:c>
    </x:row>
    <x:row r="968" ht="15" hidden="0" customHeight="1">
      <x:c r="A968" s="13" t="str">
        <x:v>2025-01-23</x:v>
      </x:c>
      <x:c r="B968" s="13" t="n">
        <x:v>0</x:v>
      </x:c>
      <x:c r="C968" s="13" t="n">
        <x:v>0</x:v>
      </x:c>
      <x:c r="D968" s="16" t="n">
        <x:v>0</x:v>
      </x:c>
      <x:c r="E968" s="16" t="n">
        <x:v>0</x:v>
      </x:c>
      <x:c r="F968" s="16" t="n">
        <x:v>0</x:v>
      </x:c>
      <x:c r="G968" s="16" t="n">
        <x:v>0</x:v>
      </x:c>
      <x:c r="H968" s="16" t="n">
        <x:v>0</x:v>
      </x:c>
      <x:c r="I968" s="16" t="n">
        <x:v>1084811.4043342697</x:v>
      </x:c>
      <x:c r="J968" s="16" t="n">
        <x:v>1087772.9619016976</x:v>
      </x:c>
      <x:c r="K968" s="16" t="n">
        <x:v>-2961.557567428099</x:v>
      </x:c>
      <x:c r="L968" s="18" t="n">
        <x:v>-0.002722587958291</x:v>
      </x:c>
      <x:c r="M968" s="18" t="n">
        <x:v>0</x:v>
      </x:c>
      <x:c r="O968" t="str">
        <x:v>2025-01-23</x:v>
      </x:c>
      <x:c r="P968" t="n">
        <x:v>1084811.4043342697</x:v>
      </x:c>
    </x:row>
    <x:row r="969" ht="15" hidden="0" customHeight="1">
      <x:c r="A969" s="13" t="str">
        <x:v>2025-01-24</x:v>
      </x:c>
      <x:c r="B969" s="13" t="n">
        <x:v>0</x:v>
      </x:c>
      <x:c r="C969" s="13" t="n">
        <x:v>0</x:v>
      </x:c>
      <x:c r="D969" s="16" t="n">
        <x:v>0</x:v>
      </x:c>
      <x:c r="E969" s="16" t="n">
        <x:v>0</x:v>
      </x:c>
      <x:c r="F969" s="16" t="n">
        <x:v>0</x:v>
      </x:c>
      <x:c r="G969" s="16" t="n">
        <x:v>0</x:v>
      </x:c>
      <x:c r="H969" s="16" t="n">
        <x:v>0</x:v>
      </x:c>
      <x:c r="I969" s="16" t="n">
        <x:v>1084811.4043342697</x:v>
      </x:c>
      <x:c r="J969" s="16" t="n">
        <x:v>1087772.9619016976</x:v>
      </x:c>
      <x:c r="K969" s="16" t="n">
        <x:v>-2961.557567428099</x:v>
      </x:c>
      <x:c r="L969" s="18" t="n">
        <x:v>-0.002722587958291</x:v>
      </x:c>
      <x:c r="M969" s="18" t="n">
        <x:v>0</x:v>
      </x:c>
      <x:c r="O969" t="str">
        <x:v>2025-01-24</x:v>
      </x:c>
      <x:c r="P969" t="n">
        <x:v>1084811.4043342697</x:v>
      </x:c>
    </x:row>
    <x:row r="970" ht="15" hidden="0" customHeight="1">
      <x:c r="A970" s="13" t="str">
        <x:v>2025-01-27</x:v>
      </x:c>
      <x:c r="B970" s="13" t="n">
        <x:v>0</x:v>
      </x:c>
      <x:c r="C970" s="13" t="n">
        <x:v>0</x:v>
      </x:c>
      <x:c r="D970" s="16" t="n">
        <x:v>0</x:v>
      </x:c>
      <x:c r="E970" s="16" t="n">
        <x:v>0</x:v>
      </x:c>
      <x:c r="F970" s="16" t="n">
        <x:v>0</x:v>
      </x:c>
      <x:c r="G970" s="16" t="n">
        <x:v>0</x:v>
      </x:c>
      <x:c r="H970" s="16" t="n">
        <x:v>0</x:v>
      </x:c>
      <x:c r="I970" s="16" t="n">
        <x:v>1084811.4043342697</x:v>
      </x:c>
      <x:c r="J970" s="16" t="n">
        <x:v>1087772.9619016976</x:v>
      </x:c>
      <x:c r="K970" s="16" t="n">
        <x:v>-2961.557567428099</x:v>
      </x:c>
      <x:c r="L970" s="18" t="n">
        <x:v>-0.002722587958291</x:v>
      </x:c>
      <x:c r="M970" s="18" t="n">
        <x:v>0</x:v>
      </x:c>
      <x:c r="O970" t="str">
        <x:v>2025-01-27</x:v>
      </x:c>
      <x:c r="P970" t="n">
        <x:v>1084811.4043342697</x:v>
      </x:c>
    </x:row>
    <x:row r="971" ht="15" hidden="0" customHeight="1">
      <x:c r="A971" s="13" t="str">
        <x:v>2025-01-28</x:v>
      </x:c>
      <x:c r="B971" s="13" t="n">
        <x:v>0</x:v>
      </x:c>
      <x:c r="C971" s="13" t="n">
        <x:v>0</x:v>
      </x:c>
      <x:c r="D971" s="16" t="n">
        <x:v>0</x:v>
      </x:c>
      <x:c r="E971" s="16" t="n">
        <x:v>0</x:v>
      </x:c>
      <x:c r="F971" s="16" t="n">
        <x:v>0</x:v>
      </x:c>
      <x:c r="G971" s="16" t="n">
        <x:v>0</x:v>
      </x:c>
      <x:c r="H971" s="16" t="n">
        <x:v>0</x:v>
      </x:c>
      <x:c r="I971" s="16" t="n">
        <x:v>1084811.4043342697</x:v>
      </x:c>
      <x:c r="J971" s="16" t="n">
        <x:v>1087772.9619016976</x:v>
      </x:c>
      <x:c r="K971" s="16" t="n">
        <x:v>-2961.557567428099</x:v>
      </x:c>
      <x:c r="L971" s="18" t="n">
        <x:v>-0.002722587958291</x:v>
      </x:c>
      <x:c r="M971" s="18" t="n">
        <x:v>0</x:v>
      </x:c>
      <x:c r="O971" t="str">
        <x:v>2025-01-28</x:v>
      </x:c>
      <x:c r="P971" t="n">
        <x:v>1084811.4043342697</x:v>
      </x:c>
    </x:row>
    <x:row r="972" ht="15" hidden="0" customHeight="1">
      <x:c r="A972" s="13" t="str">
        <x:v>2025-01-29</x:v>
      </x:c>
      <x:c r="B972" s="13" t="n">
        <x:v>0</x:v>
      </x:c>
      <x:c r="C972" s="13" t="n">
        <x:v>0</x:v>
      </x:c>
      <x:c r="D972" s="16" t="n">
        <x:v>0</x:v>
      </x:c>
      <x:c r="E972" s="16" t="n">
        <x:v>0</x:v>
      </x:c>
      <x:c r="F972" s="16" t="n">
        <x:v>0</x:v>
      </x:c>
      <x:c r="G972" s="16" t="n">
        <x:v>0</x:v>
      </x:c>
      <x:c r="H972" s="16" t="n">
        <x:v>0</x:v>
      </x:c>
      <x:c r="I972" s="16" t="n">
        <x:v>1084811.4043342697</x:v>
      </x:c>
      <x:c r="J972" s="16" t="n">
        <x:v>1087772.9619016976</x:v>
      </x:c>
      <x:c r="K972" s="16" t="n">
        <x:v>-2961.557567428099</x:v>
      </x:c>
      <x:c r="L972" s="18" t="n">
        <x:v>-0.002722587958291</x:v>
      </x:c>
      <x:c r="M972" s="18" t="n">
        <x:v>0</x:v>
      </x:c>
      <x:c r="O972" t="str">
        <x:v>2025-01-29</x:v>
      </x:c>
      <x:c r="P972" t="n">
        <x:v>1084811.4043342697</x:v>
      </x:c>
    </x:row>
    <x:row r="973" ht="15" hidden="0" customHeight="1">
      <x:c r="A973" s="13" t="str">
        <x:v>2025-01-30</x:v>
      </x:c>
      <x:c r="B973" s="13" t="n">
        <x:v>0</x:v>
      </x:c>
      <x:c r="C973" s="13" t="n">
        <x:v>0</x:v>
      </x:c>
      <x:c r="D973" s="16" t="n">
        <x:v>0</x:v>
      </x:c>
      <x:c r="E973" s="16" t="n">
        <x:v>0</x:v>
      </x:c>
      <x:c r="F973" s="16" t="n">
        <x:v>0</x:v>
      </x:c>
      <x:c r="G973" s="16" t="n">
        <x:v>0</x:v>
      </x:c>
      <x:c r="H973" s="16" t="n">
        <x:v>0</x:v>
      </x:c>
      <x:c r="I973" s="16" t="n">
        <x:v>1084811.4043342697</x:v>
      </x:c>
      <x:c r="J973" s="16" t="n">
        <x:v>1087772.9619016976</x:v>
      </x:c>
      <x:c r="K973" s="16" t="n">
        <x:v>-2961.557567428099</x:v>
      </x:c>
      <x:c r="L973" s="18" t="n">
        <x:v>-0.002722587958291</x:v>
      </x:c>
      <x:c r="M973" s="18" t="n">
        <x:v>0</x:v>
      </x:c>
      <x:c r="O973" t="str">
        <x:v>2025-01-30</x:v>
      </x:c>
      <x:c r="P973" t="n">
        <x:v>1084811.4043342697</x:v>
      </x:c>
    </x:row>
    <x:row r="974" ht="15" hidden="0" customHeight="1">
      <x:c r="A974" s="13" t="str">
        <x:v>2025-01-31</x:v>
      </x:c>
      <x:c r="B974" s="13" t="n">
        <x:v>0</x:v>
      </x:c>
      <x:c r="C974" s="13" t="n">
        <x:v>0</x:v>
      </x:c>
      <x:c r="D974" s="16" t="n">
        <x:v>0</x:v>
      </x:c>
      <x:c r="E974" s="16" t="n">
        <x:v>0</x:v>
      </x:c>
      <x:c r="F974" s="16" t="n">
        <x:v>0</x:v>
      </x:c>
      <x:c r="G974" s="16" t="n">
        <x:v>0</x:v>
      </x:c>
      <x:c r="H974" s="16" t="n">
        <x:v>0</x:v>
      </x:c>
      <x:c r="I974" s="16" t="n">
        <x:v>1084811.4043342697</x:v>
      </x:c>
      <x:c r="J974" s="16" t="n">
        <x:v>1087772.9619016976</x:v>
      </x:c>
      <x:c r="K974" s="16" t="n">
        <x:v>-2961.557567428099</x:v>
      </x:c>
      <x:c r="L974" s="18" t="n">
        <x:v>-0.002722587958291</x:v>
      </x:c>
      <x:c r="M974" s="18" t="n">
        <x:v>0</x:v>
      </x:c>
      <x:c r="O974" t="str">
        <x:v>2025-01-31</x:v>
      </x:c>
      <x:c r="P974" t="n">
        <x:v>1084811.4043342697</x:v>
      </x:c>
    </x:row>
    <x:row r="975" ht="15" hidden="0" customHeight="1">
      <x:c r="A975" s="13" t="str">
        <x:v>2025-02-03</x:v>
      </x:c>
      <x:c r="B975" s="13" t="n">
        <x:v>0</x:v>
      </x:c>
      <x:c r="C975" s="13" t="n">
        <x:v>0</x:v>
      </x:c>
      <x:c r="D975" s="16" t="n">
        <x:v>0</x:v>
      </x:c>
      <x:c r="E975" s="16" t="n">
        <x:v>0</x:v>
      </x:c>
      <x:c r="F975" s="16" t="n">
        <x:v>0</x:v>
      </x:c>
      <x:c r="G975" s="16" t="n">
        <x:v>0</x:v>
      </x:c>
      <x:c r="H975" s="16" t="n">
        <x:v>0</x:v>
      </x:c>
      <x:c r="I975" s="16" t="n">
        <x:v>1084811.4043342697</x:v>
      </x:c>
      <x:c r="J975" s="16" t="n">
        <x:v>1087772.9619016976</x:v>
      </x:c>
      <x:c r="K975" s="16" t="n">
        <x:v>-2961.557567428099</x:v>
      </x:c>
      <x:c r="L975" s="18" t="n">
        <x:v>-0.002722587958291</x:v>
      </x:c>
      <x:c r="M975" s="18" t="n">
        <x:v>0</x:v>
      </x:c>
      <x:c r="O975" t="str">
        <x:v>2025-02-03</x:v>
      </x:c>
      <x:c r="P975" t="n">
        <x:v>1084811.4043342697</x:v>
      </x:c>
    </x:row>
    <x:row r="976" ht="15" hidden="0" customHeight="1">
      <x:c r="A976" s="13" t="str">
        <x:v>2025-02-04</x:v>
      </x:c>
      <x:c r="B976" s="13" t="n">
        <x:v>0</x:v>
      </x:c>
      <x:c r="C976" s="13" t="n">
        <x:v>0</x:v>
      </x:c>
      <x:c r="D976" s="16" t="n">
        <x:v>0</x:v>
      </x:c>
      <x:c r="E976" s="16" t="n">
        <x:v>0</x:v>
      </x:c>
      <x:c r="F976" s="16" t="n">
        <x:v>0</x:v>
      </x:c>
      <x:c r="G976" s="16" t="n">
        <x:v>0</x:v>
      </x:c>
      <x:c r="H976" s="16" t="n">
        <x:v>0</x:v>
      </x:c>
      <x:c r="I976" s="16" t="n">
        <x:v>1084811.4043342697</x:v>
      </x:c>
      <x:c r="J976" s="16" t="n">
        <x:v>1087772.9619016976</x:v>
      </x:c>
      <x:c r="K976" s="16" t="n">
        <x:v>-2961.557567428099</x:v>
      </x:c>
      <x:c r="L976" s="18" t="n">
        <x:v>-0.002722587958291</x:v>
      </x:c>
      <x:c r="M976" s="18" t="n">
        <x:v>0</x:v>
      </x:c>
      <x:c r="O976" t="str">
        <x:v>2025-02-04</x:v>
      </x:c>
      <x:c r="P976" t="n">
        <x:v>1084811.4043342697</x:v>
      </x:c>
    </x:row>
    <x:row r="977" ht="15" hidden="0" customHeight="1">
      <x:c r="A977" s="13" t="str">
        <x:v>2025-02-05</x:v>
      </x:c>
      <x:c r="B977" s="13" t="n">
        <x:v>0</x:v>
      </x:c>
      <x:c r="C977" s="13" t="n">
        <x:v>0</x:v>
      </x:c>
      <x:c r="D977" s="16" t="n">
        <x:v>0</x:v>
      </x:c>
      <x:c r="E977" s="16" t="n">
        <x:v>0</x:v>
      </x:c>
      <x:c r="F977" s="16" t="n">
        <x:v>0</x:v>
      </x:c>
      <x:c r="G977" s="16" t="n">
        <x:v>0</x:v>
      </x:c>
      <x:c r="H977" s="16" t="n">
        <x:v>0</x:v>
      </x:c>
      <x:c r="I977" s="16" t="n">
        <x:v>1084811.4043342697</x:v>
      </x:c>
      <x:c r="J977" s="16" t="n">
        <x:v>1087772.9619016976</x:v>
      </x:c>
      <x:c r="K977" s="16" t="n">
        <x:v>-2961.557567428099</x:v>
      </x:c>
      <x:c r="L977" s="18" t="n">
        <x:v>-0.002722587958291</x:v>
      </x:c>
      <x:c r="M977" s="18" t="n">
        <x:v>0</x:v>
      </x:c>
      <x:c r="O977" t="str">
        <x:v>2025-02-05</x:v>
      </x:c>
      <x:c r="P977" t="n">
        <x:v>1084811.4043342697</x:v>
      </x:c>
    </x:row>
    <x:row r="978" ht="15" hidden="0" customHeight="1">
      <x:c r="A978" s="13" t="str">
        <x:v>2025-02-06</x:v>
      </x:c>
      <x:c r="B978" s="13" t="n">
        <x:v>0</x:v>
      </x:c>
      <x:c r="C978" s="13" t="n">
        <x:v>0</x:v>
      </x:c>
      <x:c r="D978" s="16" t="n">
        <x:v>0</x:v>
      </x:c>
      <x:c r="E978" s="16" t="n">
        <x:v>0</x:v>
      </x:c>
      <x:c r="F978" s="16" t="n">
        <x:v>0</x:v>
      </x:c>
      <x:c r="G978" s="16" t="n">
        <x:v>0</x:v>
      </x:c>
      <x:c r="H978" s="16" t="n">
        <x:v>0</x:v>
      </x:c>
      <x:c r="I978" s="16" t="n">
        <x:v>1084811.4043342697</x:v>
      </x:c>
      <x:c r="J978" s="16" t="n">
        <x:v>1087772.9619016976</x:v>
      </x:c>
      <x:c r="K978" s="16" t="n">
        <x:v>-2961.557567428099</x:v>
      </x:c>
      <x:c r="L978" s="18" t="n">
        <x:v>-0.002722587958291</x:v>
      </x:c>
      <x:c r="M978" s="18" t="n">
        <x:v>0</x:v>
      </x:c>
      <x:c r="O978" t="str">
        <x:v>2025-02-06</x:v>
      </x:c>
      <x:c r="P978" t="n">
        <x:v>1084811.4043342697</x:v>
      </x:c>
    </x:row>
    <x:row r="979" ht="15" hidden="0" customHeight="1">
      <x:c r="A979" s="13" t="str">
        <x:v>2025-02-07</x:v>
      </x:c>
      <x:c r="B979" s="13" t="n">
        <x:v>0</x:v>
      </x:c>
      <x:c r="C979" s="13" t="n">
        <x:v>0</x:v>
      </x:c>
      <x:c r="D979" s="16" t="n">
        <x:v>0</x:v>
      </x:c>
      <x:c r="E979" s="16" t="n">
        <x:v>0</x:v>
      </x:c>
      <x:c r="F979" s="16" t="n">
        <x:v>0</x:v>
      </x:c>
      <x:c r="G979" s="16" t="n">
        <x:v>0</x:v>
      </x:c>
      <x:c r="H979" s="16" t="n">
        <x:v>0</x:v>
      </x:c>
      <x:c r="I979" s="16" t="n">
        <x:v>1084811.4043342697</x:v>
      </x:c>
      <x:c r="J979" s="16" t="n">
        <x:v>1087772.9619016976</x:v>
      </x:c>
      <x:c r="K979" s="16" t="n">
        <x:v>-2961.557567428099</x:v>
      </x:c>
      <x:c r="L979" s="18" t="n">
        <x:v>-0.002722587958291</x:v>
      </x:c>
      <x:c r="M979" s="18" t="n">
        <x:v>0</x:v>
      </x:c>
      <x:c r="O979" t="str">
        <x:v>2025-02-07</x:v>
      </x:c>
      <x:c r="P979" t="n">
        <x:v>1084811.4043342697</x:v>
      </x:c>
    </x:row>
    <x:row r="980" ht="15" hidden="0" customHeight="1">
      <x:c r="A980" s="13" t="str">
        <x:v>2025-02-10</x:v>
      </x:c>
      <x:c r="B980" s="13" t="n">
        <x:v>0</x:v>
      </x:c>
      <x:c r="C980" s="13" t="n">
        <x:v>0</x:v>
      </x:c>
      <x:c r="D980" s="16" t="n">
        <x:v>0</x:v>
      </x:c>
      <x:c r="E980" s="16" t="n">
        <x:v>0</x:v>
      </x:c>
      <x:c r="F980" s="16" t="n">
        <x:v>0</x:v>
      </x:c>
      <x:c r="G980" s="16" t="n">
        <x:v>0</x:v>
      </x:c>
      <x:c r="H980" s="16" t="n">
        <x:v>0</x:v>
      </x:c>
      <x:c r="I980" s="16" t="n">
        <x:v>1084811.4043342697</x:v>
      </x:c>
      <x:c r="J980" s="16" t="n">
        <x:v>1087772.9619016976</x:v>
      </x:c>
      <x:c r="K980" s="16" t="n">
        <x:v>-2961.557567428099</x:v>
      </x:c>
      <x:c r="L980" s="18" t="n">
        <x:v>-0.002722587958291</x:v>
      </x:c>
      <x:c r="M980" s="18" t="n">
        <x:v>0</x:v>
      </x:c>
      <x:c r="O980" t="str">
        <x:v>2025-02-10</x:v>
      </x:c>
      <x:c r="P980" t="n">
        <x:v>1084811.4043342697</x:v>
      </x:c>
    </x:row>
    <x:row r="981" ht="15" hidden="0" customHeight="1">
      <x:c r="A981" s="13" t="str">
        <x:v>2025-02-11</x:v>
      </x:c>
      <x:c r="B981" s="13" t="n">
        <x:v>0</x:v>
      </x:c>
      <x:c r="C981" s="13" t="n">
        <x:v>0</x:v>
      </x:c>
      <x:c r="D981" s="16" t="n">
        <x:v>0</x:v>
      </x:c>
      <x:c r="E981" s="16" t="n">
        <x:v>0</x:v>
      </x:c>
      <x:c r="F981" s="16" t="n">
        <x:v>0</x:v>
      </x:c>
      <x:c r="G981" s="16" t="n">
        <x:v>0</x:v>
      </x:c>
      <x:c r="H981" s="16" t="n">
        <x:v>0</x:v>
      </x:c>
      <x:c r="I981" s="16" t="n">
        <x:v>1084811.4043342697</x:v>
      </x:c>
      <x:c r="J981" s="16" t="n">
        <x:v>1087772.9619016976</x:v>
      </x:c>
      <x:c r="K981" s="16" t="n">
        <x:v>-2961.557567428099</x:v>
      </x:c>
      <x:c r="L981" s="18" t="n">
        <x:v>-0.002722587958291</x:v>
      </x:c>
      <x:c r="M981" s="18" t="n">
        <x:v>0</x:v>
      </x:c>
      <x:c r="O981" t="str">
        <x:v>2025-02-11</x:v>
      </x:c>
      <x:c r="P981" t="n">
        <x:v>1084811.4043342697</x:v>
      </x:c>
    </x:row>
    <x:row r="982" ht="15" hidden="0" customHeight="1">
      <x:c r="A982" s="13" t="str">
        <x:v>2025-02-12</x:v>
      </x:c>
      <x:c r="B982" s="13" t="n">
        <x:v>0</x:v>
      </x:c>
      <x:c r="C982" s="13" t="n">
        <x:v>0</x:v>
      </x:c>
      <x:c r="D982" s="16" t="n">
        <x:v>0</x:v>
      </x:c>
      <x:c r="E982" s="16" t="n">
        <x:v>0</x:v>
      </x:c>
      <x:c r="F982" s="16" t="n">
        <x:v>0</x:v>
      </x:c>
      <x:c r="G982" s="16" t="n">
        <x:v>0</x:v>
      </x:c>
      <x:c r="H982" s="16" t="n">
        <x:v>0</x:v>
      </x:c>
      <x:c r="I982" s="16" t="n">
        <x:v>1084811.4043342697</x:v>
      </x:c>
      <x:c r="J982" s="16" t="n">
        <x:v>1087772.9619016976</x:v>
      </x:c>
      <x:c r="K982" s="16" t="n">
        <x:v>-2961.557567428099</x:v>
      </x:c>
      <x:c r="L982" s="18" t="n">
        <x:v>-0.002722587958291</x:v>
      </x:c>
      <x:c r="M982" s="18" t="n">
        <x:v>0</x:v>
      </x:c>
      <x:c r="O982" t="str">
        <x:v>2025-02-12</x:v>
      </x:c>
      <x:c r="P982" t="n">
        <x:v>1084811.4043342697</x:v>
      </x:c>
    </x:row>
    <x:row r="983" ht="15" hidden="0" customHeight="1">
      <x:c r="A983" s="13" t="str">
        <x:v>2025-02-13</x:v>
      </x:c>
      <x:c r="B983" s="13" t="n">
        <x:v>1</x:v>
      </x:c>
      <x:c r="C983" s="13" t="n">
        <x:v>4</x:v>
      </x:c>
      <x:c r="D983" s="16" t="n">
        <x:v>-3809.999999999999</x:v>
      </x:c>
      <x:c r="E983" s="16" t="n">
        <x:v>437.2214742158795</x:v>
      </x:c>
      <x:c r="F983" s="16" t="n">
        <x:v>-4247.221474215879</x:v>
      </x:c>
      <x:c r="G983" s="16" t="n">
        <x:v>65060.385632902246</x:v>
      </x:c>
      <x:c r="H983" s="16" t="n">
        <x:v>330337.74664228514</x:v>
      </x:c>
      <x:c r="I983" s="16" t="n">
        <x:v>1080564.1828600536</x:v>
      </x:c>
      <x:c r="J983" s="16" t="n">
        <x:v>1087772.9619016976</x:v>
      </x:c>
      <x:c r="K983" s="16" t="n">
        <x:v>-7208.779041643953</x:v>
      </x:c>
      <x:c r="L983" s="18" t="n">
        <x:v>-0.0066270989389561</x:v>
      </x:c>
      <x:c r="M983" s="18" t="n">
        <x:v>-0.0039151703763865</x:v>
      </x:c>
      <x:c r="O983" t="str">
        <x:v>2025-02-13</x:v>
      </x:c>
      <x:c r="P983" t="n">
        <x:v>1080564.1828600536</x:v>
      </x:c>
    </x:row>
    <x:row r="984" ht="15" hidden="0" customHeight="1">
      <x:c r="A984" s="13" t="str">
        <x:v>2025-02-14</x:v>
      </x:c>
      <x:c r="B984" s="13" t="n">
        <x:v>0</x:v>
      </x:c>
      <x:c r="C984" s="13" t="n">
        <x:v>0</x:v>
      </x:c>
      <x:c r="D984" s="16" t="n">
        <x:v>0</x:v>
      </x:c>
      <x:c r="E984" s="16" t="n">
        <x:v>0</x:v>
      </x:c>
      <x:c r="F984" s="16" t="n">
        <x:v>0</x:v>
      </x:c>
      <x:c r="G984" s="16" t="n">
        <x:v>0</x:v>
      </x:c>
      <x:c r="H984" s="16" t="n">
        <x:v>0</x:v>
      </x:c>
      <x:c r="I984" s="16" t="n">
        <x:v>1080564.1828600536</x:v>
      </x:c>
      <x:c r="J984" s="16" t="n">
        <x:v>1087772.9619016976</x:v>
      </x:c>
      <x:c r="K984" s="16" t="n">
        <x:v>-7208.779041643953</x:v>
      </x:c>
      <x:c r="L984" s="18" t="n">
        <x:v>-0.0066270989389561</x:v>
      </x:c>
      <x:c r="M984" s="18" t="n">
        <x:v>0</x:v>
      </x:c>
      <x:c r="O984" t="str">
        <x:v>2025-02-14</x:v>
      </x:c>
      <x:c r="P984" t="n">
        <x:v>1080564.1828600536</x:v>
      </x:c>
    </x:row>
    <x:row r="985" ht="15" hidden="0" customHeight="1">
      <x:c r="A985" s="13" t="str">
        <x:v>2025-02-17</x:v>
      </x:c>
      <x:c r="B985" s="13" t="n">
        <x:v>0</x:v>
      </x:c>
      <x:c r="C985" s="13" t="n">
        <x:v>0</x:v>
      </x:c>
      <x:c r="D985" s="16" t="n">
        <x:v>0</x:v>
      </x:c>
      <x:c r="E985" s="16" t="n">
        <x:v>0</x:v>
      </x:c>
      <x:c r="F985" s="16" t="n">
        <x:v>0</x:v>
      </x:c>
      <x:c r="G985" s="16" t="n">
        <x:v>0</x:v>
      </x:c>
      <x:c r="H985" s="16" t="n">
        <x:v>0</x:v>
      </x:c>
      <x:c r="I985" s="16" t="n">
        <x:v>1080564.1828600536</x:v>
      </x:c>
      <x:c r="J985" s="16" t="n">
        <x:v>1087772.9619016976</x:v>
      </x:c>
      <x:c r="K985" s="16" t="n">
        <x:v>-7208.779041643953</x:v>
      </x:c>
      <x:c r="L985" s="18" t="n">
        <x:v>-0.0066270989389561</x:v>
      </x:c>
      <x:c r="M985" s="18" t="n">
        <x:v>0</x:v>
      </x:c>
      <x:c r="O985" t="str">
        <x:v>2025-02-17</x:v>
      </x:c>
      <x:c r="P985" t="n">
        <x:v>1080564.1828600536</x:v>
      </x:c>
    </x:row>
    <x:row r="986" ht="15" hidden="0" customHeight="1">
      <x:c r="A986" s="13" t="str">
        <x:v>2025-02-18</x:v>
      </x:c>
      <x:c r="B986" s="13" t="n">
        <x:v>0</x:v>
      </x:c>
      <x:c r="C986" s="13" t="n">
        <x:v>0</x:v>
      </x:c>
      <x:c r="D986" s="16" t="n">
        <x:v>0</x:v>
      </x:c>
      <x:c r="E986" s="16" t="n">
        <x:v>0</x:v>
      </x:c>
      <x:c r="F986" s="16" t="n">
        <x:v>0</x:v>
      </x:c>
      <x:c r="G986" s="16" t="n">
        <x:v>0</x:v>
      </x:c>
      <x:c r="H986" s="16" t="n">
        <x:v>0</x:v>
      </x:c>
      <x:c r="I986" s="16" t="n">
        <x:v>1080564.1828600536</x:v>
      </x:c>
      <x:c r="J986" s="16" t="n">
        <x:v>1087772.9619016976</x:v>
      </x:c>
      <x:c r="K986" s="16" t="n">
        <x:v>-7208.779041643953</x:v>
      </x:c>
      <x:c r="L986" s="18" t="n">
        <x:v>-0.0066270989389561</x:v>
      </x:c>
      <x:c r="M986" s="18" t="n">
        <x:v>0</x:v>
      </x:c>
      <x:c r="O986" t="str">
        <x:v>2025-02-18</x:v>
      </x:c>
      <x:c r="P986" t="n">
        <x:v>1080564.1828600536</x:v>
      </x:c>
    </x:row>
    <x:row r="987" ht="15" hidden="0" customHeight="1">
      <x:c r="A987" s="13" t="str">
        <x:v>2025-02-19</x:v>
      </x:c>
      <x:c r="B987" s="13" t="n">
        <x:v>0</x:v>
      </x:c>
      <x:c r="C987" s="13" t="n">
        <x:v>0</x:v>
      </x:c>
      <x:c r="D987" s="16" t="n">
        <x:v>0</x:v>
      </x:c>
      <x:c r="E987" s="16" t="n">
        <x:v>0</x:v>
      </x:c>
      <x:c r="F987" s="16" t="n">
        <x:v>0</x:v>
      </x:c>
      <x:c r="G987" s="16" t="n">
        <x:v>0</x:v>
      </x:c>
      <x:c r="H987" s="16" t="n">
        <x:v>0</x:v>
      </x:c>
      <x:c r="I987" s="16" t="n">
        <x:v>1080564.1828600536</x:v>
      </x:c>
      <x:c r="J987" s="16" t="n">
        <x:v>1087772.9619016976</x:v>
      </x:c>
      <x:c r="K987" s="16" t="n">
        <x:v>-7208.779041643953</x:v>
      </x:c>
      <x:c r="L987" s="18" t="n">
        <x:v>-0.0066270989389561</x:v>
      </x:c>
      <x:c r="M987" s="18" t="n">
        <x:v>0</x:v>
      </x:c>
      <x:c r="O987" t="str">
        <x:v>2025-02-19</x:v>
      </x:c>
      <x:c r="P987" t="n">
        <x:v>1080564.1828600536</x:v>
      </x:c>
    </x:row>
    <x:row r="988" ht="15" hidden="0" customHeight="1">
      <x:c r="A988" s="13" t="str">
        <x:v>2025-02-20</x:v>
      </x:c>
      <x:c r="B988" s="13" t="n">
        <x:v>1</x:v>
      </x:c>
      <x:c r="C988" s="13" t="n">
        <x:v>4</x:v>
      </x:c>
      <x:c r="D988" s="16" t="n">
        <x:v>3779.999999999997</x:v>
      </x:c>
      <x:c r="E988" s="16" t="n">
        <x:v>393.7265253196339</x:v>
      </x:c>
      <x:c r="F988" s="16" t="n">
        <x:v>3386.2734746803635</x:v>
      </x:c>
      <x:c r="G988" s="16" t="n">
        <x:v>52069.09514845817</x:v>
      </x:c>
      <x:c r="H988" s="16" t="n">
        <x:v>328015.1290936224</x:v>
      </x:c>
      <x:c r="I988" s="16" t="n">
        <x:v>1083950.456334734</x:v>
      </x:c>
      <x:c r="J988" s="16" t="n">
        <x:v>1087772.9619016976</x:v>
      </x:c>
      <x:c r="K988" s="16" t="n">
        <x:v>-3822.505566963693</x:v>
      </x:c>
      <x:c r="L988" s="18" t="n">
        <x:v>-0.0035140656192456</x:v>
      </x:c>
      <x:c r="M988" s="18" t="n">
        <x:v>0.0031338013311874</x:v>
      </x:c>
      <x:c r="O988" t="str">
        <x:v>2025-02-20</x:v>
      </x:c>
      <x:c r="P988" t="n">
        <x:v>1083950.456334734</x:v>
      </x:c>
    </x:row>
    <x:row r="989" ht="15" hidden="0" customHeight="1">
      <x:c r="A989" s="13" t="str">
        <x:v>2025-02-21</x:v>
      </x:c>
      <x:c r="B989" s="13" t="n">
        <x:v>0</x:v>
      </x:c>
      <x:c r="C989" s="13" t="n">
        <x:v>0</x:v>
      </x:c>
      <x:c r="D989" s="16" t="n">
        <x:v>0</x:v>
      </x:c>
      <x:c r="E989" s="16" t="n">
        <x:v>0</x:v>
      </x:c>
      <x:c r="F989" s="16" t="n">
        <x:v>0</x:v>
      </x:c>
      <x:c r="G989" s="16" t="n">
        <x:v>0</x:v>
      </x:c>
      <x:c r="H989" s="16" t="n">
        <x:v>0</x:v>
      </x:c>
      <x:c r="I989" s="16" t="n">
        <x:v>1083950.456334734</x:v>
      </x:c>
      <x:c r="J989" s="16" t="n">
        <x:v>1087772.9619016976</x:v>
      </x:c>
      <x:c r="K989" s="16" t="n">
        <x:v>-3822.505566963693</x:v>
      </x:c>
      <x:c r="L989" s="18" t="n">
        <x:v>-0.0035140656192456</x:v>
      </x:c>
      <x:c r="M989" s="18" t="n">
        <x:v>0</x:v>
      </x:c>
      <x:c r="O989" t="str">
        <x:v>2025-02-21</x:v>
      </x:c>
      <x:c r="P989" t="n">
        <x:v>1083950.456334734</x:v>
      </x:c>
    </x:row>
    <x:row r="990" ht="15" hidden="0" customHeight="1">
      <x:c r="A990" s="13" t="str">
        <x:v>2025-02-24</x:v>
      </x:c>
      <x:c r="B990" s="13" t="n">
        <x:v>0</x:v>
      </x:c>
      <x:c r="C990" s="13" t="n">
        <x:v>0</x:v>
      </x:c>
      <x:c r="D990" s="16" t="n">
        <x:v>0</x:v>
      </x:c>
      <x:c r="E990" s="16" t="n">
        <x:v>0</x:v>
      </x:c>
      <x:c r="F990" s="16" t="n">
        <x:v>0</x:v>
      </x:c>
      <x:c r="G990" s="16" t="n">
        <x:v>0</x:v>
      </x:c>
      <x:c r="H990" s="16" t="n">
        <x:v>0</x:v>
      </x:c>
      <x:c r="I990" s="16" t="n">
        <x:v>1083950.456334734</x:v>
      </x:c>
      <x:c r="J990" s="16" t="n">
        <x:v>1087772.9619016976</x:v>
      </x:c>
      <x:c r="K990" s="16" t="n">
        <x:v>-3822.505566963693</x:v>
      </x:c>
      <x:c r="L990" s="18" t="n">
        <x:v>-0.0035140656192456</x:v>
      </x:c>
      <x:c r="M990" s="18" t="n">
        <x:v>0</x:v>
      </x:c>
      <x:c r="O990" t="str">
        <x:v>2025-02-24</x:v>
      </x:c>
      <x:c r="P990" t="n">
        <x:v>1083950.456334734</x:v>
      </x:c>
    </x:row>
    <x:row r="991" ht="15" hidden="0" customHeight="1">
      <x:c r="A991" s="13" t="str">
        <x:v>2025-02-25</x:v>
      </x:c>
      <x:c r="B991" s="13" t="n">
        <x:v>0</x:v>
      </x:c>
      <x:c r="C991" s="13" t="n">
        <x:v>0</x:v>
      </x:c>
      <x:c r="D991" s="16" t="n">
        <x:v>0</x:v>
      </x:c>
      <x:c r="E991" s="16" t="n">
        <x:v>0</x:v>
      </x:c>
      <x:c r="F991" s="16" t="n">
        <x:v>0</x:v>
      </x:c>
      <x:c r="G991" s="16" t="n">
        <x:v>0</x:v>
      </x:c>
      <x:c r="H991" s="16" t="n">
        <x:v>0</x:v>
      </x:c>
      <x:c r="I991" s="16" t="n">
        <x:v>1083950.456334734</x:v>
      </x:c>
      <x:c r="J991" s="16" t="n">
        <x:v>1087772.9619016976</x:v>
      </x:c>
      <x:c r="K991" s="16" t="n">
        <x:v>-3822.505566963693</x:v>
      </x:c>
      <x:c r="L991" s="18" t="n">
        <x:v>-0.0035140656192456</x:v>
      </x:c>
      <x:c r="M991" s="18" t="n">
        <x:v>0</x:v>
      </x:c>
      <x:c r="O991" t="str">
        <x:v>2025-02-25</x:v>
      </x:c>
      <x:c r="P991" t="n">
        <x:v>1083950.456334734</x:v>
      </x:c>
    </x:row>
    <x:row r="992" ht="15" hidden="0" customHeight="1">
      <x:c r="A992" s="13" t="str">
        <x:v>2025-02-26</x:v>
      </x:c>
      <x:c r="B992" s="13" t="n">
        <x:v>0</x:v>
      </x:c>
      <x:c r="C992" s="13" t="n">
        <x:v>0</x:v>
      </x:c>
      <x:c r="D992" s="16" t="n">
        <x:v>0</x:v>
      </x:c>
      <x:c r="E992" s="16" t="n">
        <x:v>0</x:v>
      </x:c>
      <x:c r="F992" s="16" t="n">
        <x:v>0</x:v>
      </x:c>
      <x:c r="G992" s="16" t="n">
        <x:v>0</x:v>
      </x:c>
      <x:c r="H992" s="16" t="n">
        <x:v>0</x:v>
      </x:c>
      <x:c r="I992" s="16" t="n">
        <x:v>1083950.456334734</x:v>
      </x:c>
      <x:c r="J992" s="16" t="n">
        <x:v>1087772.9619016976</x:v>
      </x:c>
      <x:c r="K992" s="16" t="n">
        <x:v>-3822.505566963693</x:v>
      </x:c>
      <x:c r="L992" s="18" t="n">
        <x:v>-0.0035140656192456</x:v>
      </x:c>
      <x:c r="M992" s="18" t="n">
        <x:v>0</x:v>
      </x:c>
      <x:c r="O992" t="str">
        <x:v>2025-02-26</x:v>
      </x:c>
      <x:c r="P992" t="n">
        <x:v>1083950.456334734</x:v>
      </x:c>
    </x:row>
    <x:row r="993" ht="15" hidden="0" customHeight="1">
      <x:c r="A993" s="13" t="str">
        <x:v>2025-02-27</x:v>
      </x:c>
      <x:c r="B993" s="13" t="n">
        <x:v>0</x:v>
      </x:c>
      <x:c r="C993" s="13" t="n">
        <x:v>0</x:v>
      </x:c>
      <x:c r="D993" s="16" t="n">
        <x:v>0</x:v>
      </x:c>
      <x:c r="E993" s="16" t="n">
        <x:v>0</x:v>
      </x:c>
      <x:c r="F993" s="16" t="n">
        <x:v>0</x:v>
      </x:c>
      <x:c r="G993" s="16" t="n">
        <x:v>0</x:v>
      </x:c>
      <x:c r="H993" s="16" t="n">
        <x:v>0</x:v>
      </x:c>
      <x:c r="I993" s="16" t="n">
        <x:v>1083950.456334734</x:v>
      </x:c>
      <x:c r="J993" s="16" t="n">
        <x:v>1087772.9619016976</x:v>
      </x:c>
      <x:c r="K993" s="16" t="n">
        <x:v>-3822.505566963693</x:v>
      </x:c>
      <x:c r="L993" s="18" t="n">
        <x:v>-0.0035140656192456</x:v>
      </x:c>
      <x:c r="M993" s="18" t="n">
        <x:v>0</x:v>
      </x:c>
      <x:c r="O993" t="str">
        <x:v>2025-02-27</x:v>
      </x:c>
      <x:c r="P993" t="n">
        <x:v>1083950.456334734</x:v>
      </x:c>
    </x:row>
    <x:row r="994" ht="15" hidden="0" customHeight="1">
      <x:c r="A994" s="13" t="str">
        <x:v>2025-02-28</x:v>
      </x:c>
      <x:c r="B994" s="13" t="n">
        <x:v>0</x:v>
      </x:c>
      <x:c r="C994" s="13" t="n">
        <x:v>0</x:v>
      </x:c>
      <x:c r="D994" s="16" t="n">
        <x:v>0</x:v>
      </x:c>
      <x:c r="E994" s="16" t="n">
        <x:v>0</x:v>
      </x:c>
      <x:c r="F994" s="16" t="n">
        <x:v>0</x:v>
      </x:c>
      <x:c r="G994" s="16" t="n">
        <x:v>0</x:v>
      </x:c>
      <x:c r="H994" s="16" t="n">
        <x:v>0</x:v>
      </x:c>
      <x:c r="I994" s="16" t="n">
        <x:v>1083950.456334734</x:v>
      </x:c>
      <x:c r="J994" s="16" t="n">
        <x:v>1087772.9619016976</x:v>
      </x:c>
      <x:c r="K994" s="16" t="n">
        <x:v>-3822.505566963693</x:v>
      </x:c>
      <x:c r="L994" s="18" t="n">
        <x:v>-0.0035140656192456</x:v>
      </x:c>
      <x:c r="M994" s="18" t="n">
        <x:v>0</x:v>
      </x:c>
      <x:c r="O994" t="str">
        <x:v>2025-02-28</x:v>
      </x:c>
      <x:c r="P994" t="n">
        <x:v>1083950.456334734</x:v>
      </x:c>
    </x:row>
    <x:row r="995" ht="15" hidden="0" customHeight="1">
      <x:c r="A995" s="13" t="str">
        <x:v>2025-03-03</x:v>
      </x:c>
      <x:c r="B995" s="13" t="n">
        <x:v>0</x:v>
      </x:c>
      <x:c r="C995" s="13" t="n">
        <x:v>0</x:v>
      </x:c>
      <x:c r="D995" s="16" t="n">
        <x:v>0</x:v>
      </x:c>
      <x:c r="E995" s="16" t="n">
        <x:v>0</x:v>
      </x:c>
      <x:c r="F995" s="16" t="n">
        <x:v>0</x:v>
      </x:c>
      <x:c r="G995" s="16" t="n">
        <x:v>0</x:v>
      </x:c>
      <x:c r="H995" s="16" t="n">
        <x:v>0</x:v>
      </x:c>
      <x:c r="I995" s="16" t="n">
        <x:v>1083950.456334734</x:v>
      </x:c>
      <x:c r="J995" s="16" t="n">
        <x:v>1087772.9619016976</x:v>
      </x:c>
      <x:c r="K995" s="16" t="n">
        <x:v>-3822.505566963693</x:v>
      </x:c>
      <x:c r="L995" s="18" t="n">
        <x:v>-0.0035140656192456</x:v>
      </x:c>
      <x:c r="M995" s="18" t="n">
        <x:v>0</x:v>
      </x:c>
      <x:c r="O995" t="str">
        <x:v>2025-03-03</x:v>
      </x:c>
      <x:c r="P995" t="n">
        <x:v>1083950.456334734</x:v>
      </x:c>
    </x:row>
    <x:row r="996" ht="15" hidden="0" customHeight="1">
      <x:c r="A996" s="13" t="str">
        <x:v>2025-03-04</x:v>
      </x:c>
      <x:c r="B996" s="13" t="n">
        <x:v>0</x:v>
      </x:c>
      <x:c r="C996" s="13" t="n">
        <x:v>0</x:v>
      </x:c>
      <x:c r="D996" s="16" t="n">
        <x:v>0</x:v>
      </x:c>
      <x:c r="E996" s="16" t="n">
        <x:v>0</x:v>
      </x:c>
      <x:c r="F996" s="16" t="n">
        <x:v>0</x:v>
      </x:c>
      <x:c r="G996" s="16" t="n">
        <x:v>0</x:v>
      </x:c>
      <x:c r="H996" s="16" t="n">
        <x:v>0</x:v>
      </x:c>
      <x:c r="I996" s="16" t="n">
        <x:v>1083950.456334734</x:v>
      </x:c>
      <x:c r="J996" s="16" t="n">
        <x:v>1087772.9619016976</x:v>
      </x:c>
      <x:c r="K996" s="16" t="n">
        <x:v>-3822.505566963693</x:v>
      </x:c>
      <x:c r="L996" s="18" t="n">
        <x:v>-0.0035140656192456</x:v>
      </x:c>
      <x:c r="M996" s="18" t="n">
        <x:v>0</x:v>
      </x:c>
      <x:c r="O996" t="str">
        <x:v>2025-03-04</x:v>
      </x:c>
      <x:c r="P996" t="n">
        <x:v>1083950.456334734</x:v>
      </x:c>
    </x:row>
    <x:row r="997" ht="15" hidden="0" customHeight="1">
      <x:c r="A997" s="13" t="str">
        <x:v>2025-03-05</x:v>
      </x:c>
      <x:c r="B997" s="13" t="n">
        <x:v>0</x:v>
      </x:c>
      <x:c r="C997" s="13" t="n">
        <x:v>0</x:v>
      </x:c>
      <x:c r="D997" s="16" t="n">
        <x:v>0</x:v>
      </x:c>
      <x:c r="E997" s="16" t="n">
        <x:v>0</x:v>
      </x:c>
      <x:c r="F997" s="16" t="n">
        <x:v>0</x:v>
      </x:c>
      <x:c r="G997" s="16" t="n">
        <x:v>0</x:v>
      </x:c>
      <x:c r="H997" s="16" t="n">
        <x:v>0</x:v>
      </x:c>
      <x:c r="I997" s="16" t="n">
        <x:v>1083950.456334734</x:v>
      </x:c>
      <x:c r="J997" s="16" t="n">
        <x:v>1087772.9619016976</x:v>
      </x:c>
      <x:c r="K997" s="16" t="n">
        <x:v>-3822.505566963693</x:v>
      </x:c>
      <x:c r="L997" s="18" t="n">
        <x:v>-0.0035140656192456</x:v>
      </x:c>
      <x:c r="M997" s="18" t="n">
        <x:v>0</x:v>
      </x:c>
      <x:c r="O997" t="str">
        <x:v>2025-03-05</x:v>
      </x:c>
      <x:c r="P997" t="n">
        <x:v>1083950.456334734</x:v>
      </x:c>
    </x:row>
    <x:row r="998" ht="15" hidden="0" customHeight="1">
      <x:c r="A998" s="13" t="str">
        <x:v>2025-03-06</x:v>
      </x:c>
      <x:c r="B998" s="13" t="n">
        <x:v>1</x:v>
      </x:c>
      <x:c r="C998" s="13" t="n">
        <x:v>4</x:v>
      </x:c>
      <x:c r="D998" s="16" t="n">
        <x:v>3480</x:v>
      </x:c>
      <x:c r="E998" s="16" t="n">
        <x:v>392.9891762711511</x:v>
      </x:c>
      <x:c r="F998" s="16" t="n">
        <x:v>3087.0108237288487</x:v>
      </x:c>
      <x:c r="G998" s="16" t="n">
        <x:v>49203.157336907294</x:v>
      </x:c>
      <x:c r="H998" s="16" t="n">
        <x:v>318616.0368203628</x:v>
      </x:c>
      <x:c r="I998" s="16" t="n">
        <x:v>1087037.4671584626</x:v>
      </x:c>
      <x:c r="J998" s="16" t="n">
        <x:v>1087772.9619016976</x:v>
      </x:c>
      <x:c r="K998" s="16" t="n">
        <x:v>-735.4947432349436</x:v>
      </x:c>
      <x:c r="L998" s="18" t="n">
        <x:v>-0.000676147292675</x:v>
      </x:c>
      <x:c r="M998" s="18" t="n">
        <x:v>0.0028479261258556</x:v>
      </x:c>
      <x:c r="O998" t="str">
        <x:v>2025-03-06</x:v>
      </x:c>
      <x:c r="P998" t="n">
        <x:v>1087037.4671584626</x:v>
      </x:c>
    </x:row>
    <x:row r="999" ht="15" hidden="0" customHeight="1">
      <x:c r="A999" s="13" t="str">
        <x:v>2025-03-07</x:v>
      </x:c>
      <x:c r="B999" s="13" t="n">
        <x:v>0</x:v>
      </x:c>
      <x:c r="C999" s="13" t="n">
        <x:v>0</x:v>
      </x:c>
      <x:c r="D999" s="16" t="n">
        <x:v>0</x:v>
      </x:c>
      <x:c r="E999" s="16" t="n">
        <x:v>0</x:v>
      </x:c>
      <x:c r="F999" s="16" t="n">
        <x:v>0</x:v>
      </x:c>
      <x:c r="G999" s="16" t="n">
        <x:v>0</x:v>
      </x:c>
      <x:c r="H999" s="16" t="n">
        <x:v>0</x:v>
      </x:c>
      <x:c r="I999" s="16" t="n">
        <x:v>1087037.4671584626</x:v>
      </x:c>
      <x:c r="J999" s="16" t="n">
        <x:v>1087772.9619016976</x:v>
      </x:c>
      <x:c r="K999" s="16" t="n">
        <x:v>-735.4947432349436</x:v>
      </x:c>
      <x:c r="L999" s="18" t="n">
        <x:v>-0.000676147292675</x:v>
      </x:c>
      <x:c r="M999" s="18" t="n">
        <x:v>0</x:v>
      </x:c>
      <x:c r="O999" t="str">
        <x:v>2025-03-07</x:v>
      </x:c>
      <x:c r="P999" t="n">
        <x:v>1087037.4671584626</x:v>
      </x:c>
    </x:row>
    <x:row r="1000" ht="15" hidden="0" customHeight="1">
      <x:c r="A1000" s="13" t="str">
        <x:v>2025-03-10</x:v>
      </x:c>
      <x:c r="B1000" s="13" t="n">
        <x:v>0</x:v>
      </x:c>
      <x:c r="C1000" s="13" t="n">
        <x:v>0</x:v>
      </x:c>
      <x:c r="D1000" s="16" t="n">
        <x:v>0</x:v>
      </x:c>
      <x:c r="E1000" s="16" t="n">
        <x:v>0</x:v>
      </x:c>
      <x:c r="F1000" s="16" t="n">
        <x:v>0</x:v>
      </x:c>
      <x:c r="G1000" s="16" t="n">
        <x:v>0</x:v>
      </x:c>
      <x:c r="H1000" s="16" t="n">
        <x:v>0</x:v>
      </x:c>
      <x:c r="I1000" s="16" t="n">
        <x:v>1087037.4671584626</x:v>
      </x:c>
      <x:c r="J1000" s="16" t="n">
        <x:v>1087772.9619016976</x:v>
      </x:c>
      <x:c r="K1000" s="16" t="n">
        <x:v>-735.4947432349436</x:v>
      </x:c>
      <x:c r="L1000" s="18" t="n">
        <x:v>-0.000676147292675</x:v>
      </x:c>
      <x:c r="M1000" s="18" t="n">
        <x:v>0</x:v>
      </x:c>
      <x:c r="O1000" t="str">
        <x:v>2025-03-10</x:v>
      </x:c>
      <x:c r="P1000" t="n">
        <x:v>1087037.4671584626</x:v>
      </x:c>
    </x:row>
    <x:row r="1001" ht="15" hidden="0" customHeight="1">
      <x:c r="A1001" s="13" t="str">
        <x:v>2025-03-11</x:v>
      </x:c>
      <x:c r="B1001" s="13" t="n">
        <x:v>0</x:v>
      </x:c>
      <x:c r="C1001" s="13" t="n">
        <x:v>0</x:v>
      </x:c>
      <x:c r="D1001" s="16" t="n">
        <x:v>0</x:v>
      </x:c>
      <x:c r="E1001" s="16" t="n">
        <x:v>0</x:v>
      </x:c>
      <x:c r="F1001" s="16" t="n">
        <x:v>0</x:v>
      </x:c>
      <x:c r="G1001" s="16" t="n">
        <x:v>0</x:v>
      </x:c>
      <x:c r="H1001" s="16" t="n">
        <x:v>0</x:v>
      </x:c>
      <x:c r="I1001" s="16" t="n">
        <x:v>1087037.4671584626</x:v>
      </x:c>
      <x:c r="J1001" s="16" t="n">
        <x:v>1087772.9619016976</x:v>
      </x:c>
      <x:c r="K1001" s="16" t="n">
        <x:v>-735.4947432349436</x:v>
      </x:c>
      <x:c r="L1001" s="18" t="n">
        <x:v>-0.000676147292675</x:v>
      </x:c>
      <x:c r="M1001" s="18" t="n">
        <x:v>0</x:v>
      </x:c>
      <x:c r="O1001" t="str">
        <x:v>2025-03-11</x:v>
      </x:c>
      <x:c r="P1001" t="n">
        <x:v>1087037.4671584626</x:v>
      </x:c>
    </x:row>
    <x:row r="1002" ht="15" hidden="0" customHeight="1">
      <x:c r="A1002" s="13" t="str">
        <x:v>2025-03-12</x:v>
      </x:c>
      <x:c r="B1002" s="13" t="n">
        <x:v>0</x:v>
      </x:c>
      <x:c r="C1002" s="13" t="n">
        <x:v>0</x:v>
      </x:c>
      <x:c r="D1002" s="16" t="n">
        <x:v>0</x:v>
      </x:c>
      <x:c r="E1002" s="16" t="n">
        <x:v>0</x:v>
      </x:c>
      <x:c r="F1002" s="16" t="n">
        <x:v>0</x:v>
      </x:c>
      <x:c r="G1002" s="16" t="n">
        <x:v>0</x:v>
      </x:c>
      <x:c r="H1002" s="16" t="n">
        <x:v>0</x:v>
      </x:c>
      <x:c r="I1002" s="16" t="n">
        <x:v>1087037.4671584626</x:v>
      </x:c>
      <x:c r="J1002" s="16" t="n">
        <x:v>1087772.9619016976</x:v>
      </x:c>
      <x:c r="K1002" s="16" t="n">
        <x:v>-735.4947432349436</x:v>
      </x:c>
      <x:c r="L1002" s="18" t="n">
        <x:v>-0.000676147292675</x:v>
      </x:c>
      <x:c r="M1002" s="18" t="n">
        <x:v>0</x:v>
      </x:c>
      <x:c r="O1002" t="str">
        <x:v>2025-03-12</x:v>
      </x:c>
      <x:c r="P1002" t="n">
        <x:v>1087037.4671584626</x:v>
      </x:c>
    </x:row>
    <x:row r="1003" ht="15" hidden="0" customHeight="1">
      <x:c r="A1003" s="13" t="str">
        <x:v>2025-03-13</x:v>
      </x:c>
      <x:c r="B1003" s="13" t="n">
        <x:v>0</x:v>
      </x:c>
      <x:c r="C1003" s="13" t="n">
        <x:v>0</x:v>
      </x:c>
      <x:c r="D1003" s="16" t="n">
        <x:v>0</x:v>
      </x:c>
      <x:c r="E1003" s="16" t="n">
        <x:v>0</x:v>
      </x:c>
      <x:c r="F1003" s="16" t="n">
        <x:v>0</x:v>
      </x:c>
      <x:c r="G1003" s="16" t="n">
        <x:v>0</x:v>
      </x:c>
      <x:c r="H1003" s="16" t="n">
        <x:v>0</x:v>
      </x:c>
      <x:c r="I1003" s="16" t="n">
        <x:v>1087037.4671584626</x:v>
      </x:c>
      <x:c r="J1003" s="16" t="n">
        <x:v>1087772.9619016976</x:v>
      </x:c>
      <x:c r="K1003" s="16" t="n">
        <x:v>-735.4947432349436</x:v>
      </x:c>
      <x:c r="L1003" s="18" t="n">
        <x:v>-0.000676147292675</x:v>
      </x:c>
      <x:c r="M1003" s="18" t="n">
        <x:v>0</x:v>
      </x:c>
      <x:c r="O1003" t="str">
        <x:v>2025-03-13</x:v>
      </x:c>
      <x:c r="P1003" t="n">
        <x:v>1087037.4671584626</x:v>
      </x:c>
    </x:row>
    <x:row r="1004" ht="15" hidden="0" customHeight="1">
      <x:c r="A1004" s="13" t="str">
        <x:v>2025-03-14</x:v>
      </x:c>
      <x:c r="B1004" s="13" t="n">
        <x:v>0</x:v>
      </x:c>
      <x:c r="C1004" s="13" t="n">
        <x:v>0</x:v>
      </x:c>
      <x:c r="D1004" s="16" t="n">
        <x:v>0</x:v>
      </x:c>
      <x:c r="E1004" s="16" t="n">
        <x:v>0</x:v>
      </x:c>
      <x:c r="F1004" s="16" t="n">
        <x:v>0</x:v>
      </x:c>
      <x:c r="G1004" s="16" t="n">
        <x:v>0</x:v>
      </x:c>
      <x:c r="H1004" s="16" t="n">
        <x:v>0</x:v>
      </x:c>
      <x:c r="I1004" s="16" t="n">
        <x:v>1087037.4671584626</x:v>
      </x:c>
      <x:c r="J1004" s="16" t="n">
        <x:v>1087772.9619016976</x:v>
      </x:c>
      <x:c r="K1004" s="16" t="n">
        <x:v>-735.4947432349436</x:v>
      </x:c>
      <x:c r="L1004" s="18" t="n">
        <x:v>-0.000676147292675</x:v>
      </x:c>
      <x:c r="M1004" s="18" t="n">
        <x:v>0</x:v>
      </x:c>
      <x:c r="O1004" t="str">
        <x:v>2025-03-14</x:v>
      </x:c>
      <x:c r="P1004" t="n">
        <x:v>1087037.4671584626</x:v>
      </x:c>
    </x:row>
    <x:row r="1005" ht="15" hidden="0" customHeight="1">
      <x:c r="A1005" s="13" t="str">
        <x:v>2025-03-17</x:v>
      </x:c>
      <x:c r="B1005" s="13" t="n">
        <x:v>0</x:v>
      </x:c>
      <x:c r="C1005" s="13" t="n">
        <x:v>0</x:v>
      </x:c>
      <x:c r="D1005" s="16" t="n">
        <x:v>0</x:v>
      </x:c>
      <x:c r="E1005" s="16" t="n">
        <x:v>0</x:v>
      </x:c>
      <x:c r="F1005" s="16" t="n">
        <x:v>0</x:v>
      </x:c>
      <x:c r="G1005" s="16" t="n">
        <x:v>0</x:v>
      </x:c>
      <x:c r="H1005" s="16" t="n">
        <x:v>0</x:v>
      </x:c>
      <x:c r="I1005" s="16" t="n">
        <x:v>1087037.4671584626</x:v>
      </x:c>
      <x:c r="J1005" s="16" t="n">
        <x:v>1087772.9619016976</x:v>
      </x:c>
      <x:c r="K1005" s="16" t="n">
        <x:v>-735.4947432349436</x:v>
      </x:c>
      <x:c r="L1005" s="18" t="n">
        <x:v>-0.000676147292675</x:v>
      </x:c>
      <x:c r="M1005" s="18" t="n">
        <x:v>0</x:v>
      </x:c>
      <x:c r="O1005" t="str">
        <x:v>2025-03-17</x:v>
      </x:c>
      <x:c r="P1005" t="n">
        <x:v>1087037.4671584626</x:v>
      </x:c>
    </x:row>
    <x:row r="1006" ht="15" hidden="0" customHeight="1">
      <x:c r="A1006" s="13" t="str">
        <x:v>2025-03-18</x:v>
      </x:c>
      <x:c r="B1006" s="13" t="n">
        <x:v>0</x:v>
      </x:c>
      <x:c r="C1006" s="13" t="n">
        <x:v>0</x:v>
      </x:c>
      <x:c r="D1006" s="16" t="n">
        <x:v>0</x:v>
      </x:c>
      <x:c r="E1006" s="16" t="n">
        <x:v>0</x:v>
      </x:c>
      <x:c r="F1006" s="16" t="n">
        <x:v>0</x:v>
      </x:c>
      <x:c r="G1006" s="16" t="n">
        <x:v>0</x:v>
      </x:c>
      <x:c r="H1006" s="16" t="n">
        <x:v>0</x:v>
      </x:c>
      <x:c r="I1006" s="16" t="n">
        <x:v>1087037.4671584626</x:v>
      </x:c>
      <x:c r="J1006" s="16" t="n">
        <x:v>1087772.9619016976</x:v>
      </x:c>
      <x:c r="K1006" s="16" t="n">
        <x:v>-735.4947432349436</x:v>
      </x:c>
      <x:c r="L1006" s="18" t="n">
        <x:v>-0.000676147292675</x:v>
      </x:c>
      <x:c r="M1006" s="18" t="n">
        <x:v>0</x:v>
      </x:c>
      <x:c r="O1006" t="str">
        <x:v>2025-03-18</x:v>
      </x:c>
      <x:c r="P1006" t="n">
        <x:v>1087037.4671584626</x:v>
      </x:c>
    </x:row>
    <x:row r="1007" ht="15" hidden="0" customHeight="1">
      <x:c r="A1007" s="13" t="str">
        <x:v>2025-03-19</x:v>
      </x:c>
      <x:c r="B1007" s="13" t="n">
        <x:v>0</x:v>
      </x:c>
      <x:c r="C1007" s="13" t="n">
        <x:v>0</x:v>
      </x:c>
      <x:c r="D1007" s="16" t="n">
        <x:v>0</x:v>
      </x:c>
      <x:c r="E1007" s="16" t="n">
        <x:v>0</x:v>
      </x:c>
      <x:c r="F1007" s="16" t="n">
        <x:v>0</x:v>
      </x:c>
      <x:c r="G1007" s="16" t="n">
        <x:v>0</x:v>
      </x:c>
      <x:c r="H1007" s="16" t="n">
        <x:v>0</x:v>
      </x:c>
      <x:c r="I1007" s="16" t="n">
        <x:v>1087037.4671584626</x:v>
      </x:c>
      <x:c r="J1007" s="16" t="n">
        <x:v>1087772.9619016976</x:v>
      </x:c>
      <x:c r="K1007" s="16" t="n">
        <x:v>-735.4947432349436</x:v>
      </x:c>
      <x:c r="L1007" s="18" t="n">
        <x:v>-0.000676147292675</x:v>
      </x:c>
      <x:c r="M1007" s="18" t="n">
        <x:v>0</x:v>
      </x:c>
      <x:c r="O1007" t="str">
        <x:v>2025-03-19</x:v>
      </x:c>
      <x:c r="P1007" t="n">
        <x:v>1087037.4671584626</x:v>
      </x:c>
    </x:row>
    <x:row r="1008" ht="15" hidden="0" customHeight="1">
      <x:c r="A1008" s="13" t="str">
        <x:v>2025-03-20</x:v>
      </x:c>
      <x:c r="B1008" s="13" t="n">
        <x:v>0</x:v>
      </x:c>
      <x:c r="C1008" s="13" t="n">
        <x:v>0</x:v>
      </x:c>
      <x:c r="D1008" s="16" t="n">
        <x:v>0</x:v>
      </x:c>
      <x:c r="E1008" s="16" t="n">
        <x:v>0</x:v>
      </x:c>
      <x:c r="F1008" s="16" t="n">
        <x:v>0</x:v>
      </x:c>
      <x:c r="G1008" s="16" t="n">
        <x:v>0</x:v>
      </x:c>
      <x:c r="H1008" s="16" t="n">
        <x:v>0</x:v>
      </x:c>
      <x:c r="I1008" s="16" t="n">
        <x:v>1087037.4671584626</x:v>
      </x:c>
      <x:c r="J1008" s="16" t="n">
        <x:v>1087772.9619016976</x:v>
      </x:c>
      <x:c r="K1008" s="16" t="n">
        <x:v>-735.4947432349436</x:v>
      </x:c>
      <x:c r="L1008" s="18" t="n">
        <x:v>-0.000676147292675</x:v>
      </x:c>
      <x:c r="M1008" s="18" t="n">
        <x:v>0</x:v>
      </x:c>
      <x:c r="O1008" t="str">
        <x:v>2025-03-20</x:v>
      </x:c>
      <x:c r="P1008" t="n">
        <x:v>1087037.4671584626</x:v>
      </x:c>
    </x:row>
    <x:row r="1009" ht="15" hidden="0" customHeight="1">
      <x:c r="A1009" s="13" t="str">
        <x:v>2025-03-21</x:v>
      </x:c>
      <x:c r="B1009" s="13" t="n">
        <x:v>0</x:v>
      </x:c>
      <x:c r="C1009" s="13" t="n">
        <x:v>0</x:v>
      </x:c>
      <x:c r="D1009" s="16" t="n">
        <x:v>0</x:v>
      </x:c>
      <x:c r="E1009" s="16" t="n">
        <x:v>0</x:v>
      </x:c>
      <x:c r="F1009" s="16" t="n">
        <x:v>0</x:v>
      </x:c>
      <x:c r="G1009" s="16" t="n">
        <x:v>0</x:v>
      </x:c>
      <x:c r="H1009" s="16" t="n">
        <x:v>0</x:v>
      </x:c>
      <x:c r="I1009" s="16" t="n">
        <x:v>1087037.4671584626</x:v>
      </x:c>
      <x:c r="J1009" s="16" t="n">
        <x:v>1087772.9619016976</x:v>
      </x:c>
      <x:c r="K1009" s="16" t="n">
        <x:v>-735.4947432349436</x:v>
      </x:c>
      <x:c r="L1009" s="18" t="n">
        <x:v>-0.000676147292675</x:v>
      </x:c>
      <x:c r="M1009" s="18" t="n">
        <x:v>0</x:v>
      </x:c>
      <x:c r="O1009" t="str">
        <x:v>2025-03-21</x:v>
      </x:c>
      <x:c r="P1009" t="n">
        <x:v>1087037.4671584626</x:v>
      </x:c>
    </x:row>
    <x:row r="1010" ht="15" hidden="0" customHeight="1">
      <x:c r="A1010" s="13" t="str">
        <x:v>2025-03-24</x:v>
      </x:c>
      <x:c r="B1010" s="13" t="n">
        <x:v>0</x:v>
      </x:c>
      <x:c r="C1010" s="13" t="n">
        <x:v>0</x:v>
      </x:c>
      <x:c r="D1010" s="16" t="n">
        <x:v>0</x:v>
      </x:c>
      <x:c r="E1010" s="16" t="n">
        <x:v>0</x:v>
      </x:c>
      <x:c r="F1010" s="16" t="n">
        <x:v>0</x:v>
      </x:c>
      <x:c r="G1010" s="16" t="n">
        <x:v>0</x:v>
      </x:c>
      <x:c r="H1010" s="16" t="n">
        <x:v>0</x:v>
      </x:c>
      <x:c r="I1010" s="16" t="n">
        <x:v>1087037.4671584626</x:v>
      </x:c>
      <x:c r="J1010" s="16" t="n">
        <x:v>1087772.9619016976</x:v>
      </x:c>
      <x:c r="K1010" s="16" t="n">
        <x:v>-735.4947432349436</x:v>
      </x:c>
      <x:c r="L1010" s="18" t="n">
        <x:v>-0.000676147292675</x:v>
      </x:c>
      <x:c r="M1010" s="18" t="n">
        <x:v>0</x:v>
      </x:c>
      <x:c r="O1010" t="str">
        <x:v>2025-03-24</x:v>
      </x:c>
      <x:c r="P1010" t="n">
        <x:v>1087037.4671584626</x:v>
      </x:c>
    </x:row>
    <x:row r="1011" ht="15" hidden="0" customHeight="1">
      <x:c r="A1011" s="13" t="str">
        <x:v>2025-03-25</x:v>
      </x:c>
      <x:c r="B1011" s="13" t="n">
        <x:v>0</x:v>
      </x:c>
      <x:c r="C1011" s="13" t="n">
        <x:v>0</x:v>
      </x:c>
      <x:c r="D1011" s="16" t="n">
        <x:v>0</x:v>
      </x:c>
      <x:c r="E1011" s="16" t="n">
        <x:v>0</x:v>
      </x:c>
      <x:c r="F1011" s="16" t="n">
        <x:v>0</x:v>
      </x:c>
      <x:c r="G1011" s="16" t="n">
        <x:v>0</x:v>
      </x:c>
      <x:c r="H1011" s="16" t="n">
        <x:v>0</x:v>
      </x:c>
      <x:c r="I1011" s="16" t="n">
        <x:v>1087037.4671584626</x:v>
      </x:c>
      <x:c r="J1011" s="16" t="n">
        <x:v>1087772.9619016976</x:v>
      </x:c>
      <x:c r="K1011" s="16" t="n">
        <x:v>-735.4947432349436</x:v>
      </x:c>
      <x:c r="L1011" s="18" t="n">
        <x:v>-0.000676147292675</x:v>
      </x:c>
      <x:c r="M1011" s="18" t="n">
        <x:v>0</x:v>
      </x:c>
      <x:c r="O1011" t="str">
        <x:v>2025-03-25</x:v>
      </x:c>
      <x:c r="P1011" t="n">
        <x:v>1087037.4671584626</x:v>
      </x:c>
    </x:row>
    <x:row r="1012" ht="15" hidden="0" customHeight="1">
      <x:c r="A1012" s="13" t="str">
        <x:v>2025-03-26</x:v>
      </x:c>
      <x:c r="B1012" s="13" t="n">
        <x:v>0</x:v>
      </x:c>
      <x:c r="C1012" s="13" t="n">
        <x:v>0</x:v>
      </x:c>
      <x:c r="D1012" s="16" t="n">
        <x:v>0</x:v>
      </x:c>
      <x:c r="E1012" s="16" t="n">
        <x:v>0</x:v>
      </x:c>
      <x:c r="F1012" s="16" t="n">
        <x:v>0</x:v>
      </x:c>
      <x:c r="G1012" s="16" t="n">
        <x:v>0</x:v>
      </x:c>
      <x:c r="H1012" s="16" t="n">
        <x:v>0</x:v>
      </x:c>
      <x:c r="I1012" s="16" t="n">
        <x:v>1087037.4671584626</x:v>
      </x:c>
      <x:c r="J1012" s="16" t="n">
        <x:v>1087772.9619016976</x:v>
      </x:c>
      <x:c r="K1012" s="16" t="n">
        <x:v>-735.4947432349436</x:v>
      </x:c>
      <x:c r="L1012" s="18" t="n">
        <x:v>-0.000676147292675</x:v>
      </x:c>
      <x:c r="M1012" s="18" t="n">
        <x:v>0</x:v>
      </x:c>
      <x:c r="O1012" t="str">
        <x:v>2025-03-26</x:v>
      </x:c>
      <x:c r="P1012" t="n">
        <x:v>1087037.4671584626</x:v>
      </x:c>
    </x:row>
    <x:row r="1013" ht="15" hidden="0" customHeight="1">
      <x:c r="A1013" s="13" t="str">
        <x:v>2025-03-27</x:v>
      </x:c>
      <x:c r="B1013" s="13" t="n">
        <x:v>0</x:v>
      </x:c>
      <x:c r="C1013" s="13" t="n">
        <x:v>0</x:v>
      </x:c>
      <x:c r="D1013" s="16" t="n">
        <x:v>0</x:v>
      </x:c>
      <x:c r="E1013" s="16" t="n">
        <x:v>0</x:v>
      </x:c>
      <x:c r="F1013" s="16" t="n">
        <x:v>0</x:v>
      </x:c>
      <x:c r="G1013" s="16" t="n">
        <x:v>0</x:v>
      </x:c>
      <x:c r="H1013" s="16" t="n">
        <x:v>0</x:v>
      </x:c>
      <x:c r="I1013" s="16" t="n">
        <x:v>1087037.4671584626</x:v>
      </x:c>
      <x:c r="J1013" s="16" t="n">
        <x:v>1087772.9619016976</x:v>
      </x:c>
      <x:c r="K1013" s="16" t="n">
        <x:v>-735.4947432349436</x:v>
      </x:c>
      <x:c r="L1013" s="18" t="n">
        <x:v>-0.000676147292675</x:v>
      </x:c>
      <x:c r="M1013" s="18" t="n">
        <x:v>0</x:v>
      </x:c>
      <x:c r="O1013" t="str">
        <x:v>2025-03-27</x:v>
      </x:c>
      <x:c r="P1013" t="n">
        <x:v>1087037.4671584626</x:v>
      </x:c>
    </x:row>
    <x:row r="1014" ht="15" hidden="0" customHeight="1">
      <x:c r="A1014" s="13" t="str">
        <x:v>2025-03-28</x:v>
      </x:c>
      <x:c r="B1014" s="13" t="n">
        <x:v>0</x:v>
      </x:c>
      <x:c r="C1014" s="13" t="n">
        <x:v>0</x:v>
      </x:c>
      <x:c r="D1014" s="16" t="n">
        <x:v>0</x:v>
      </x:c>
      <x:c r="E1014" s="16" t="n">
        <x:v>0</x:v>
      </x:c>
      <x:c r="F1014" s="16" t="n">
        <x:v>0</x:v>
      </x:c>
      <x:c r="G1014" s="16" t="n">
        <x:v>0</x:v>
      </x:c>
      <x:c r="H1014" s="16" t="n">
        <x:v>0</x:v>
      </x:c>
      <x:c r="I1014" s="16" t="n">
        <x:v>1087037.4671584626</x:v>
      </x:c>
      <x:c r="J1014" s="16" t="n">
        <x:v>1087772.9619016976</x:v>
      </x:c>
      <x:c r="K1014" s="16" t="n">
        <x:v>-735.4947432349436</x:v>
      </x:c>
      <x:c r="L1014" s="18" t="n">
        <x:v>-0.000676147292675</x:v>
      </x:c>
      <x:c r="M1014" s="18" t="n">
        <x:v>0</x:v>
      </x:c>
      <x:c r="O1014" t="str">
        <x:v>2025-03-28</x:v>
      </x:c>
      <x:c r="P1014" t="n">
        <x:v>1087037.4671584626</x:v>
      </x:c>
    </x:row>
    <x:row r="1015" ht="15" hidden="0" customHeight="1">
      <x:c r="A1015" s="13" t="str">
        <x:v>2025-03-31</x:v>
      </x:c>
      <x:c r="B1015" s="13" t="n">
        <x:v>0</x:v>
      </x:c>
      <x:c r="C1015" s="13" t="n">
        <x:v>0</x:v>
      </x:c>
      <x:c r="D1015" s="16" t="n">
        <x:v>0</x:v>
      </x:c>
      <x:c r="E1015" s="16" t="n">
        <x:v>0</x:v>
      </x:c>
      <x:c r="F1015" s="16" t="n">
        <x:v>0</x:v>
      </x:c>
      <x:c r="G1015" s="16" t="n">
        <x:v>0</x:v>
      </x:c>
      <x:c r="H1015" s="16" t="n">
        <x:v>0</x:v>
      </x:c>
      <x:c r="I1015" s="16" t="n">
        <x:v>1087037.4671584626</x:v>
      </x:c>
      <x:c r="J1015" s="16" t="n">
        <x:v>1087772.9619016976</x:v>
      </x:c>
      <x:c r="K1015" s="16" t="n">
        <x:v>-735.4947432349436</x:v>
      </x:c>
      <x:c r="L1015" s="18" t="n">
        <x:v>-0.000676147292675</x:v>
      </x:c>
      <x:c r="M1015" s="18" t="n">
        <x:v>0</x:v>
      </x:c>
      <x:c r="O1015" t="str">
        <x:v>2025-03-31</x:v>
      </x:c>
      <x:c r="P1015" t="n">
        <x:v>1087037.4671584626</x:v>
      </x:c>
    </x:row>
    <x:row r="1016" ht="15" hidden="0" customHeight="1">
      <x:c r="A1016" s="13" t="str">
        <x:v>2025-04-01</x:v>
      </x:c>
      <x:c r="B1016" s="13" t="n">
        <x:v>0</x:v>
      </x:c>
      <x:c r="C1016" s="13" t="n">
        <x:v>0</x:v>
      </x:c>
      <x:c r="D1016" s="16" t="n">
        <x:v>0</x:v>
      </x:c>
      <x:c r="E1016" s="16" t="n">
        <x:v>0</x:v>
      </x:c>
      <x:c r="F1016" s="16" t="n">
        <x:v>0</x:v>
      </x:c>
      <x:c r="G1016" s="16" t="n">
        <x:v>0</x:v>
      </x:c>
      <x:c r="H1016" s="16" t="n">
        <x:v>0</x:v>
      </x:c>
      <x:c r="I1016" s="16" t="n">
        <x:v>1087037.4671584626</x:v>
      </x:c>
      <x:c r="J1016" s="16" t="n">
        <x:v>1087772.9619016976</x:v>
      </x:c>
      <x:c r="K1016" s="16" t="n">
        <x:v>-735.4947432349436</x:v>
      </x:c>
      <x:c r="L1016" s="18" t="n">
        <x:v>-0.000676147292675</x:v>
      </x:c>
      <x:c r="M1016" s="18" t="n">
        <x:v>0</x:v>
      </x:c>
      <x:c r="O1016" t="str">
        <x:v>2025-04-01</x:v>
      </x:c>
      <x:c r="P1016" t="n">
        <x:v>1087037.4671584626</x:v>
      </x:c>
    </x:row>
    <x:row r="1017" ht="15" hidden="0" customHeight="1">
      <x:c r="A1017" s="13" t="str">
        <x:v>2025-04-02</x:v>
      </x:c>
      <x:c r="B1017" s="13" t="n">
        <x:v>0</x:v>
      </x:c>
      <x:c r="C1017" s="13" t="n">
        <x:v>0</x:v>
      </x:c>
      <x:c r="D1017" s="16" t="n">
        <x:v>0</x:v>
      </x:c>
      <x:c r="E1017" s="16" t="n">
        <x:v>0</x:v>
      </x:c>
      <x:c r="F1017" s="16" t="n">
        <x:v>0</x:v>
      </x:c>
      <x:c r="G1017" s="16" t="n">
        <x:v>0</x:v>
      </x:c>
      <x:c r="H1017" s="16" t="n">
        <x:v>0</x:v>
      </x:c>
      <x:c r="I1017" s="16" t="n">
        <x:v>1087037.4671584626</x:v>
      </x:c>
      <x:c r="J1017" s="16" t="n">
        <x:v>1087772.9619016976</x:v>
      </x:c>
      <x:c r="K1017" s="16" t="n">
        <x:v>-735.4947432349436</x:v>
      </x:c>
      <x:c r="L1017" s="18" t="n">
        <x:v>-0.000676147292675</x:v>
      </x:c>
      <x:c r="M1017" s="18" t="n">
        <x:v>0</x:v>
      </x:c>
      <x:c r="O1017" t="str">
        <x:v>2025-04-02</x:v>
      </x:c>
      <x:c r="P1017" t="n">
        <x:v>1087037.4671584626</x:v>
      </x:c>
    </x:row>
    <x:row r="1018" ht="15" hidden="0" customHeight="1">
      <x:c r="A1018" s="13" t="str">
        <x:v>2025-04-03</x:v>
      </x:c>
      <x:c r="B1018" s="13" t="n">
        <x:v>0</x:v>
      </x:c>
      <x:c r="C1018" s="13" t="n">
        <x:v>0</x:v>
      </x:c>
      <x:c r="D1018" s="16" t="n">
        <x:v>0</x:v>
      </x:c>
      <x:c r="E1018" s="16" t="n">
        <x:v>0</x:v>
      </x:c>
      <x:c r="F1018" s="16" t="n">
        <x:v>0</x:v>
      </x:c>
      <x:c r="G1018" s="16" t="n">
        <x:v>0</x:v>
      </x:c>
      <x:c r="H1018" s="16" t="n">
        <x:v>0</x:v>
      </x:c>
      <x:c r="I1018" s="16" t="n">
        <x:v>1087037.4671584626</x:v>
      </x:c>
      <x:c r="J1018" s="16" t="n">
        <x:v>1087772.9619016976</x:v>
      </x:c>
      <x:c r="K1018" s="16" t="n">
        <x:v>-735.4947432349436</x:v>
      </x:c>
      <x:c r="L1018" s="18" t="n">
        <x:v>-0.000676147292675</x:v>
      </x:c>
      <x:c r="M1018" s="18" t="n">
        <x:v>0</x:v>
      </x:c>
      <x:c r="O1018" t="str">
        <x:v>2025-04-03</x:v>
      </x:c>
      <x:c r="P1018" t="n">
        <x:v>1087037.4671584626</x:v>
      </x:c>
    </x:row>
    <x:row r="1019" ht="15" hidden="0" customHeight="1">
      <x:c r="A1019" s="13" t="str">
        <x:v>2025-04-04</x:v>
      </x:c>
      <x:c r="B1019" s="13" t="n">
        <x:v>0</x:v>
      </x:c>
      <x:c r="C1019" s="13" t="n">
        <x:v>0</x:v>
      </x:c>
      <x:c r="D1019" s="16" t="n">
        <x:v>0</x:v>
      </x:c>
      <x:c r="E1019" s="16" t="n">
        <x:v>0</x:v>
      </x:c>
      <x:c r="F1019" s="16" t="n">
        <x:v>0</x:v>
      </x:c>
      <x:c r="G1019" s="16" t="n">
        <x:v>0</x:v>
      </x:c>
      <x:c r="H1019" s="16" t="n">
        <x:v>0</x:v>
      </x:c>
      <x:c r="I1019" s="16" t="n">
        <x:v>1087037.4671584626</x:v>
      </x:c>
      <x:c r="J1019" s="16" t="n">
        <x:v>1087772.9619016976</x:v>
      </x:c>
      <x:c r="K1019" s="16" t="n">
        <x:v>-735.4947432349436</x:v>
      </x:c>
      <x:c r="L1019" s="18" t="n">
        <x:v>-0.000676147292675</x:v>
      </x:c>
      <x:c r="M1019" s="18" t="n">
        <x:v>0</x:v>
      </x:c>
      <x:c r="O1019" t="str">
        <x:v>2025-04-04</x:v>
      </x:c>
      <x:c r="P1019" t="n">
        <x:v>1087037.4671584626</x:v>
      </x:c>
    </x:row>
    <x:row r="1020" ht="15" hidden="0" customHeight="1">
      <x:c r="A1020" s="13" t="str">
        <x:v>2025-04-07</x:v>
      </x:c>
      <x:c r="B1020" s="13" t="n">
        <x:v>0</x:v>
      </x:c>
      <x:c r="C1020" s="13" t="n">
        <x:v>0</x:v>
      </x:c>
      <x:c r="D1020" s="16" t="n">
        <x:v>0</x:v>
      </x:c>
      <x:c r="E1020" s="16" t="n">
        <x:v>0</x:v>
      </x:c>
      <x:c r="F1020" s="16" t="n">
        <x:v>0</x:v>
      </x:c>
      <x:c r="G1020" s="16" t="n">
        <x:v>0</x:v>
      </x:c>
      <x:c r="H1020" s="16" t="n">
        <x:v>0</x:v>
      </x:c>
      <x:c r="I1020" s="16" t="n">
        <x:v>1087037.4671584626</x:v>
      </x:c>
      <x:c r="J1020" s="16" t="n">
        <x:v>1087772.9619016976</x:v>
      </x:c>
      <x:c r="K1020" s="16" t="n">
        <x:v>-735.4947432349436</x:v>
      </x:c>
      <x:c r="L1020" s="18" t="n">
        <x:v>-0.000676147292675</x:v>
      </x:c>
      <x:c r="M1020" s="18" t="n">
        <x:v>0</x:v>
      </x:c>
      <x:c r="O1020" t="str">
        <x:v>2025-04-07</x:v>
      </x:c>
      <x:c r="P1020" t="n">
        <x:v>1087037.4671584626</x:v>
      </x:c>
    </x:row>
    <x:row r="1021" ht="15" hidden="0" customHeight="1">
      <x:c r="A1021" s="13" t="str">
        <x:v>2025-04-08</x:v>
      </x:c>
      <x:c r="B1021" s="13" t="n">
        <x:v>0</x:v>
      </x:c>
      <x:c r="C1021" s="13" t="n">
        <x:v>0</x:v>
      </x:c>
      <x:c r="D1021" s="16" t="n">
        <x:v>0</x:v>
      </x:c>
      <x:c r="E1021" s="16" t="n">
        <x:v>0</x:v>
      </x:c>
      <x:c r="F1021" s="16" t="n">
        <x:v>0</x:v>
      </x:c>
      <x:c r="G1021" s="16" t="n">
        <x:v>0</x:v>
      </x:c>
      <x:c r="H1021" s="16" t="n">
        <x:v>0</x:v>
      </x:c>
      <x:c r="I1021" s="16" t="n">
        <x:v>1087037.4671584626</x:v>
      </x:c>
      <x:c r="J1021" s="16" t="n">
        <x:v>1087772.9619016976</x:v>
      </x:c>
      <x:c r="K1021" s="16" t="n">
        <x:v>-735.4947432349436</x:v>
      </x:c>
      <x:c r="L1021" s="18" t="n">
        <x:v>-0.000676147292675</x:v>
      </x:c>
      <x:c r="M1021" s="18" t="n">
        <x:v>0</x:v>
      </x:c>
      <x:c r="O1021" t="str">
        <x:v>2025-04-08</x:v>
      </x:c>
      <x:c r="P1021" t="n">
        <x:v>1087037.4671584626</x:v>
      </x:c>
    </x:row>
    <x:row r="1022" ht="15" hidden="0" customHeight="1">
      <x:c r="A1022" s="13" t="str">
        <x:v>2025-04-09</x:v>
      </x:c>
      <x:c r="B1022" s="13" t="n">
        <x:v>0</x:v>
      </x:c>
      <x:c r="C1022" s="13" t="n">
        <x:v>0</x:v>
      </x:c>
      <x:c r="D1022" s="16" t="n">
        <x:v>0</x:v>
      </x:c>
      <x:c r="E1022" s="16" t="n">
        <x:v>0</x:v>
      </x:c>
      <x:c r="F1022" s="16" t="n">
        <x:v>0</x:v>
      </x:c>
      <x:c r="G1022" s="16" t="n">
        <x:v>0</x:v>
      </x:c>
      <x:c r="H1022" s="16" t="n">
        <x:v>0</x:v>
      </x:c>
      <x:c r="I1022" s="16" t="n">
        <x:v>1087037.4671584626</x:v>
      </x:c>
      <x:c r="J1022" s="16" t="n">
        <x:v>1087772.9619016976</x:v>
      </x:c>
      <x:c r="K1022" s="16" t="n">
        <x:v>-735.4947432349436</x:v>
      </x:c>
      <x:c r="L1022" s="18" t="n">
        <x:v>-0.000676147292675</x:v>
      </x:c>
      <x:c r="M1022" s="18" t="n">
        <x:v>0</x:v>
      </x:c>
      <x:c r="O1022" t="str">
        <x:v>2025-04-09</x:v>
      </x:c>
      <x:c r="P1022" t="n">
        <x:v>1087037.4671584626</x:v>
      </x:c>
    </x:row>
    <x:row r="1023" ht="15" hidden="0" customHeight="1">
      <x:c r="A1023" s="13" t="str">
        <x:v>2025-04-10</x:v>
      </x:c>
      <x:c r="B1023" s="13" t="n">
        <x:v>0</x:v>
      </x:c>
      <x:c r="C1023" s="13" t="n">
        <x:v>0</x:v>
      </x:c>
      <x:c r="D1023" s="16" t="n">
        <x:v>0</x:v>
      </x:c>
      <x:c r="E1023" s="16" t="n">
        <x:v>0</x:v>
      </x:c>
      <x:c r="F1023" s="16" t="n">
        <x:v>0</x:v>
      </x:c>
      <x:c r="G1023" s="16" t="n">
        <x:v>0</x:v>
      </x:c>
      <x:c r="H1023" s="16" t="n">
        <x:v>0</x:v>
      </x:c>
      <x:c r="I1023" s="16" t="n">
        <x:v>1087037.4671584626</x:v>
      </x:c>
      <x:c r="J1023" s="16" t="n">
        <x:v>1087772.9619016976</x:v>
      </x:c>
      <x:c r="K1023" s="16" t="n">
        <x:v>-735.4947432349436</x:v>
      </x:c>
      <x:c r="L1023" s="18" t="n">
        <x:v>-0.000676147292675</x:v>
      </x:c>
      <x:c r="M1023" s="18" t="n">
        <x:v>0</x:v>
      </x:c>
      <x:c r="O1023" t="str">
        <x:v>2025-04-10</x:v>
      </x:c>
      <x:c r="P1023" t="n">
        <x:v>1087037.4671584626</x:v>
      </x:c>
    </x:row>
    <x:row r="1024" ht="15" hidden="0" customHeight="1">
      <x:c r="A1024" s="13" t="str">
        <x:v>2025-04-11</x:v>
      </x:c>
      <x:c r="B1024" s="13" t="n">
        <x:v>0</x:v>
      </x:c>
      <x:c r="C1024" s="13" t="n">
        <x:v>0</x:v>
      </x:c>
      <x:c r="D1024" s="16" t="n">
        <x:v>0</x:v>
      </x:c>
      <x:c r="E1024" s="16" t="n">
        <x:v>0</x:v>
      </x:c>
      <x:c r="F1024" s="16" t="n">
        <x:v>0</x:v>
      </x:c>
      <x:c r="G1024" s="16" t="n">
        <x:v>0</x:v>
      </x:c>
      <x:c r="H1024" s="16" t="n">
        <x:v>0</x:v>
      </x:c>
      <x:c r="I1024" s="16" t="n">
        <x:v>1087037.4671584626</x:v>
      </x:c>
      <x:c r="J1024" s="16" t="n">
        <x:v>1087772.9619016976</x:v>
      </x:c>
      <x:c r="K1024" s="16" t="n">
        <x:v>-735.4947432349436</x:v>
      </x:c>
      <x:c r="L1024" s="18" t="n">
        <x:v>-0.000676147292675</x:v>
      </x:c>
      <x:c r="M1024" s="18" t="n">
        <x:v>0</x:v>
      </x:c>
      <x:c r="O1024" t="str">
        <x:v>2025-04-11</x:v>
      </x:c>
      <x:c r="P1024" t="n">
        <x:v>1087037.4671584626</x:v>
      </x:c>
    </x:row>
    <x:row r="1025" ht="15" hidden="0" customHeight="1">
      <x:c r="A1025" s="13" t="str">
        <x:v>2025-04-14</x:v>
      </x:c>
      <x:c r="B1025" s="13" t="n">
        <x:v>0</x:v>
      </x:c>
      <x:c r="C1025" s="13" t="n">
        <x:v>0</x:v>
      </x:c>
      <x:c r="D1025" s="16" t="n">
        <x:v>0</x:v>
      </x:c>
      <x:c r="E1025" s="16" t="n">
        <x:v>0</x:v>
      </x:c>
      <x:c r="F1025" s="16" t="n">
        <x:v>0</x:v>
      </x:c>
      <x:c r="G1025" s="16" t="n">
        <x:v>0</x:v>
      </x:c>
      <x:c r="H1025" s="16" t="n">
        <x:v>0</x:v>
      </x:c>
      <x:c r="I1025" s="16" t="n">
        <x:v>1087037.4671584626</x:v>
      </x:c>
      <x:c r="J1025" s="16" t="n">
        <x:v>1087772.9619016976</x:v>
      </x:c>
      <x:c r="K1025" s="16" t="n">
        <x:v>-735.4947432349436</x:v>
      </x:c>
      <x:c r="L1025" s="18" t="n">
        <x:v>-0.000676147292675</x:v>
      </x:c>
      <x:c r="M1025" s="18" t="n">
        <x:v>0</x:v>
      </x:c>
      <x:c r="O1025" t="str">
        <x:v>2025-04-14</x:v>
      </x:c>
      <x:c r="P1025" t="n">
        <x:v>1087037.4671584626</x:v>
      </x:c>
    </x:row>
    <x:row r="1026" ht="15" hidden="0" customHeight="1">
      <x:c r="A1026" s="13" t="str">
        <x:v>2025-04-15</x:v>
      </x:c>
      <x:c r="B1026" s="13" t="n">
        <x:v>0</x:v>
      </x:c>
      <x:c r="C1026" s="13" t="n">
        <x:v>0</x:v>
      </x:c>
      <x:c r="D1026" s="16" t="n">
        <x:v>0</x:v>
      </x:c>
      <x:c r="E1026" s="16" t="n">
        <x:v>0</x:v>
      </x:c>
      <x:c r="F1026" s="16" t="n">
        <x:v>0</x:v>
      </x:c>
      <x:c r="G1026" s="16" t="n">
        <x:v>0</x:v>
      </x:c>
      <x:c r="H1026" s="16" t="n">
        <x:v>0</x:v>
      </x:c>
      <x:c r="I1026" s="16" t="n">
        <x:v>1087037.4671584626</x:v>
      </x:c>
      <x:c r="J1026" s="16" t="n">
        <x:v>1087772.9619016976</x:v>
      </x:c>
      <x:c r="K1026" s="16" t="n">
        <x:v>-735.4947432349436</x:v>
      </x:c>
      <x:c r="L1026" s="18" t="n">
        <x:v>-0.000676147292675</x:v>
      </x:c>
      <x:c r="M1026" s="18" t="n">
        <x:v>0</x:v>
      </x:c>
      <x:c r="O1026" t="str">
        <x:v>2025-04-15</x:v>
      </x:c>
      <x:c r="P1026" t="n">
        <x:v>1087037.4671584626</x:v>
      </x:c>
    </x:row>
    <x:row r="1027" ht="15" hidden="0" customHeight="1">
      <x:c r="A1027" s="13" t="str">
        <x:v>2025-04-16</x:v>
      </x:c>
      <x:c r="B1027" s="13" t="n">
        <x:v>0</x:v>
      </x:c>
      <x:c r="C1027" s="13" t="n">
        <x:v>0</x:v>
      </x:c>
      <x:c r="D1027" s="16" t="n">
        <x:v>0</x:v>
      </x:c>
      <x:c r="E1027" s="16" t="n">
        <x:v>0</x:v>
      </x:c>
      <x:c r="F1027" s="16" t="n">
        <x:v>0</x:v>
      </x:c>
      <x:c r="G1027" s="16" t="n">
        <x:v>0</x:v>
      </x:c>
      <x:c r="H1027" s="16" t="n">
        <x:v>0</x:v>
      </x:c>
      <x:c r="I1027" s="16" t="n">
        <x:v>1087037.4671584626</x:v>
      </x:c>
      <x:c r="J1027" s="16" t="n">
        <x:v>1087772.9619016976</x:v>
      </x:c>
      <x:c r="K1027" s="16" t="n">
        <x:v>-735.4947432349436</x:v>
      </x:c>
      <x:c r="L1027" s="18" t="n">
        <x:v>-0.000676147292675</x:v>
      </x:c>
      <x:c r="M1027" s="18" t="n">
        <x:v>0</x:v>
      </x:c>
      <x:c r="O1027" t="str">
        <x:v>2025-04-16</x:v>
      </x:c>
      <x:c r="P1027" t="n">
        <x:v>1087037.4671584626</x:v>
      </x:c>
    </x:row>
    <x:row r="1028" ht="15" hidden="0" customHeight="1">
      <x:c r="A1028" s="13" t="str">
        <x:v>2025-04-17</x:v>
      </x:c>
      <x:c r="B1028" s="13" t="n">
        <x:v>0</x:v>
      </x:c>
      <x:c r="C1028" s="13" t="n">
        <x:v>0</x:v>
      </x:c>
      <x:c r="D1028" s="16" t="n">
        <x:v>0</x:v>
      </x:c>
      <x:c r="E1028" s="16" t="n">
        <x:v>0</x:v>
      </x:c>
      <x:c r="F1028" s="16" t="n">
        <x:v>0</x:v>
      </x:c>
      <x:c r="G1028" s="16" t="n">
        <x:v>0</x:v>
      </x:c>
      <x:c r="H1028" s="16" t="n">
        <x:v>0</x:v>
      </x:c>
      <x:c r="I1028" s="16" t="n">
        <x:v>1087037.4671584626</x:v>
      </x:c>
      <x:c r="J1028" s="16" t="n">
        <x:v>1087772.9619016976</x:v>
      </x:c>
      <x:c r="K1028" s="16" t="n">
        <x:v>-735.4947432349436</x:v>
      </x:c>
      <x:c r="L1028" s="18" t="n">
        <x:v>-0.000676147292675</x:v>
      </x:c>
      <x:c r="M1028" s="18" t="n">
        <x:v>0</x:v>
      </x:c>
      <x:c r="O1028" t="str">
        <x:v>2025-04-17</x:v>
      </x:c>
      <x:c r="P1028" t="n">
        <x:v>1087037.4671584626</x:v>
      </x:c>
    </x:row>
    <x:row r="1029" ht="15" hidden="0" customHeight="1">
      <x:c r="A1029" s="13" t="str">
        <x:v>2025-04-18</x:v>
      </x:c>
      <x:c r="B1029" s="13" t="n">
        <x:v>0</x:v>
      </x:c>
      <x:c r="C1029" s="13" t="n">
        <x:v>0</x:v>
      </x:c>
      <x:c r="D1029" s="16" t="n">
        <x:v>0</x:v>
      </x:c>
      <x:c r="E1029" s="16" t="n">
        <x:v>0</x:v>
      </x:c>
      <x:c r="F1029" s="16" t="n">
        <x:v>0</x:v>
      </x:c>
      <x:c r="G1029" s="16" t="n">
        <x:v>0</x:v>
      </x:c>
      <x:c r="H1029" s="16" t="n">
        <x:v>0</x:v>
      </x:c>
      <x:c r="I1029" s="16" t="n">
        <x:v>1087037.4671584626</x:v>
      </x:c>
      <x:c r="J1029" s="16" t="n">
        <x:v>1087772.9619016976</x:v>
      </x:c>
      <x:c r="K1029" s="16" t="n">
        <x:v>-735.4947432349436</x:v>
      </x:c>
      <x:c r="L1029" s="18" t="n">
        <x:v>-0.000676147292675</x:v>
      </x:c>
      <x:c r="M1029" s="18" t="n">
        <x:v>0</x:v>
      </x:c>
      <x:c r="O1029" t="str">
        <x:v>2025-04-18</x:v>
      </x:c>
      <x:c r="P1029" t="n">
        <x:v>1087037.4671584626</x:v>
      </x:c>
    </x:row>
    <x:row r="1030" ht="15" hidden="0" customHeight="1">
      <x:c r="A1030" s="13" t="str">
        <x:v>2025-04-21</x:v>
      </x:c>
      <x:c r="B1030" s="13" t="n">
        <x:v>0</x:v>
      </x:c>
      <x:c r="C1030" s="13" t="n">
        <x:v>0</x:v>
      </x:c>
      <x:c r="D1030" s="16" t="n">
        <x:v>0</x:v>
      </x:c>
      <x:c r="E1030" s="16" t="n">
        <x:v>0</x:v>
      </x:c>
      <x:c r="F1030" s="16" t="n">
        <x:v>0</x:v>
      </x:c>
      <x:c r="G1030" s="16" t="n">
        <x:v>0</x:v>
      </x:c>
      <x:c r="H1030" s="16" t="n">
        <x:v>0</x:v>
      </x:c>
      <x:c r="I1030" s="16" t="n">
        <x:v>1087037.4671584626</x:v>
      </x:c>
      <x:c r="J1030" s="16" t="n">
        <x:v>1087772.9619016976</x:v>
      </x:c>
      <x:c r="K1030" s="16" t="n">
        <x:v>-735.4947432349436</x:v>
      </x:c>
      <x:c r="L1030" s="18" t="n">
        <x:v>-0.000676147292675</x:v>
      </x:c>
      <x:c r="M1030" s="18" t="n">
        <x:v>0</x:v>
      </x:c>
      <x:c r="O1030" t="str">
        <x:v>2025-04-21</x:v>
      </x:c>
      <x:c r="P1030" t="n">
        <x:v>1087037.4671584626</x:v>
      </x:c>
    </x:row>
    <x:row r="1031" ht="15" hidden="0" customHeight="1">
      <x:c r="A1031" s="13" t="str">
        <x:v>2025-04-22</x:v>
      </x:c>
      <x:c r="B1031" s="13" t="n">
        <x:v>0</x:v>
      </x:c>
      <x:c r="C1031" s="13" t="n">
        <x:v>0</x:v>
      </x:c>
      <x:c r="D1031" s="16" t="n">
        <x:v>0</x:v>
      </x:c>
      <x:c r="E1031" s="16" t="n">
        <x:v>0</x:v>
      </x:c>
      <x:c r="F1031" s="16" t="n">
        <x:v>0</x:v>
      </x:c>
      <x:c r="G1031" s="16" t="n">
        <x:v>0</x:v>
      </x:c>
      <x:c r="H1031" s="16" t="n">
        <x:v>0</x:v>
      </x:c>
      <x:c r="I1031" s="16" t="n">
        <x:v>1087037.4671584626</x:v>
      </x:c>
      <x:c r="J1031" s="16" t="n">
        <x:v>1087772.9619016976</x:v>
      </x:c>
      <x:c r="K1031" s="16" t="n">
        <x:v>-735.4947432349436</x:v>
      </x:c>
      <x:c r="L1031" s="18" t="n">
        <x:v>-0.000676147292675</x:v>
      </x:c>
      <x:c r="M1031" s="18" t="n">
        <x:v>0</x:v>
      </x:c>
      <x:c r="O1031" t="str">
        <x:v>2025-04-22</x:v>
      </x:c>
      <x:c r="P1031" t="n">
        <x:v>1087037.4671584626</x:v>
      </x:c>
    </x:row>
    <x:row r="1032" ht="15" hidden="0" customHeight="1">
      <x:c r="A1032" s="13" t="str">
        <x:v>2025-04-23</x:v>
      </x:c>
      <x:c r="B1032" s="13" t="n">
        <x:v>0</x:v>
      </x:c>
      <x:c r="C1032" s="13" t="n">
        <x:v>0</x:v>
      </x:c>
      <x:c r="D1032" s="16" t="n">
        <x:v>0</x:v>
      </x:c>
      <x:c r="E1032" s="16" t="n">
        <x:v>0</x:v>
      </x:c>
      <x:c r="F1032" s="16" t="n">
        <x:v>0</x:v>
      </x:c>
      <x:c r="G1032" s="16" t="n">
        <x:v>0</x:v>
      </x:c>
      <x:c r="H1032" s="16" t="n">
        <x:v>0</x:v>
      </x:c>
      <x:c r="I1032" s="16" t="n">
        <x:v>1087037.4671584626</x:v>
      </x:c>
      <x:c r="J1032" s="16" t="n">
        <x:v>1087772.9619016976</x:v>
      </x:c>
      <x:c r="K1032" s="16" t="n">
        <x:v>-735.4947432349436</x:v>
      </x:c>
      <x:c r="L1032" s="18" t="n">
        <x:v>-0.000676147292675</x:v>
      </x:c>
      <x:c r="M1032" s="18" t="n">
        <x:v>0</x:v>
      </x:c>
      <x:c r="O1032" t="str">
        <x:v>2025-04-23</x:v>
      </x:c>
      <x:c r="P1032" t="n">
        <x:v>1087037.4671584626</x:v>
      </x:c>
    </x:row>
    <x:row r="1033" ht="15" hidden="0" customHeight="1">
      <x:c r="A1033" s="13" t="str">
        <x:v>2025-04-24</x:v>
      </x:c>
      <x:c r="B1033" s="13" t="n">
        <x:v>0</x:v>
      </x:c>
      <x:c r="C1033" s="13" t="n">
        <x:v>0</x:v>
      </x:c>
      <x:c r="D1033" s="16" t="n">
        <x:v>0</x:v>
      </x:c>
      <x:c r="E1033" s="16" t="n">
        <x:v>0</x:v>
      </x:c>
      <x:c r="F1033" s="16" t="n">
        <x:v>0</x:v>
      </x:c>
      <x:c r="G1033" s="16" t="n">
        <x:v>0</x:v>
      </x:c>
      <x:c r="H1033" s="16" t="n">
        <x:v>0</x:v>
      </x:c>
      <x:c r="I1033" s="16" t="n">
        <x:v>1087037.4671584626</x:v>
      </x:c>
      <x:c r="J1033" s="16" t="n">
        <x:v>1087772.9619016976</x:v>
      </x:c>
      <x:c r="K1033" s="16" t="n">
        <x:v>-735.4947432349436</x:v>
      </x:c>
      <x:c r="L1033" s="18" t="n">
        <x:v>-0.000676147292675</x:v>
      </x:c>
      <x:c r="M1033" s="18" t="n">
        <x:v>0</x:v>
      </x:c>
      <x:c r="O1033" t="str">
        <x:v>2025-04-24</x:v>
      </x:c>
      <x:c r="P1033" t="n">
        <x:v>1087037.4671584626</x:v>
      </x:c>
    </x:row>
    <x:row r="1034" ht="15" hidden="0" customHeight="1">
      <x:c r="A1034" s="13" t="str">
        <x:v>2025-04-25</x:v>
      </x:c>
      <x:c r="B1034" s="13" t="n">
        <x:v>0</x:v>
      </x:c>
      <x:c r="C1034" s="13" t="n">
        <x:v>0</x:v>
      </x:c>
      <x:c r="D1034" s="16" t="n">
        <x:v>0</x:v>
      </x:c>
      <x:c r="E1034" s="16" t="n">
        <x:v>0</x:v>
      </x:c>
      <x:c r="F1034" s="16" t="n">
        <x:v>0</x:v>
      </x:c>
      <x:c r="G1034" s="16" t="n">
        <x:v>0</x:v>
      </x:c>
      <x:c r="H1034" s="16" t="n">
        <x:v>0</x:v>
      </x:c>
      <x:c r="I1034" s="16" t="n">
        <x:v>1087037.4671584626</x:v>
      </x:c>
      <x:c r="J1034" s="16" t="n">
        <x:v>1087772.9619016976</x:v>
      </x:c>
      <x:c r="K1034" s="16" t="n">
        <x:v>-735.4947432349436</x:v>
      </x:c>
      <x:c r="L1034" s="18" t="n">
        <x:v>-0.000676147292675</x:v>
      </x:c>
      <x:c r="M1034" s="18" t="n">
        <x:v>0</x:v>
      </x:c>
      <x:c r="O1034" t="str">
        <x:v>2025-04-25</x:v>
      </x:c>
      <x:c r="P1034" t="n">
        <x:v>1087037.4671584626</x:v>
      </x:c>
    </x:row>
    <x:row r="1035" ht="15" hidden="0" customHeight="1">
      <x:c r="A1035" s="13" t="str">
        <x:v>2025-04-28</x:v>
      </x:c>
      <x:c r="B1035" s="13" t="n">
        <x:v>0</x:v>
      </x:c>
      <x:c r="C1035" s="13" t="n">
        <x:v>0</x:v>
      </x:c>
      <x:c r="D1035" s="16" t="n">
        <x:v>0</x:v>
      </x:c>
      <x:c r="E1035" s="16" t="n">
        <x:v>0</x:v>
      </x:c>
      <x:c r="F1035" s="16" t="n">
        <x:v>0</x:v>
      </x:c>
      <x:c r="G1035" s="16" t="n">
        <x:v>0</x:v>
      </x:c>
      <x:c r="H1035" s="16" t="n">
        <x:v>0</x:v>
      </x:c>
      <x:c r="I1035" s="16" t="n">
        <x:v>1087037.4671584626</x:v>
      </x:c>
      <x:c r="J1035" s="16" t="n">
        <x:v>1087772.9619016976</x:v>
      </x:c>
      <x:c r="K1035" s="16" t="n">
        <x:v>-735.4947432349436</x:v>
      </x:c>
      <x:c r="L1035" s="18" t="n">
        <x:v>-0.000676147292675</x:v>
      </x:c>
      <x:c r="M1035" s="18" t="n">
        <x:v>0</x:v>
      </x:c>
      <x:c r="O1035" t="str">
        <x:v>2025-04-28</x:v>
      </x:c>
      <x:c r="P1035" t="n">
        <x:v>1087037.4671584626</x:v>
      </x:c>
    </x:row>
    <x:row r="1036" ht="15" hidden="0" customHeight="1">
      <x:c r="A1036" s="13" t="str">
        <x:v>2025-04-29</x:v>
      </x:c>
      <x:c r="B1036" s="13" t="n">
        <x:v>0</x:v>
      </x:c>
      <x:c r="C1036" s="13" t="n">
        <x:v>0</x:v>
      </x:c>
      <x:c r="D1036" s="16" t="n">
        <x:v>0</x:v>
      </x:c>
      <x:c r="E1036" s="16" t="n">
        <x:v>0</x:v>
      </x:c>
      <x:c r="F1036" s="16" t="n">
        <x:v>0</x:v>
      </x:c>
      <x:c r="G1036" s="16" t="n">
        <x:v>0</x:v>
      </x:c>
      <x:c r="H1036" s="16" t="n">
        <x:v>0</x:v>
      </x:c>
      <x:c r="I1036" s="16" t="n">
        <x:v>1087037.4671584626</x:v>
      </x:c>
      <x:c r="J1036" s="16" t="n">
        <x:v>1087772.9619016976</x:v>
      </x:c>
      <x:c r="K1036" s="16" t="n">
        <x:v>-735.4947432349436</x:v>
      </x:c>
      <x:c r="L1036" s="18" t="n">
        <x:v>-0.000676147292675</x:v>
      </x:c>
      <x:c r="M1036" s="18" t="n">
        <x:v>0</x:v>
      </x:c>
      <x:c r="O1036" t="str">
        <x:v>2025-04-29</x:v>
      </x:c>
      <x:c r="P1036" t="n">
        <x:v>1087037.4671584626</x:v>
      </x:c>
    </x:row>
    <x:row r="1037" ht="15" hidden="0" customHeight="1">
      <x:c r="A1037" s="13" t="str">
        <x:v>2025-04-30</x:v>
      </x:c>
      <x:c r="B1037" s="13" t="n">
        <x:v>0</x:v>
      </x:c>
      <x:c r="C1037" s="13" t="n">
        <x:v>0</x:v>
      </x:c>
      <x:c r="D1037" s="16" t="n">
        <x:v>0</x:v>
      </x:c>
      <x:c r="E1037" s="16" t="n">
        <x:v>0</x:v>
      </x:c>
      <x:c r="F1037" s="16" t="n">
        <x:v>0</x:v>
      </x:c>
      <x:c r="G1037" s="16" t="n">
        <x:v>0</x:v>
      </x:c>
      <x:c r="H1037" s="16" t="n">
        <x:v>0</x:v>
      </x:c>
      <x:c r="I1037" s="16" t="n">
        <x:v>1087037.4671584626</x:v>
      </x:c>
      <x:c r="J1037" s="16" t="n">
        <x:v>1087772.9619016976</x:v>
      </x:c>
      <x:c r="K1037" s="16" t="n">
        <x:v>-735.4947432349436</x:v>
      </x:c>
      <x:c r="L1037" s="18" t="n">
        <x:v>-0.000676147292675</x:v>
      </x:c>
      <x:c r="M1037" s="18" t="n">
        <x:v>0</x:v>
      </x:c>
      <x:c r="O1037" t="str">
        <x:v>2025-04-30</x:v>
      </x:c>
      <x:c r="P1037" t="n">
        <x:v>1087037.4671584626</x:v>
      </x:c>
    </x:row>
    <x:row r="1038" ht="15" hidden="0" customHeight="1">
      <x:c r="A1038" s="13" t="str">
        <x:v>2025-05-01</x:v>
      </x:c>
      <x:c r="B1038" s="13" t="n">
        <x:v>0</x:v>
      </x:c>
      <x:c r="C1038" s="13" t="n">
        <x:v>0</x:v>
      </x:c>
      <x:c r="D1038" s="16" t="n">
        <x:v>0</x:v>
      </x:c>
      <x:c r="E1038" s="16" t="n">
        <x:v>0</x:v>
      </x:c>
      <x:c r="F1038" s="16" t="n">
        <x:v>0</x:v>
      </x:c>
      <x:c r="G1038" s="16" t="n">
        <x:v>0</x:v>
      </x:c>
      <x:c r="H1038" s="16" t="n">
        <x:v>0</x:v>
      </x:c>
      <x:c r="I1038" s="16" t="n">
        <x:v>1087037.4671584626</x:v>
      </x:c>
      <x:c r="J1038" s="16" t="n">
        <x:v>1087772.9619016976</x:v>
      </x:c>
      <x:c r="K1038" s="16" t="n">
        <x:v>-735.4947432349436</x:v>
      </x:c>
      <x:c r="L1038" s="18" t="n">
        <x:v>-0.000676147292675</x:v>
      </x:c>
      <x:c r="M1038" s="18" t="n">
        <x:v>0</x:v>
      </x:c>
      <x:c r="O1038" t="str">
        <x:v>2025-05-01</x:v>
      </x:c>
      <x:c r="P1038" t="n">
        <x:v>1087037.4671584626</x:v>
      </x:c>
    </x:row>
    <x:row r="1039" ht="15" hidden="0" customHeight="1">
      <x:c r="A1039" s="13" t="str">
        <x:v>2025-05-02</x:v>
      </x:c>
      <x:c r="B1039" s="13" t="n">
        <x:v>0</x:v>
      </x:c>
      <x:c r="C1039" s="13" t="n">
        <x:v>0</x:v>
      </x:c>
      <x:c r="D1039" s="16" t="n">
        <x:v>0</x:v>
      </x:c>
      <x:c r="E1039" s="16" t="n">
        <x:v>0</x:v>
      </x:c>
      <x:c r="F1039" s="16" t="n">
        <x:v>0</x:v>
      </x:c>
      <x:c r="G1039" s="16" t="n">
        <x:v>0</x:v>
      </x:c>
      <x:c r="H1039" s="16" t="n">
        <x:v>0</x:v>
      </x:c>
      <x:c r="I1039" s="16" t="n">
        <x:v>1087037.4671584626</x:v>
      </x:c>
      <x:c r="J1039" s="16" t="n">
        <x:v>1087772.9619016976</x:v>
      </x:c>
      <x:c r="K1039" s="16" t="n">
        <x:v>-735.4947432349436</x:v>
      </x:c>
      <x:c r="L1039" s="18" t="n">
        <x:v>-0.000676147292675</x:v>
      </x:c>
      <x:c r="M1039" s="18" t="n">
        <x:v>0</x:v>
      </x:c>
      <x:c r="O1039" t="str">
        <x:v>2025-05-02</x:v>
      </x:c>
      <x:c r="P1039" t="n">
        <x:v>1087037.4671584626</x:v>
      </x:c>
    </x:row>
    <x:row r="1040" ht="15" hidden="0" customHeight="1">
      <x:c r="A1040" s="13" t="str">
        <x:v>2025-05-05</x:v>
      </x:c>
      <x:c r="B1040" s="13" t="n">
        <x:v>0</x:v>
      </x:c>
      <x:c r="C1040" s="13" t="n">
        <x:v>0</x:v>
      </x:c>
      <x:c r="D1040" s="16" t="n">
        <x:v>0</x:v>
      </x:c>
      <x:c r="E1040" s="16" t="n">
        <x:v>0</x:v>
      </x:c>
      <x:c r="F1040" s="16" t="n">
        <x:v>0</x:v>
      </x:c>
      <x:c r="G1040" s="16" t="n">
        <x:v>0</x:v>
      </x:c>
      <x:c r="H1040" s="16" t="n">
        <x:v>0</x:v>
      </x:c>
      <x:c r="I1040" s="16" t="n">
        <x:v>1087037.4671584626</x:v>
      </x:c>
      <x:c r="J1040" s="16" t="n">
        <x:v>1087772.9619016976</x:v>
      </x:c>
      <x:c r="K1040" s="16" t="n">
        <x:v>-735.4947432349436</x:v>
      </x:c>
      <x:c r="L1040" s="18" t="n">
        <x:v>-0.000676147292675</x:v>
      </x:c>
      <x:c r="M1040" s="18" t="n">
        <x:v>0</x:v>
      </x:c>
      <x:c r="O1040" t="str">
        <x:v>2025-05-05</x:v>
      </x:c>
      <x:c r="P1040" t="n">
        <x:v>1087037.4671584626</x:v>
      </x:c>
    </x:row>
    <x:row r="1041" ht="15" hidden="0" customHeight="1">
      <x:c r="A1041" s="13" t="str">
        <x:v>2025-05-06</x:v>
      </x:c>
      <x:c r="B1041" s="13" t="n">
        <x:v>0</x:v>
      </x:c>
      <x:c r="C1041" s="13" t="n">
        <x:v>0</x:v>
      </x:c>
      <x:c r="D1041" s="16" t="n">
        <x:v>0</x:v>
      </x:c>
      <x:c r="E1041" s="16" t="n">
        <x:v>0</x:v>
      </x:c>
      <x:c r="F1041" s="16" t="n">
        <x:v>0</x:v>
      </x:c>
      <x:c r="G1041" s="16" t="n">
        <x:v>0</x:v>
      </x:c>
      <x:c r="H1041" s="16" t="n">
        <x:v>0</x:v>
      </x:c>
      <x:c r="I1041" s="16" t="n">
        <x:v>1087037.4671584626</x:v>
      </x:c>
      <x:c r="J1041" s="16" t="n">
        <x:v>1087772.9619016976</x:v>
      </x:c>
      <x:c r="K1041" s="16" t="n">
        <x:v>-735.4947432349436</x:v>
      </x:c>
      <x:c r="L1041" s="18" t="n">
        <x:v>-0.000676147292675</x:v>
      </x:c>
      <x:c r="M1041" s="18" t="n">
        <x:v>0</x:v>
      </x:c>
      <x:c r="O1041" t="str">
        <x:v>2025-05-06</x:v>
      </x:c>
      <x:c r="P1041" t="n">
        <x:v>1087037.4671584626</x:v>
      </x:c>
    </x:row>
    <x:row r="1042" ht="15" hidden="0" customHeight="1">
      <x:c r="A1042" s="13" t="str">
        <x:v>2025-05-07</x:v>
      </x:c>
      <x:c r="B1042" s="13" t="n">
        <x:v>0</x:v>
      </x:c>
      <x:c r="C1042" s="13" t="n">
        <x:v>0</x:v>
      </x:c>
      <x:c r="D1042" s="16" t="n">
        <x:v>0</x:v>
      </x:c>
      <x:c r="E1042" s="16" t="n">
        <x:v>0</x:v>
      </x:c>
      <x:c r="F1042" s="16" t="n">
        <x:v>0</x:v>
      </x:c>
      <x:c r="G1042" s="16" t="n">
        <x:v>0</x:v>
      </x:c>
      <x:c r="H1042" s="16" t="n">
        <x:v>0</x:v>
      </x:c>
      <x:c r="I1042" s="16" t="n">
        <x:v>1087037.4671584626</x:v>
      </x:c>
      <x:c r="J1042" s="16" t="n">
        <x:v>1087772.9619016976</x:v>
      </x:c>
      <x:c r="K1042" s="16" t="n">
        <x:v>-735.4947432349436</x:v>
      </x:c>
      <x:c r="L1042" s="18" t="n">
        <x:v>-0.000676147292675</x:v>
      </x:c>
      <x:c r="M1042" s="18" t="n">
        <x:v>0</x:v>
      </x:c>
      <x:c r="O1042" t="str">
        <x:v>2025-05-07</x:v>
      </x:c>
      <x:c r="P1042" t="n">
        <x:v>1087037.4671584626</x:v>
      </x:c>
    </x:row>
    <x:row r="1043" ht="15" hidden="0" customHeight="1">
      <x:c r="A1043" s="13" t="str">
        <x:v>2025-05-08</x:v>
      </x:c>
      <x:c r="B1043" s="13" t="n">
        <x:v>1</x:v>
      </x:c>
      <x:c r="C1043" s="13" t="n">
        <x:v>4</x:v>
      </x:c>
      <x:c r="D1043" s="16" t="n">
        <x:v>12809.999999999998</x:v>
      </x:c>
      <x:c r="E1043" s="16" t="n">
        <x:v>377.2834199266417</x:v>
      </x:c>
      <x:c r="F1043" s="16" t="n">
        <x:v>12432.716580073356</x:v>
      </x:c>
      <x:c r="G1043" s="16" t="n">
        <x:v>21487.573847689207</x:v>
      </x:c>
      <x:c r="H1043" s="16" t="n">
        <x:v>338168.35827173863</x:v>
      </x:c>
      <x:c r="I1043" s="16" t="n">
        <x:v>1099470.183738536</x:v>
      </x:c>
      <x:c r="J1043" s="16" t="n">
        <x:v>1099470.183738536</x:v>
      </x:c>
      <x:c r="K1043" s="16" t="n">
        <x:v>0</x:v>
      </x:c>
      <x:c r="L1043" s="18" t="n">
        <x:v>0</x:v>
      </x:c>
      <x:c r="M1043" s="18" t="n">
        <x:v>0.0114372475242943</x:v>
      </x:c>
      <x:c r="O1043" t="str">
        <x:v>2025-05-08</x:v>
      </x:c>
      <x:c r="P1043" t="n">
        <x:v>1099470.183738536</x:v>
      </x:c>
    </x:row>
    <x:row r="1044" ht="15" hidden="0" customHeight="1">
      <x:c r="A1044" s="13" t="str">
        <x:v>2025-05-09</x:v>
      </x:c>
      <x:c r="B1044" s="13" t="n">
        <x:v>0</x:v>
      </x:c>
      <x:c r="C1044" s="13" t="n">
        <x:v>0</x:v>
      </x:c>
      <x:c r="D1044" s="16" t="n">
        <x:v>0</x:v>
      </x:c>
      <x:c r="E1044" s="16" t="n">
        <x:v>0</x:v>
      </x:c>
      <x:c r="F1044" s="16" t="n">
        <x:v>0</x:v>
      </x:c>
      <x:c r="G1044" s="16" t="n">
        <x:v>0</x:v>
      </x:c>
      <x:c r="H1044" s="16" t="n">
        <x:v>0</x:v>
      </x:c>
      <x:c r="I1044" s="16" t="n">
        <x:v>1099470.183738536</x:v>
      </x:c>
      <x:c r="J1044" s="16" t="n">
        <x:v>1099470.183738536</x:v>
      </x:c>
      <x:c r="K1044" s="16" t="n">
        <x:v>0</x:v>
      </x:c>
      <x:c r="L1044" s="18" t="n">
        <x:v>0</x:v>
      </x:c>
      <x:c r="M1044" s="18" t="n">
        <x:v>0</x:v>
      </x:c>
      <x:c r="O1044" t="str">
        <x:v>2025-05-09</x:v>
      </x:c>
      <x:c r="P1044" t="n">
        <x:v>1099470.183738536</x:v>
      </x:c>
    </x:row>
    <x:row r="1045" ht="15" hidden="0" customHeight="1">
      <x:c r="A1045" s="13" t="str">
        <x:v>2025-05-12</x:v>
      </x:c>
      <x:c r="B1045" s="13" t="n">
        <x:v>1</x:v>
      </x:c>
      <x:c r="C1045" s="13" t="n">
        <x:v>3</x:v>
      </x:c>
      <x:c r="D1045" s="16" t="n">
        <x:v>-753.7499999999987</x:v>
      </x:c>
      <x:c r="E1045" s="16" t="n">
        <x:v>1193.655645066252</x:v>
      </x:c>
      <x:c r="F1045" s="16" t="n">
        <x:v>-1947.4056450662504</x:v>
      </x:c>
      <x:c r="G1045" s="16" t="n">
        <x:v>287343.7738874436</x:v>
      </x:c>
      <x:c r="H1045" s="16" t="n">
        <x:v>311077.8513959864</x:v>
      </x:c>
      <x:c r="I1045" s="16" t="n">
        <x:v>1097522.7780934698</x:v>
      </x:c>
      <x:c r="J1045" s="16" t="n">
        <x:v>1099470.183738536</x:v>
      </x:c>
      <x:c r="K1045" s="16" t="n">
        <x:v>-1947.4056450661735</x:v>
      </x:c>
      <x:c r="L1045" s="18" t="n">
        <x:v>-0.0017712218792913</x:v>
      </x:c>
      <x:c r="M1045" s="18" t="n">
        <x:v>-0.0017712218792913</x:v>
      </x:c>
      <x:c r="O1045" t="str">
        <x:v>2025-05-12</x:v>
      </x:c>
      <x:c r="P1045" t="n">
        <x:v>1097522.7780934698</x:v>
      </x:c>
    </x:row>
    <x:row r="1046" ht="15" hidden="0" customHeight="1">
      <x:c r="A1046" s="13" t="str">
        <x:v>2025-05-13</x:v>
      </x:c>
      <x:c r="B1046" s="13" t="n">
        <x:v>0</x:v>
      </x:c>
      <x:c r="C1046" s="13" t="n">
        <x:v>0</x:v>
      </x:c>
      <x:c r="D1046" s="16" t="n">
        <x:v>0</x:v>
      </x:c>
      <x:c r="E1046" s="16" t="n">
        <x:v>0</x:v>
      </x:c>
      <x:c r="F1046" s="16" t="n">
        <x:v>0</x:v>
      </x:c>
      <x:c r="G1046" s="16" t="n">
        <x:v>0</x:v>
      </x:c>
      <x:c r="H1046" s="16" t="n">
        <x:v>0</x:v>
      </x:c>
      <x:c r="I1046" s="16" t="n">
        <x:v>1097522.7780934698</x:v>
      </x:c>
      <x:c r="J1046" s="16" t="n">
        <x:v>1099470.183738536</x:v>
      </x:c>
      <x:c r="K1046" s="16" t="n">
        <x:v>-1947.4056450661735</x:v>
      </x:c>
      <x:c r="L1046" s="18" t="n">
        <x:v>-0.0017712218792913</x:v>
      </x:c>
      <x:c r="M1046" s="18" t="n">
        <x:v>0</x:v>
      </x:c>
      <x:c r="O1046" t="str">
        <x:v>2025-05-13</x:v>
      </x:c>
      <x:c r="P1046" t="n">
        <x:v>1097522.7780934698</x:v>
      </x:c>
    </x:row>
    <x:row r="1047" ht="15" hidden="0" customHeight="1">
      <x:c r="A1047" s="13" t="str">
        <x:v>2025-05-14</x:v>
      </x:c>
      <x:c r="B1047" s="13" t="n">
        <x:v>0</x:v>
      </x:c>
      <x:c r="C1047" s="13" t="n">
        <x:v>0</x:v>
      </x:c>
      <x:c r="D1047" s="16" t="n">
        <x:v>0</x:v>
      </x:c>
      <x:c r="E1047" s="16" t="n">
        <x:v>0</x:v>
      </x:c>
      <x:c r="F1047" s="16" t="n">
        <x:v>0</x:v>
      </x:c>
      <x:c r="G1047" s="16" t="n">
        <x:v>0</x:v>
      </x:c>
      <x:c r="H1047" s="16" t="n">
        <x:v>0</x:v>
      </x:c>
      <x:c r="I1047" s="16" t="n">
        <x:v>1097522.7780934698</x:v>
      </x:c>
      <x:c r="J1047" s="16" t="n">
        <x:v>1099470.183738536</x:v>
      </x:c>
      <x:c r="K1047" s="16" t="n">
        <x:v>-1947.4056450661735</x:v>
      </x:c>
      <x:c r="L1047" s="18" t="n">
        <x:v>-0.0017712218792913</x:v>
      </x:c>
      <x:c r="M1047" s="18" t="n">
        <x:v>0</x:v>
      </x:c>
      <x:c r="O1047" t="str">
        <x:v>2025-05-14</x:v>
      </x:c>
      <x:c r="P1047" t="n">
        <x:v>1097522.7780934698</x:v>
      </x:c>
    </x:row>
    <x:row r="1048" ht="15" hidden="0" customHeight="1">
      <x:c r="A1048" s="13" t="str">
        <x:v>2025-05-15</x:v>
      </x:c>
      <x:c r="B1048" s="13" t="n">
        <x:v>0</x:v>
      </x:c>
      <x:c r="C1048" s="13" t="n">
        <x:v>0</x:v>
      </x:c>
      <x:c r="D1048" s="16" t="n">
        <x:v>0</x:v>
      </x:c>
      <x:c r="E1048" s="16" t="n">
        <x:v>0</x:v>
      </x:c>
      <x:c r="F1048" s="16" t="n">
        <x:v>0</x:v>
      </x:c>
      <x:c r="G1048" s="16" t="n">
        <x:v>0</x:v>
      </x:c>
      <x:c r="H1048" s="16" t="n">
        <x:v>0</x:v>
      </x:c>
      <x:c r="I1048" s="16" t="n">
        <x:v>1097522.7780934698</x:v>
      </x:c>
      <x:c r="J1048" s="16" t="n">
        <x:v>1099470.183738536</x:v>
      </x:c>
      <x:c r="K1048" s="16" t="n">
        <x:v>-1947.4056450661735</x:v>
      </x:c>
      <x:c r="L1048" s="18" t="n">
        <x:v>-0.0017712218792913</x:v>
      </x:c>
      <x:c r="M1048" s="18" t="n">
        <x:v>0</x:v>
      </x:c>
      <x:c r="O1048" t="str">
        <x:v>2025-05-15</x:v>
      </x:c>
      <x:c r="P1048" t="n">
        <x:v>1097522.7780934698</x:v>
      </x:c>
    </x:row>
    <x:row r="1049" ht="15" hidden="0" customHeight="1">
      <x:c r="A1049" s="13" t="str">
        <x:v>2025-05-16</x:v>
      </x:c>
      <x:c r="B1049" s="13" t="n">
        <x:v>0</x:v>
      </x:c>
      <x:c r="C1049" s="13" t="n">
        <x:v>0</x:v>
      </x:c>
      <x:c r="D1049" s="16" t="n">
        <x:v>0</x:v>
      </x:c>
      <x:c r="E1049" s="16" t="n">
        <x:v>0</x:v>
      </x:c>
      <x:c r="F1049" s="16" t="n">
        <x:v>0</x:v>
      </x:c>
      <x:c r="G1049" s="16" t="n">
        <x:v>0</x:v>
      </x:c>
      <x:c r="H1049" s="16" t="n">
        <x:v>0</x:v>
      </x:c>
      <x:c r="I1049" s="16" t="n">
        <x:v>1097522.7780934698</x:v>
      </x:c>
      <x:c r="J1049" s="16" t="n">
        <x:v>1099470.183738536</x:v>
      </x:c>
      <x:c r="K1049" s="16" t="n">
        <x:v>-1947.4056450661735</x:v>
      </x:c>
      <x:c r="L1049" s="18" t="n">
        <x:v>-0.0017712218792913</x:v>
      </x:c>
      <x:c r="M1049" s="18" t="n">
        <x:v>0</x:v>
      </x:c>
      <x:c r="O1049" t="str">
        <x:v>2025-05-16</x:v>
      </x:c>
      <x:c r="P1049" t="n">
        <x:v>1097522.7780934698</x:v>
      </x:c>
    </x:row>
    <x:row r="1050" ht="15" hidden="0" customHeight="1">
      <x:c r="A1050" s="13" t="str">
        <x:v>2025-05-19</x:v>
      </x:c>
      <x:c r="B1050" s="13" t="n">
        <x:v>1</x:v>
      </x:c>
      <x:c r="C1050" s="13" t="n">
        <x:v>3</x:v>
      </x:c>
      <x:c r="D1050" s="16" t="n">
        <x:v>270.00000000000387</x:v>
      </x:c>
      <x:c r="E1050" s="16" t="n">
        <x:v>925.1075418803442</x:v>
      </x:c>
      <x:c r="F1050" s="16" t="n">
        <x:v>-655.1075418803404</x:v>
      </x:c>
      <x:c r="G1050" s="16" t="n">
        <x:v>226619.9807599421</x:v>
      </x:c>
      <x:c r="H1050" s="16" t="n">
        <x:v>301949.25259878323</x:v>
      </x:c>
      <x:c r="I1050" s="16" t="n">
        <x:v>1096867.6705515897</x:v>
      </x:c>
      <x:c r="J1050" s="16" t="n">
        <x:v>1099470.183738536</x:v>
      </x:c>
      <x:c r="K1050" s="16" t="n">
        <x:v>-2602.5131869465117</x:v>
      </x:c>
      <x:c r="L1050" s="18" t="n">
        <x:v>-0.0023670611767725</x:v>
      </x:c>
      <x:c r="M1050" s="18" t="n">
        <x:v>-0.0005968965336813</x:v>
      </x:c>
      <x:c r="O1050" t="str">
        <x:v>2025-05-19</x:v>
      </x:c>
      <x:c r="P1050" t="n">
        <x:v>1096867.6705515897</x:v>
      </x:c>
    </x:row>
    <x:row r="1051" ht="15" hidden="0" customHeight="1">
      <x:c r="A1051" s="13" t="str">
        <x:v>2025-05-20</x:v>
      </x:c>
      <x:c r="B1051" s="13" t="n">
        <x:v>0</x:v>
      </x:c>
      <x:c r="C1051" s="13" t="n">
        <x:v>0</x:v>
      </x:c>
      <x:c r="D1051" s="16" t="n">
        <x:v>0</x:v>
      </x:c>
      <x:c r="E1051" s="16" t="n">
        <x:v>0</x:v>
      </x:c>
      <x:c r="F1051" s="16" t="n">
        <x:v>0</x:v>
      </x:c>
      <x:c r="G1051" s="16" t="n">
        <x:v>0</x:v>
      </x:c>
      <x:c r="H1051" s="16" t="n">
        <x:v>0</x:v>
      </x:c>
      <x:c r="I1051" s="16" t="n">
        <x:v>1096867.6705515897</x:v>
      </x:c>
      <x:c r="J1051" s="16" t="n">
        <x:v>1099470.183738536</x:v>
      </x:c>
      <x:c r="K1051" s="16" t="n">
        <x:v>-2602.5131869465117</x:v>
      </x:c>
      <x:c r="L1051" s="18" t="n">
        <x:v>-0.0023670611767725</x:v>
      </x:c>
      <x:c r="M1051" s="18" t="n">
        <x:v>0</x:v>
      </x:c>
      <x:c r="O1051" t="str">
        <x:v>2025-05-20</x:v>
      </x:c>
      <x:c r="P1051" t="n">
        <x:v>1096867.6705515897</x:v>
      </x:c>
    </x:row>
    <x:row r="1052" ht="15" hidden="0" customHeight="1">
      <x:c r="A1052" s="13" t="str">
        <x:v>2025-05-21</x:v>
      </x:c>
      <x:c r="B1052" s="13" t="n">
        <x:v>0</x:v>
      </x:c>
      <x:c r="C1052" s="13" t="n">
        <x:v>0</x:v>
      </x:c>
      <x:c r="D1052" s="16" t="n">
        <x:v>0</x:v>
      </x:c>
      <x:c r="E1052" s="16" t="n">
        <x:v>0</x:v>
      </x:c>
      <x:c r="F1052" s="16" t="n">
        <x:v>0</x:v>
      </x:c>
      <x:c r="G1052" s="16" t="n">
        <x:v>0</x:v>
      </x:c>
      <x:c r="H1052" s="16" t="n">
        <x:v>0</x:v>
      </x:c>
      <x:c r="I1052" s="16" t="n">
        <x:v>1096867.6705515897</x:v>
      </x:c>
      <x:c r="J1052" s="16" t="n">
        <x:v>1099470.183738536</x:v>
      </x:c>
      <x:c r="K1052" s="16" t="n">
        <x:v>-2602.5131869465117</x:v>
      </x:c>
      <x:c r="L1052" s="18" t="n">
        <x:v>-0.0023670611767725</x:v>
      </x:c>
      <x:c r="M1052" s="18" t="n">
        <x:v>0</x:v>
      </x:c>
      <x:c r="O1052" t="str">
        <x:v>2025-05-21</x:v>
      </x:c>
      <x:c r="P1052" t="n">
        <x:v>1096867.6705515897</x:v>
      </x:c>
    </x:row>
    <x:row r="1053" ht="15" hidden="0" customHeight="1">
      <x:c r="A1053" s="13" t="str">
        <x:v>2025-05-22</x:v>
      </x:c>
      <x:c r="B1053" s="13" t="n">
        <x:v>1</x:v>
      </x:c>
      <x:c r="C1053" s="13" t="n">
        <x:v>4</x:v>
      </x:c>
      <x:c r="D1053" s="16" t="n">
        <x:v>2774.9999999999995</x:v>
      </x:c>
      <x:c r="E1053" s="16" t="n">
        <x:v>413.4757845145111</x:v>
      </x:c>
      <x:c r="F1053" s="16" t="n">
        <x:v>2361.5242154854886</x:v>
      </x:c>
      <x:c r="G1053" s="16" t="n">
        <x:v>46690.5275702458</x:v>
      </x:c>
      <x:c r="H1053" s="16" t="n">
        <x:v>344678.21724609524</x:v>
      </x:c>
      <x:c r="I1053" s="16" t="n">
        <x:v>1099229.194767075</x:v>
      </x:c>
      <x:c r="J1053" s="16" t="n">
        <x:v>1099470.183738536</x:v>
      </x:c>
      <x:c r="K1053" s="16" t="n">
        <x:v>-240.9889714610763</x:v>
      </x:c>
      <x:c r="L1053" s="18" t="n">
        <x:v>-0.0002191864545536</x:v>
      </x:c>
      <x:c r="M1053" s="18" t="n">
        <x:v>0.0021529709361365</x:v>
      </x:c>
      <x:c r="O1053" t="str">
        <x:v>2025-05-22</x:v>
      </x:c>
      <x:c r="P1053" t="n">
        <x:v>1099229.194767075</x:v>
      </x:c>
    </x:row>
    <x:row r="1054" ht="15" hidden="0" customHeight="1">
      <x:c r="A1054" s="13" t="str">
        <x:v>2025-05-23</x:v>
      </x:c>
      <x:c r="B1054" s="13" t="n">
        <x:v>0</x:v>
      </x:c>
      <x:c r="C1054" s="13" t="n">
        <x:v>0</x:v>
      </x:c>
      <x:c r="D1054" s="16" t="n">
        <x:v>0</x:v>
      </x:c>
      <x:c r="E1054" s="16" t="n">
        <x:v>0</x:v>
      </x:c>
      <x:c r="F1054" s="16" t="n">
        <x:v>0</x:v>
      </x:c>
      <x:c r="G1054" s="16" t="n">
        <x:v>0</x:v>
      </x:c>
      <x:c r="H1054" s="16" t="n">
        <x:v>0</x:v>
      </x:c>
      <x:c r="I1054" s="16" t="n">
        <x:v>1099229.194767075</x:v>
      </x:c>
      <x:c r="J1054" s="16" t="n">
        <x:v>1099470.183738536</x:v>
      </x:c>
      <x:c r="K1054" s="16" t="n">
        <x:v>-240.9889714610763</x:v>
      </x:c>
      <x:c r="L1054" s="18" t="n">
        <x:v>-0.0002191864545536</x:v>
      </x:c>
      <x:c r="M1054" s="18" t="n">
        <x:v>0</x:v>
      </x:c>
      <x:c r="O1054" t="str">
        <x:v>2025-05-23</x:v>
      </x:c>
      <x:c r="P1054" t="n">
        <x:v>1099229.194767075</x:v>
      </x:c>
    </x:row>
    <x:row r="1055" ht="15" hidden="0" customHeight="1">
      <x:c r="A1055" s="13" t="str">
        <x:v>2025-05-26</x:v>
      </x:c>
      <x:c r="B1055" s="13" t="n">
        <x:v>0</x:v>
      </x:c>
      <x:c r="C1055" s="13" t="n">
        <x:v>0</x:v>
      </x:c>
      <x:c r="D1055" s="16" t="n">
        <x:v>0</x:v>
      </x:c>
      <x:c r="E1055" s="16" t="n">
        <x:v>0</x:v>
      </x:c>
      <x:c r="F1055" s="16" t="n">
        <x:v>0</x:v>
      </x:c>
      <x:c r="G1055" s="16" t="n">
        <x:v>0</x:v>
      </x:c>
      <x:c r="H1055" s="16" t="n">
        <x:v>0</x:v>
      </x:c>
      <x:c r="I1055" s="16" t="n">
        <x:v>1099229.194767075</x:v>
      </x:c>
      <x:c r="J1055" s="16" t="n">
        <x:v>1099470.183738536</x:v>
      </x:c>
      <x:c r="K1055" s="16" t="n">
        <x:v>-240.9889714610763</x:v>
      </x:c>
      <x:c r="L1055" s="18" t="n">
        <x:v>-0.0002191864545536</x:v>
      </x:c>
      <x:c r="M1055" s="18" t="n">
        <x:v>0</x:v>
      </x:c>
      <x:c r="O1055" t="str">
        <x:v>2025-05-26</x:v>
      </x:c>
      <x:c r="P1055" t="n">
        <x:v>1099229.194767075</x:v>
      </x:c>
    </x:row>
    <x:row r="1056" ht="15" hidden="0" customHeight="1">
      <x:c r="A1056" s="13" t="str">
        <x:v>2025-05-27</x:v>
      </x:c>
      <x:c r="B1056" s="13" t="n">
        <x:v>0</x:v>
      </x:c>
      <x:c r="C1056" s="13" t="n">
        <x:v>0</x:v>
      </x:c>
      <x:c r="D1056" s="16" t="n">
        <x:v>0</x:v>
      </x:c>
      <x:c r="E1056" s="16" t="n">
        <x:v>0</x:v>
      </x:c>
      <x:c r="F1056" s="16" t="n">
        <x:v>0</x:v>
      </x:c>
      <x:c r="G1056" s="16" t="n">
        <x:v>0</x:v>
      </x:c>
      <x:c r="H1056" s="16" t="n">
        <x:v>0</x:v>
      </x:c>
      <x:c r="I1056" s="16" t="n">
        <x:v>1099229.194767075</x:v>
      </x:c>
      <x:c r="J1056" s="16" t="n">
        <x:v>1099470.183738536</x:v>
      </x:c>
      <x:c r="K1056" s="16" t="n">
        <x:v>-240.9889714610763</x:v>
      </x:c>
      <x:c r="L1056" s="18" t="n">
        <x:v>-0.0002191864545536</x:v>
      </x:c>
      <x:c r="M1056" s="18" t="n">
        <x:v>0</x:v>
      </x:c>
      <x:c r="O1056" t="str">
        <x:v>2025-05-27</x:v>
      </x:c>
      <x:c r="P1056" t="n">
        <x:v>1099229.194767075</x:v>
      </x:c>
    </x:row>
    <x:row r="1057" ht="15" hidden="0" customHeight="1">
      <x:c r="A1057" s="13" t="str">
        <x:v>2025-05-28</x:v>
      </x:c>
      <x:c r="B1057" s="13" t="n">
        <x:v>0</x:v>
      </x:c>
      <x:c r="C1057" s="13" t="n">
        <x:v>0</x:v>
      </x:c>
      <x:c r="D1057" s="16" t="n">
        <x:v>0</x:v>
      </x:c>
      <x:c r="E1057" s="16" t="n">
        <x:v>0</x:v>
      </x:c>
      <x:c r="F1057" s="16" t="n">
        <x:v>0</x:v>
      </x:c>
      <x:c r="G1057" s="16" t="n">
        <x:v>0</x:v>
      </x:c>
      <x:c r="H1057" s="16" t="n">
        <x:v>0</x:v>
      </x:c>
      <x:c r="I1057" s="16" t="n">
        <x:v>1099229.194767075</x:v>
      </x:c>
      <x:c r="J1057" s="16" t="n">
        <x:v>1099470.183738536</x:v>
      </x:c>
      <x:c r="K1057" s="16" t="n">
        <x:v>-240.9889714610763</x:v>
      </x:c>
      <x:c r="L1057" s="18" t="n">
        <x:v>-0.0002191864545536</x:v>
      </x:c>
      <x:c r="M1057" s="18" t="n">
        <x:v>0</x:v>
      </x:c>
      <x:c r="O1057" t="str">
        <x:v>2025-05-28</x:v>
      </x:c>
      <x:c r="P1057" t="n">
        <x:v>1099229.194767075</x:v>
      </x:c>
    </x:row>
    <x:row r="1058" ht="15" hidden="0" customHeight="1">
      <x:c r="A1058" s="13" t="str">
        <x:v>2025-05-29</x:v>
      </x:c>
      <x:c r="B1058" s="13" t="n">
        <x:v>0</x:v>
      </x:c>
      <x:c r="C1058" s="13" t="n">
        <x:v>0</x:v>
      </x:c>
      <x:c r="D1058" s="16" t="n">
        <x:v>0</x:v>
      </x:c>
      <x:c r="E1058" s="16" t="n">
        <x:v>0</x:v>
      </x:c>
      <x:c r="F1058" s="16" t="n">
        <x:v>0</x:v>
      </x:c>
      <x:c r="G1058" s="16" t="n">
        <x:v>0</x:v>
      </x:c>
      <x:c r="H1058" s="16" t="n">
        <x:v>0</x:v>
      </x:c>
      <x:c r="I1058" s="16" t="n">
        <x:v>1099229.194767075</x:v>
      </x:c>
      <x:c r="J1058" s="16" t="n">
        <x:v>1099470.183738536</x:v>
      </x:c>
      <x:c r="K1058" s="16" t="n">
        <x:v>-240.9889714610763</x:v>
      </x:c>
      <x:c r="L1058" s="18" t="n">
        <x:v>-0.0002191864545536</x:v>
      </x:c>
      <x:c r="M1058" s="18" t="n">
        <x:v>0</x:v>
      </x:c>
      <x:c r="O1058" t="str">
        <x:v>2025-05-29</x:v>
      </x:c>
      <x:c r="P1058" t="n">
        <x:v>1099229.194767075</x:v>
      </x:c>
    </x:row>
    <x:row r="1059" ht="15" hidden="0" customHeight="1">
      <x:c r="A1059" s="13" t="str">
        <x:v>2025-05-30</x:v>
      </x:c>
      <x:c r="B1059" s="13" t="n">
        <x:v>0</x:v>
      </x:c>
      <x:c r="C1059" s="13" t="n">
        <x:v>0</x:v>
      </x:c>
      <x:c r="D1059" s="16" t="n">
        <x:v>0</x:v>
      </x:c>
      <x:c r="E1059" s="16" t="n">
        <x:v>0</x:v>
      </x:c>
      <x:c r="F1059" s="16" t="n">
        <x:v>0</x:v>
      </x:c>
      <x:c r="G1059" s="16" t="n">
        <x:v>0</x:v>
      </x:c>
      <x:c r="H1059" s="16" t="n">
        <x:v>0</x:v>
      </x:c>
      <x:c r="I1059" s="16" t="n">
        <x:v>1099229.194767075</x:v>
      </x:c>
      <x:c r="J1059" s="16" t="n">
        <x:v>1099470.183738536</x:v>
      </x:c>
      <x:c r="K1059" s="16" t="n">
        <x:v>-240.9889714610763</x:v>
      </x:c>
      <x:c r="L1059" s="18" t="n">
        <x:v>-0.0002191864545536</x:v>
      </x:c>
      <x:c r="M1059" s="18" t="n">
        <x:v>0</x:v>
      </x:c>
      <x:c r="O1059" t="str">
        <x:v>2025-05-30</x:v>
      </x:c>
      <x:c r="P1059" t="n">
        <x:v>1099229.194767075</x:v>
      </x:c>
    </x:row>
    <x:row r="1060" ht="15" hidden="0" customHeight="1">
      <x:c r="A1060" s="13" t="str">
        <x:v>2025-06-02</x:v>
      </x:c>
      <x:c r="B1060" s="13" t="n">
        <x:v>0</x:v>
      </x:c>
      <x:c r="C1060" s="13" t="n">
        <x:v>0</x:v>
      </x:c>
      <x:c r="D1060" s="16" t="n">
        <x:v>0</x:v>
      </x:c>
      <x:c r="E1060" s="16" t="n">
        <x:v>0</x:v>
      </x:c>
      <x:c r="F1060" s="16" t="n">
        <x:v>0</x:v>
      </x:c>
      <x:c r="G1060" s="16" t="n">
        <x:v>0</x:v>
      </x:c>
      <x:c r="H1060" s="16" t="n">
        <x:v>0</x:v>
      </x:c>
      <x:c r="I1060" s="16" t="n">
        <x:v>1099229.194767075</x:v>
      </x:c>
      <x:c r="J1060" s="16" t="n">
        <x:v>1099470.183738536</x:v>
      </x:c>
      <x:c r="K1060" s="16" t="n">
        <x:v>-240.9889714610763</x:v>
      </x:c>
      <x:c r="L1060" s="18" t="n">
        <x:v>-0.0002191864545536</x:v>
      </x:c>
      <x:c r="M1060" s="18" t="n">
        <x:v>0</x:v>
      </x:c>
      <x:c r="O1060" t="str">
        <x:v>2025-06-02</x:v>
      </x:c>
      <x:c r="P1060" t="n">
        <x:v>1099229.194767075</x:v>
      </x:c>
    </x:row>
    <x:row r="1061" ht="15" hidden="0" customHeight="1">
      <x:c r="A1061" s="13" t="str">
        <x:v>2025-06-03</x:v>
      </x:c>
      <x:c r="B1061" s="13" t="n">
        <x:v>0</x:v>
      </x:c>
      <x:c r="C1061" s="13" t="n">
        <x:v>0</x:v>
      </x:c>
      <x:c r="D1061" s="16" t="n">
        <x:v>0</x:v>
      </x:c>
      <x:c r="E1061" s="16" t="n">
        <x:v>0</x:v>
      </x:c>
      <x:c r="F1061" s="16" t="n">
        <x:v>0</x:v>
      </x:c>
      <x:c r="G1061" s="16" t="n">
        <x:v>0</x:v>
      </x:c>
      <x:c r="H1061" s="16" t="n">
        <x:v>0</x:v>
      </x:c>
      <x:c r="I1061" s="16" t="n">
        <x:v>1099229.194767075</x:v>
      </x:c>
      <x:c r="J1061" s="16" t="n">
        <x:v>1099470.183738536</x:v>
      </x:c>
      <x:c r="K1061" s="16" t="n">
        <x:v>-240.9889714610763</x:v>
      </x:c>
      <x:c r="L1061" s="18" t="n">
        <x:v>-0.0002191864545536</x:v>
      </x:c>
      <x:c r="M1061" s="18" t="n">
        <x:v>0</x:v>
      </x:c>
      <x:c r="O1061" t="str">
        <x:v>2025-06-03</x:v>
      </x:c>
      <x:c r="P1061" t="n">
        <x:v>1099229.194767075</x:v>
      </x:c>
    </x:row>
    <x:row r="1062" ht="15" hidden="0" customHeight="1">
      <x:c r="A1062" s="13" t="str">
        <x:v>2025-06-04</x:v>
      </x:c>
      <x:c r="B1062" s="13" t="n">
        <x:v>0</x:v>
      </x:c>
      <x:c r="C1062" s="13" t="n">
        <x:v>0</x:v>
      </x:c>
      <x:c r="D1062" s="16" t="n">
        <x:v>0</x:v>
      </x:c>
      <x:c r="E1062" s="16" t="n">
        <x:v>0</x:v>
      </x:c>
      <x:c r="F1062" s="16" t="n">
        <x:v>0</x:v>
      </x:c>
      <x:c r="G1062" s="16" t="n">
        <x:v>0</x:v>
      </x:c>
      <x:c r="H1062" s="16" t="n">
        <x:v>0</x:v>
      </x:c>
      <x:c r="I1062" s="16" t="n">
        <x:v>1099229.194767075</x:v>
      </x:c>
      <x:c r="J1062" s="16" t="n">
        <x:v>1099470.183738536</x:v>
      </x:c>
      <x:c r="K1062" s="16" t="n">
        <x:v>-240.9889714610763</x:v>
      </x:c>
      <x:c r="L1062" s="18" t="n">
        <x:v>-0.0002191864545536</x:v>
      </x:c>
      <x:c r="M1062" s="18" t="n">
        <x:v>0</x:v>
      </x:c>
      <x:c r="O1062" t="str">
        <x:v>2025-06-04</x:v>
      </x:c>
      <x:c r="P1062" t="n">
        <x:v>1099229.194767075</x:v>
      </x:c>
    </x:row>
    <x:row r="1063" ht="15" hidden="0" customHeight="1">
      <x:c r="A1063" s="13" t="str">
        <x:v>2025-06-05</x:v>
      </x:c>
      <x:c r="B1063" s="13" t="n">
        <x:v>1</x:v>
      </x:c>
      <x:c r="C1063" s="13" t="n">
        <x:v>4</x:v>
      </x:c>
      <x:c r="D1063" s="16" t="n">
        <x:v>555.0000000000007</x:v>
      </x:c>
      <x:c r="E1063" s="16" t="n">
        <x:v>406.6935373885034</x:v>
      </x:c>
      <x:c r="F1063" s="16" t="n">
        <x:v>148.3064626114973</x:v>
      </x:c>
      <x:c r="G1063" s="16" t="n">
        <x:v>58543.99366796685</x:v>
      </x:c>
      <x:c r="H1063" s="16" t="n">
        <x:v>345397.1227294119</x:v>
      </x:c>
      <x:c r="I1063" s="16" t="n">
        <x:v>1099377.5012296864</x:v>
      </x:c>
      <x:c r="J1063" s="16" t="n">
        <x:v>1099470.183738536</x:v>
      </x:c>
      <x:c r="K1063" s="16" t="n">
        <x:v>-92.68250884953886</x:v>
      </x:c>
      <x:c r="L1063" s="18" t="n">
        <x:v>-0.00008429742817983588</x:v>
      </x:c>
      <x:c r="M1063" s="18" t="n">
        <x:v>0.0001349185987031</x:v>
      </x:c>
      <x:c r="O1063" t="str">
        <x:v>2025-06-05</x:v>
      </x:c>
      <x:c r="P1063" t="n">
        <x:v>1099377.5012296864</x:v>
      </x:c>
    </x:row>
    <x:row r="1064" ht="15" hidden="0" customHeight="1">
      <x:c r="A1064" s="13" t="str">
        <x:v>2025-06-06</x:v>
      </x:c>
      <x:c r="B1064" s="13" t="n">
        <x:v>0</x:v>
      </x:c>
      <x:c r="C1064" s="13" t="n">
        <x:v>0</x:v>
      </x:c>
      <x:c r="D1064" s="16" t="n">
        <x:v>0</x:v>
      </x:c>
      <x:c r="E1064" s="16" t="n">
        <x:v>0</x:v>
      </x:c>
      <x:c r="F1064" s="16" t="n">
        <x:v>0</x:v>
      </x:c>
      <x:c r="G1064" s="16" t="n">
        <x:v>0</x:v>
      </x:c>
      <x:c r="H1064" s="16" t="n">
        <x:v>0</x:v>
      </x:c>
      <x:c r="I1064" s="16" t="n">
        <x:v>1099377.5012296864</x:v>
      </x:c>
      <x:c r="J1064" s="16" t="n">
        <x:v>1099470.183738536</x:v>
      </x:c>
      <x:c r="K1064" s="16" t="n">
        <x:v>-92.68250884953886</x:v>
      </x:c>
      <x:c r="L1064" s="18" t="n">
        <x:v>-0.00008429742817983588</x:v>
      </x:c>
      <x:c r="M1064" s="18" t="n">
        <x:v>0</x:v>
      </x:c>
      <x:c r="O1064" t="str">
        <x:v>2025-06-06</x:v>
      </x:c>
      <x:c r="P1064" t="n">
        <x:v>1099377.5012296864</x:v>
      </x:c>
    </x:row>
    <x:row r="1065" ht="15" hidden="0" customHeight="1">
      <x:c r="A1065" s="13" t="str">
        <x:v>2025-06-09</x:v>
      </x:c>
      <x:c r="B1065" s="13" t="n">
        <x:v>0</x:v>
      </x:c>
      <x:c r="C1065" s="13" t="n">
        <x:v>0</x:v>
      </x:c>
      <x:c r="D1065" s="16" t="n">
        <x:v>0</x:v>
      </x:c>
      <x:c r="E1065" s="16" t="n">
        <x:v>0</x:v>
      </x:c>
      <x:c r="F1065" s="16" t="n">
        <x:v>0</x:v>
      </x:c>
      <x:c r="G1065" s="16" t="n">
        <x:v>0</x:v>
      </x:c>
      <x:c r="H1065" s="16" t="n">
        <x:v>0</x:v>
      </x:c>
      <x:c r="I1065" s="16" t="n">
        <x:v>1099377.5012296864</x:v>
      </x:c>
      <x:c r="J1065" s="16" t="n">
        <x:v>1099470.183738536</x:v>
      </x:c>
      <x:c r="K1065" s="16" t="n">
        <x:v>-92.68250884953886</x:v>
      </x:c>
      <x:c r="L1065" s="18" t="n">
        <x:v>-0.00008429742817983588</x:v>
      </x:c>
      <x:c r="M1065" s="18" t="n">
        <x:v>0</x:v>
      </x:c>
      <x:c r="O1065" t="str">
        <x:v>2025-06-09</x:v>
      </x:c>
      <x:c r="P1065" t="n">
        <x:v>1099377.5012296864</x:v>
      </x:c>
    </x:row>
    <x:row r="1066" ht="15" hidden="0" customHeight="1">
      <x:c r="A1066" s="13" t="str">
        <x:v>2025-06-10</x:v>
      </x:c>
      <x:c r="B1066" s="13" t="n">
        <x:v>0</x:v>
      </x:c>
      <x:c r="C1066" s="13" t="n">
        <x:v>0</x:v>
      </x:c>
      <x:c r="D1066" s="16" t="n">
        <x:v>0</x:v>
      </x:c>
      <x:c r="E1066" s="16" t="n">
        <x:v>0</x:v>
      </x:c>
      <x:c r="F1066" s="16" t="n">
        <x:v>0</x:v>
      </x:c>
      <x:c r="G1066" s="16" t="n">
        <x:v>0</x:v>
      </x:c>
      <x:c r="H1066" s="16" t="n">
        <x:v>0</x:v>
      </x:c>
      <x:c r="I1066" s="16" t="n">
        <x:v>1099377.5012296864</x:v>
      </x:c>
      <x:c r="J1066" s="16" t="n">
        <x:v>1099470.183738536</x:v>
      </x:c>
      <x:c r="K1066" s="16" t="n">
        <x:v>-92.68250884953886</x:v>
      </x:c>
      <x:c r="L1066" s="18" t="n">
        <x:v>-0.00008429742817983588</x:v>
      </x:c>
      <x:c r="M1066" s="18" t="n">
        <x:v>0</x:v>
      </x:c>
      <x:c r="O1066" t="str">
        <x:v>2025-06-10</x:v>
      </x:c>
      <x:c r="P1066" t="n">
        <x:v>1099377.5012296864</x:v>
      </x:c>
    </x:row>
    <x:row r="1067" ht="15" hidden="0" customHeight="1">
      <x:c r="A1067" s="13" t="str">
        <x:v>2025-06-11</x:v>
      </x:c>
      <x:c r="B1067" s="13" t="n">
        <x:v>0</x:v>
      </x:c>
      <x:c r="C1067" s="13" t="n">
        <x:v>0</x:v>
      </x:c>
      <x:c r="D1067" s="16" t="n">
        <x:v>0</x:v>
      </x:c>
      <x:c r="E1067" s="16" t="n">
        <x:v>0</x:v>
      </x:c>
      <x:c r="F1067" s="16" t="n">
        <x:v>0</x:v>
      </x:c>
      <x:c r="G1067" s="16" t="n">
        <x:v>0</x:v>
      </x:c>
      <x:c r="H1067" s="16" t="n">
        <x:v>0</x:v>
      </x:c>
      <x:c r="I1067" s="16" t="n">
        <x:v>1099377.5012296864</x:v>
      </x:c>
      <x:c r="J1067" s="16" t="n">
        <x:v>1099470.183738536</x:v>
      </x:c>
      <x:c r="K1067" s="16" t="n">
        <x:v>-92.68250884953886</x:v>
      </x:c>
      <x:c r="L1067" s="18" t="n">
        <x:v>-0.00008429742817983588</x:v>
      </x:c>
      <x:c r="M1067" s="18" t="n">
        <x:v>0</x:v>
      </x:c>
      <x:c r="O1067" t="str">
        <x:v>2025-06-11</x:v>
      </x:c>
      <x:c r="P1067" t="n">
        <x:v>1099377.5012296864</x:v>
      </x:c>
    </x:row>
    <x:row r="1068" ht="15" hidden="0" customHeight="1">
      <x:c r="A1068" s="13" t="str">
        <x:v>2025-06-12</x:v>
      </x:c>
      <x:c r="B1068" s="13" t="n">
        <x:v>1</x:v>
      </x:c>
      <x:c r="C1068" s="13" t="n">
        <x:v>4</x:v>
      </x:c>
      <x:c r="D1068" s="16" t="n">
        <x:v>794.9999999999995</x:v>
      </x:c>
      <x:c r="E1068" s="16" t="n">
        <x:v>412.7012683489331</x:v>
      </x:c>
      <x:c r="F1068" s="16" t="n">
        <x:v>382.2987316510664</x:v>
      </x:c>
      <x:c r="G1068" s="16" t="n">
        <x:v>67423.1977128858</x:v>
      </x:c>
      <x:c r="H1068" s="16" t="n">
        <x:v>351639.42180888937</x:v>
      </x:c>
      <x:c r="I1068" s="16" t="n">
        <x:v>1099759.7999613376</x:v>
      </x:c>
      <x:c r="J1068" s="16" t="n">
        <x:v>1099759.7999613376</x:v>
      </x:c>
      <x:c r="K1068" s="16" t="n">
        <x:v>0</x:v>
      </x:c>
      <x:c r="L1068" s="18" t="n">
        <x:v>0</x:v>
      </x:c>
      <x:c r="M1068" s="18" t="n">
        <x:v>0.0003477410909569</x:v>
      </x:c>
      <x:c r="O1068" t="str">
        <x:v>2025-06-12</x:v>
      </x:c>
      <x:c r="P1068" t="n">
        <x:v>1099759.7999613376</x:v>
      </x:c>
    </x:row>
    <x:row r="1069" ht="15" hidden="0" customHeight="1">
      <x:c r="A1069" s="13" t="str">
        <x:v>2025-06-13</x:v>
      </x:c>
      <x:c r="B1069" s="13" t="n">
        <x:v>0</x:v>
      </x:c>
      <x:c r="C1069" s="13" t="n">
        <x:v>0</x:v>
      </x:c>
      <x:c r="D1069" s="16" t="n">
        <x:v>0</x:v>
      </x:c>
      <x:c r="E1069" s="16" t="n">
        <x:v>0</x:v>
      </x:c>
      <x:c r="F1069" s="16" t="n">
        <x:v>0</x:v>
      </x:c>
      <x:c r="G1069" s="16" t="n">
        <x:v>0</x:v>
      </x:c>
      <x:c r="H1069" s="16" t="n">
        <x:v>0</x:v>
      </x:c>
      <x:c r="I1069" s="16" t="n">
        <x:v>1099759.7999613376</x:v>
      </x:c>
      <x:c r="J1069" s="16" t="n">
        <x:v>1099759.7999613376</x:v>
      </x:c>
      <x:c r="K1069" s="16" t="n">
        <x:v>0</x:v>
      </x:c>
      <x:c r="L1069" s="18" t="n">
        <x:v>0</x:v>
      </x:c>
      <x:c r="M1069" s="18" t="n">
        <x:v>0</x:v>
      </x:c>
      <x:c r="O1069" t="str">
        <x:v>2025-06-13</x:v>
      </x:c>
      <x:c r="P1069" t="n">
        <x:v>1099759.7999613376</x:v>
      </x:c>
    </x:row>
    <x:row r="1070" ht="15" hidden="0" customHeight="1">
      <x:c r="A1070" s="13" t="str">
        <x:v>2025-06-16</x:v>
      </x:c>
      <x:c r="B1070" s="13" t="n">
        <x:v>0</x:v>
      </x:c>
      <x:c r="C1070" s="13" t="n">
        <x:v>0</x:v>
      </x:c>
      <x:c r="D1070" s="16" t="n">
        <x:v>0</x:v>
      </x:c>
      <x:c r="E1070" s="16" t="n">
        <x:v>0</x:v>
      </x:c>
      <x:c r="F1070" s="16" t="n">
        <x:v>0</x:v>
      </x:c>
      <x:c r="G1070" s="16" t="n">
        <x:v>0</x:v>
      </x:c>
      <x:c r="H1070" s="16" t="n">
        <x:v>0</x:v>
      </x:c>
      <x:c r="I1070" s="16" t="n">
        <x:v>1099759.7999613376</x:v>
      </x:c>
      <x:c r="J1070" s="16" t="n">
        <x:v>1099759.7999613376</x:v>
      </x:c>
      <x:c r="K1070" s="16" t="n">
        <x:v>0</x:v>
      </x:c>
      <x:c r="L1070" s="18" t="n">
        <x:v>0</x:v>
      </x:c>
      <x:c r="M1070" s="18" t="n">
        <x:v>0</x:v>
      </x:c>
      <x:c r="O1070" t="str">
        <x:v>2025-06-16</x:v>
      </x:c>
      <x:c r="P1070" t="n">
        <x:v>1099759.7999613376</x:v>
      </x:c>
    </x:row>
    <x:row r="1071" ht="15" hidden="0" customHeight="1">
      <x:c r="A1071" s="13" t="str">
        <x:v>2025-06-17</x:v>
      </x:c>
      <x:c r="B1071" s="13" t="n">
        <x:v>0</x:v>
      </x:c>
      <x:c r="C1071" s="13" t="n">
        <x:v>0</x:v>
      </x:c>
      <x:c r="D1071" s="16" t="n">
        <x:v>0</x:v>
      </x:c>
      <x:c r="E1071" s="16" t="n">
        <x:v>0</x:v>
      </x:c>
      <x:c r="F1071" s="16" t="n">
        <x:v>0</x:v>
      </x:c>
      <x:c r="G1071" s="16" t="n">
        <x:v>0</x:v>
      </x:c>
      <x:c r="H1071" s="16" t="n">
        <x:v>0</x:v>
      </x:c>
      <x:c r="I1071" s="16" t="n">
        <x:v>1099759.7999613376</x:v>
      </x:c>
      <x:c r="J1071" s="16" t="n">
        <x:v>1099759.7999613376</x:v>
      </x:c>
      <x:c r="K1071" s="16" t="n">
        <x:v>0</x:v>
      </x:c>
      <x:c r="L1071" s="18" t="n">
        <x:v>0</x:v>
      </x:c>
      <x:c r="M1071" s="18" t="n">
        <x:v>0</x:v>
      </x:c>
      <x:c r="O1071" t="str">
        <x:v>2025-06-17</x:v>
      </x:c>
      <x:c r="P1071" t="n">
        <x:v>1099759.7999613376</x:v>
      </x:c>
    </x:row>
    <x:row r="1072" ht="15" hidden="0" customHeight="1">
      <x:c r="A1072" s="13" t="str">
        <x:v>2025-06-18</x:v>
      </x:c>
      <x:c r="B1072" s="13" t="n">
        <x:v>0</x:v>
      </x:c>
      <x:c r="C1072" s="13" t="n">
        <x:v>0</x:v>
      </x:c>
      <x:c r="D1072" s="16" t="n">
        <x:v>0</x:v>
      </x:c>
      <x:c r="E1072" s="16" t="n">
        <x:v>0</x:v>
      </x:c>
      <x:c r="F1072" s="16" t="n">
        <x:v>0</x:v>
      </x:c>
      <x:c r="G1072" s="16" t="n">
        <x:v>0</x:v>
      </x:c>
      <x:c r="H1072" s="16" t="n">
        <x:v>0</x:v>
      </x:c>
      <x:c r="I1072" s="16" t="n">
        <x:v>1099759.7999613376</x:v>
      </x:c>
      <x:c r="J1072" s="16" t="n">
        <x:v>1099759.7999613376</x:v>
      </x:c>
      <x:c r="K1072" s="16" t="n">
        <x:v>0</x:v>
      </x:c>
      <x:c r="L1072" s="18" t="n">
        <x:v>0</x:v>
      </x:c>
      <x:c r="M1072" s="18" t="n">
        <x:v>0</x:v>
      </x:c>
      <x:c r="O1072" t="str">
        <x:v>2025-06-18</x:v>
      </x:c>
      <x:c r="P1072" t="n">
        <x:v>1099759.7999613376</x:v>
      </x:c>
    </x:row>
    <x:row r="1073" ht="15" hidden="0" customHeight="1">
      <x:c r="A1073" s="13" t="str">
        <x:v>2025-06-19</x:v>
      </x:c>
      <x:c r="B1073" s="13" t="n">
        <x:v>0</x:v>
      </x:c>
      <x:c r="C1073" s="13" t="n">
        <x:v>0</x:v>
      </x:c>
      <x:c r="D1073" s="16" t="n">
        <x:v>0</x:v>
      </x:c>
      <x:c r="E1073" s="16" t="n">
        <x:v>0</x:v>
      </x:c>
      <x:c r="F1073" s="16" t="n">
        <x:v>0</x:v>
      </x:c>
      <x:c r="G1073" s="16" t="n">
        <x:v>0</x:v>
      </x:c>
      <x:c r="H1073" s="16" t="n">
        <x:v>0</x:v>
      </x:c>
      <x:c r="I1073" s="16" t="n">
        <x:v>1099759.7999613376</x:v>
      </x:c>
      <x:c r="J1073" s="16" t="n">
        <x:v>1099759.7999613376</x:v>
      </x:c>
      <x:c r="K1073" s="16" t="n">
        <x:v>0</x:v>
      </x:c>
      <x:c r="L1073" s="18" t="n">
        <x:v>0</x:v>
      </x:c>
      <x:c r="M1073" s="18" t="n">
        <x:v>0</x:v>
      </x:c>
      <x:c r="O1073" t="str">
        <x:v>2025-06-19</x:v>
      </x:c>
      <x:c r="P1073" t="n">
        <x:v>1099759.7999613376</x:v>
      </x:c>
    </x:row>
    <x:row r="1074" ht="15" hidden="0" customHeight="1">
      <x:c r="A1074" s="13" t="str">
        <x:v>2025-06-20</x:v>
      </x:c>
      <x:c r="B1074" s="13" t="n">
        <x:v>0</x:v>
      </x:c>
      <x:c r="C1074" s="13" t="n">
        <x:v>0</x:v>
      </x:c>
      <x:c r="D1074" s="16" t="n">
        <x:v>0</x:v>
      </x:c>
      <x:c r="E1074" s="16" t="n">
        <x:v>0</x:v>
      </x:c>
      <x:c r="F1074" s="16" t="n">
        <x:v>0</x:v>
      </x:c>
      <x:c r="G1074" s="16" t="n">
        <x:v>0</x:v>
      </x:c>
      <x:c r="H1074" s="16" t="n">
        <x:v>0</x:v>
      </x:c>
      <x:c r="I1074" s="16" t="n">
        <x:v>1099759.7999613376</x:v>
      </x:c>
      <x:c r="J1074" s="16" t="n">
        <x:v>1099759.7999613376</x:v>
      </x:c>
      <x:c r="K1074" s="16" t="n">
        <x:v>0</x:v>
      </x:c>
      <x:c r="L1074" s="18" t="n">
        <x:v>0</x:v>
      </x:c>
      <x:c r="M1074" s="18" t="n">
        <x:v>0</x:v>
      </x:c>
      <x:c r="O1074" t="str">
        <x:v>2025-06-20</x:v>
      </x:c>
      <x:c r="P1074" t="n">
        <x:v>1099759.7999613376</x:v>
      </x:c>
    </x:row>
    <x:row r="1075" ht="15" hidden="0" customHeight="1">
      <x:c r="A1075" s="13" t="str">
        <x:v>2025-06-23</x:v>
      </x:c>
      <x:c r="B1075" s="13" t="n">
        <x:v>0</x:v>
      </x:c>
      <x:c r="C1075" s="13" t="n">
        <x:v>0</x:v>
      </x:c>
      <x:c r="D1075" s="16" t="n">
        <x:v>0</x:v>
      </x:c>
      <x:c r="E1075" s="16" t="n">
        <x:v>0</x:v>
      </x:c>
      <x:c r="F1075" s="16" t="n">
        <x:v>0</x:v>
      </x:c>
      <x:c r="G1075" s="16" t="n">
        <x:v>0</x:v>
      </x:c>
      <x:c r="H1075" s="16" t="n">
        <x:v>0</x:v>
      </x:c>
      <x:c r="I1075" s="16" t="n">
        <x:v>1099759.7999613376</x:v>
      </x:c>
      <x:c r="J1075" s="16" t="n">
        <x:v>1099759.7999613376</x:v>
      </x:c>
      <x:c r="K1075" s="16" t="n">
        <x:v>0</x:v>
      </x:c>
      <x:c r="L1075" s="18" t="n">
        <x:v>0</x:v>
      </x:c>
      <x:c r="M1075" s="18" t="n">
        <x:v>0</x:v>
      </x:c>
      <x:c r="O1075" t="str">
        <x:v>2025-06-23</x:v>
      </x:c>
      <x:c r="P1075" t="n">
        <x:v>1099759.7999613376</x:v>
      </x:c>
    </x:row>
    <x:row r="1076" ht="15" hidden="0" customHeight="1">
      <x:c r="A1076" s="13" t="str">
        <x:v>2025-06-24</x:v>
      </x:c>
      <x:c r="B1076" s="13" t="n">
        <x:v>0</x:v>
      </x:c>
      <x:c r="C1076" s="13" t="n">
        <x:v>0</x:v>
      </x:c>
      <x:c r="D1076" s="16" t="n">
        <x:v>0</x:v>
      </x:c>
      <x:c r="E1076" s="16" t="n">
        <x:v>0</x:v>
      </x:c>
      <x:c r="F1076" s="16" t="n">
        <x:v>0</x:v>
      </x:c>
      <x:c r="G1076" s="16" t="n">
        <x:v>0</x:v>
      </x:c>
      <x:c r="H1076" s="16" t="n">
        <x:v>0</x:v>
      </x:c>
      <x:c r="I1076" s="16" t="n">
        <x:v>1099759.7999613376</x:v>
      </x:c>
      <x:c r="J1076" s="16" t="n">
        <x:v>1099759.7999613376</x:v>
      </x:c>
      <x:c r="K1076" s="16" t="n">
        <x:v>0</x:v>
      </x:c>
      <x:c r="L1076" s="18" t="n">
        <x:v>0</x:v>
      </x:c>
      <x:c r="M1076" s="18" t="n">
        <x:v>0</x:v>
      </x:c>
      <x:c r="O1076" t="str">
        <x:v>2025-06-24</x:v>
      </x:c>
      <x:c r="P1076" t="n">
        <x:v>1099759.7999613376</x:v>
      </x:c>
    </x:row>
    <x:row r="1077" ht="15" hidden="0" customHeight="1">
      <x:c r="A1077" s="13" t="str">
        <x:v>2025-06-25</x:v>
      </x:c>
      <x:c r="B1077" s="13" t="n">
        <x:v>0</x:v>
      </x:c>
      <x:c r="C1077" s="13" t="n">
        <x:v>0</x:v>
      </x:c>
      <x:c r="D1077" s="16" t="n">
        <x:v>0</x:v>
      </x:c>
      <x:c r="E1077" s="16" t="n">
        <x:v>0</x:v>
      </x:c>
      <x:c r="F1077" s="16" t="n">
        <x:v>0</x:v>
      </x:c>
      <x:c r="G1077" s="16" t="n">
        <x:v>0</x:v>
      </x:c>
      <x:c r="H1077" s="16" t="n">
        <x:v>0</x:v>
      </x:c>
      <x:c r="I1077" s="16" t="n">
        <x:v>1099759.7999613376</x:v>
      </x:c>
      <x:c r="J1077" s="16" t="n">
        <x:v>1099759.7999613376</x:v>
      </x:c>
      <x:c r="K1077" s="16" t="n">
        <x:v>0</x:v>
      </x:c>
      <x:c r="L1077" s="18" t="n">
        <x:v>0</x:v>
      </x:c>
      <x:c r="M1077" s="18" t="n">
        <x:v>0</x:v>
      </x:c>
      <x:c r="O1077" t="str">
        <x:v>2025-06-25</x:v>
      </x:c>
      <x:c r="P1077" t="n">
        <x:v>1099759.7999613376</x:v>
      </x:c>
    </x:row>
    <x:row r="1078" ht="15" hidden="0" customHeight="1">
      <x:c r="A1078" s="13" t="str">
        <x:v>2025-06-26</x:v>
      </x:c>
      <x:c r="B1078" s="13" t="n">
        <x:v>0</x:v>
      </x:c>
      <x:c r="C1078" s="13" t="n">
        <x:v>0</x:v>
      </x:c>
      <x:c r="D1078" s="16" t="n">
        <x:v>0</x:v>
      </x:c>
      <x:c r="E1078" s="16" t="n">
        <x:v>0</x:v>
      </x:c>
      <x:c r="F1078" s="16" t="n">
        <x:v>0</x:v>
      </x:c>
      <x:c r="G1078" s="16" t="n">
        <x:v>0</x:v>
      </x:c>
      <x:c r="H1078" s="16" t="n">
        <x:v>0</x:v>
      </x:c>
      <x:c r="I1078" s="16" t="n">
        <x:v>1099759.7999613376</x:v>
      </x:c>
      <x:c r="J1078" s="16" t="n">
        <x:v>1099759.7999613376</x:v>
      </x:c>
      <x:c r="K1078" s="16" t="n">
        <x:v>0</x:v>
      </x:c>
      <x:c r="L1078" s="18" t="n">
        <x:v>0</x:v>
      </x:c>
      <x:c r="M1078" s="18" t="n">
        <x:v>0</x:v>
      </x:c>
      <x:c r="O1078" t="str">
        <x:v>2025-06-26</x:v>
      </x:c>
      <x:c r="P1078" t="n">
        <x:v>1099759.7999613376</x:v>
      </x:c>
    </x:row>
    <x:row r="1079" ht="15" hidden="0" customHeight="1">
      <x:c r="A1079" s="13" t="str">
        <x:v>2025-06-27</x:v>
      </x:c>
      <x:c r="B1079" s="13" t="n">
        <x:v>0</x:v>
      </x:c>
      <x:c r="C1079" s="13" t="n">
        <x:v>0</x:v>
      </x:c>
      <x:c r="D1079" s="16" t="n">
        <x:v>0</x:v>
      </x:c>
      <x:c r="E1079" s="16" t="n">
        <x:v>0</x:v>
      </x:c>
      <x:c r="F1079" s="16" t="n">
        <x:v>0</x:v>
      </x:c>
      <x:c r="G1079" s="16" t="n">
        <x:v>0</x:v>
      </x:c>
      <x:c r="H1079" s="16" t="n">
        <x:v>0</x:v>
      </x:c>
      <x:c r="I1079" s="16" t="n">
        <x:v>1099759.7999613376</x:v>
      </x:c>
      <x:c r="J1079" s="16" t="n">
        <x:v>1099759.7999613376</x:v>
      </x:c>
      <x:c r="K1079" s="16" t="n">
        <x:v>0</x:v>
      </x:c>
      <x:c r="L1079" s="18" t="n">
        <x:v>0</x:v>
      </x:c>
      <x:c r="M1079" s="18" t="n">
        <x:v>0</x:v>
      </x:c>
      <x:c r="O1079" t="str">
        <x:v>2025-06-27</x:v>
      </x:c>
      <x:c r="P1079" t="n">
        <x:v>1099759.7999613376</x:v>
      </x:c>
    </x:row>
    <x:row r="1080" ht="15" hidden="0" customHeight="1">
      <x:c r="A1080" s="13" t="str">
        <x:v>2025-06-30</x:v>
      </x:c>
      <x:c r="B1080" s="13" t="n">
        <x:v>0</x:v>
      </x:c>
      <x:c r="C1080" s="13" t="n">
        <x:v>0</x:v>
      </x:c>
      <x:c r="D1080" s="16" t="n">
        <x:v>0</x:v>
      </x:c>
      <x:c r="E1080" s="16" t="n">
        <x:v>0</x:v>
      </x:c>
      <x:c r="F1080" s="16" t="n">
        <x:v>0</x:v>
      </x:c>
      <x:c r="G1080" s="16" t="n">
        <x:v>0</x:v>
      </x:c>
      <x:c r="H1080" s="16" t="n">
        <x:v>0</x:v>
      </x:c>
      <x:c r="I1080" s="16" t="n">
        <x:v>1099759.7999613376</x:v>
      </x:c>
      <x:c r="J1080" s="16" t="n">
        <x:v>1099759.7999613376</x:v>
      </x:c>
      <x:c r="K1080" s="16" t="n">
        <x:v>0</x:v>
      </x:c>
      <x:c r="L1080" s="18" t="n">
        <x:v>0</x:v>
      </x:c>
      <x:c r="M1080" s="18" t="n">
        <x:v>0</x:v>
      </x:c>
      <x:c r="O1080" t="str">
        <x:v>2025-06-30</x:v>
      </x:c>
      <x:c r="P1080" t="n">
        <x:v>1099759.7999613376</x:v>
      </x:c>
    </x:row>
    <x:row r="1081" ht="15" hidden="0" customHeight="1">
      <x:c r="A1081" s="13" t="str">
        <x:v>2025-07-01</x:v>
      </x:c>
      <x:c r="B1081" s="13" t="n">
        <x:v>0</x:v>
      </x:c>
      <x:c r="C1081" s="13" t="n">
        <x:v>0</x:v>
      </x:c>
      <x:c r="D1081" s="16" t="n">
        <x:v>0</x:v>
      </x:c>
      <x:c r="E1081" s="16" t="n">
        <x:v>0</x:v>
      </x:c>
      <x:c r="F1081" s="16" t="n">
        <x:v>0</x:v>
      </x:c>
      <x:c r="G1081" s="16" t="n">
        <x:v>0</x:v>
      </x:c>
      <x:c r="H1081" s="16" t="n">
        <x:v>0</x:v>
      </x:c>
      <x:c r="I1081" s="16" t="n">
        <x:v>1099759.7999613376</x:v>
      </x:c>
      <x:c r="J1081" s="16" t="n">
        <x:v>1099759.7999613376</x:v>
      </x:c>
      <x:c r="K1081" s="16" t="n">
        <x:v>0</x:v>
      </x:c>
      <x:c r="L1081" s="18" t="n">
        <x:v>0</x:v>
      </x:c>
      <x:c r="M1081" s="18" t="n">
        <x:v>0</x:v>
      </x:c>
      <x:c r="O1081" t="str">
        <x:v>2025-07-01</x:v>
      </x:c>
      <x:c r="P1081" t="n">
        <x:v>1099759.7999613376</x:v>
      </x:c>
    </x:row>
    <x:row r="1082" ht="15" hidden="0" customHeight="1">
      <x:c r="A1082" s="13" t="str">
        <x:v>2025-07-02</x:v>
      </x:c>
      <x:c r="B1082" s="13" t="n">
        <x:v>0</x:v>
      </x:c>
      <x:c r="C1082" s="13" t="n">
        <x:v>0</x:v>
      </x:c>
      <x:c r="D1082" s="16" t="n">
        <x:v>0</x:v>
      </x:c>
      <x:c r="E1082" s="16" t="n">
        <x:v>0</x:v>
      </x:c>
      <x:c r="F1082" s="16" t="n">
        <x:v>0</x:v>
      </x:c>
      <x:c r="G1082" s="16" t="n">
        <x:v>0</x:v>
      </x:c>
      <x:c r="H1082" s="16" t="n">
        <x:v>0</x:v>
      </x:c>
      <x:c r="I1082" s="16" t="n">
        <x:v>1099759.7999613376</x:v>
      </x:c>
      <x:c r="J1082" s="16" t="n">
        <x:v>1099759.7999613376</x:v>
      </x:c>
      <x:c r="K1082" s="16" t="n">
        <x:v>0</x:v>
      </x:c>
      <x:c r="L1082" s="18" t="n">
        <x:v>0</x:v>
      </x:c>
      <x:c r="M1082" s="18" t="n">
        <x:v>0</x:v>
      </x:c>
      <x:c r="O1082" t="str">
        <x:v>2025-07-02</x:v>
      </x:c>
      <x:c r="P1082" t="n">
        <x:v>1099759.7999613376</x:v>
      </x:c>
    </x:row>
    <x:row r="1083" ht="15" hidden="0" customHeight="1">
      <x:c r="A1083" s="13" t="str">
        <x:v>2025-07-03</x:v>
      </x:c>
      <x:c r="B1083" s="13" t="n">
        <x:v>1</x:v>
      </x:c>
      <x:c r="C1083" s="13" t="n">
        <x:v>4</x:v>
      </x:c>
      <x:c r="D1083" s="16" t="n">
        <x:v>660.0000000000017</x:v>
      </x:c>
      <x:c r="E1083" s="16" t="n">
        <x:v>372.939149474671</x:v>
      </x:c>
      <x:c r="F1083" s="16" t="n">
        <x:v>287.0608505253307</x:v>
      </x:c>
      <x:c r="G1083" s="16" t="n">
        <x:v>47190.15890692811</x:v>
      </x:c>
      <x:c r="H1083" s="16" t="n">
        <x:v>353960.2969605618</x:v>
      </x:c>
      <x:c r="I1083" s="16" t="n">
        <x:v>1100046.8608118629</x:v>
      </x:c>
      <x:c r="J1083" s="16" t="n">
        <x:v>1100046.8608118629</x:v>
      </x:c>
      <x:c r="K1083" s="16" t="n">
        <x:v>0</x:v>
      </x:c>
      <x:c r="L1083" s="18" t="n">
        <x:v>0</x:v>
      </x:c>
      <x:c r="M1083" s="18" t="n">
        <x:v>0.0002610214071612</x:v>
      </x:c>
      <x:c r="O1083" t="str">
        <x:v>2025-07-03</x:v>
      </x:c>
      <x:c r="P1083" t="n">
        <x:v>1100046.8608118629</x:v>
      </x:c>
    </x:row>
    <x:row r="1084" ht="15" hidden="0" customHeight="1">
      <x:c r="A1084" s="13" t="str">
        <x:v>2025-07-04</x:v>
      </x:c>
      <x:c r="B1084" s="13" t="n">
        <x:v>0</x:v>
      </x:c>
      <x:c r="C1084" s="13" t="n">
        <x:v>0</x:v>
      </x:c>
      <x:c r="D1084" s="16" t="n">
        <x:v>0</x:v>
      </x:c>
      <x:c r="E1084" s="16" t="n">
        <x:v>0</x:v>
      </x:c>
      <x:c r="F1084" s="16" t="n">
        <x:v>0</x:v>
      </x:c>
      <x:c r="G1084" s="16" t="n">
        <x:v>0</x:v>
      </x:c>
      <x:c r="H1084" s="16" t="n">
        <x:v>0</x:v>
      </x:c>
      <x:c r="I1084" s="16" t="n">
        <x:v>1100046.8608118629</x:v>
      </x:c>
      <x:c r="J1084" s="16" t="n">
        <x:v>1100046.8608118629</x:v>
      </x:c>
      <x:c r="K1084" s="16" t="n">
        <x:v>0</x:v>
      </x:c>
      <x:c r="L1084" s="18" t="n">
        <x:v>0</x:v>
      </x:c>
      <x:c r="M1084" s="18" t="n">
        <x:v>0</x:v>
      </x:c>
      <x:c r="O1084" t="str">
        <x:v>2025-07-04</x:v>
      </x:c>
      <x:c r="P1084" t="n">
        <x:v>1100046.8608118629</x:v>
      </x:c>
    </x:row>
    <x:row r="1085" ht="15" hidden="0" customHeight="1">
      <x:c r="A1085" s="13" t="str">
        <x:v>2025-07-07</x:v>
      </x:c>
      <x:c r="B1085" s="13" t="n">
        <x:v>0</x:v>
      </x:c>
      <x:c r="C1085" s="13" t="n">
        <x:v>0</x:v>
      </x:c>
      <x:c r="D1085" s="16" t="n">
        <x:v>0</x:v>
      </x:c>
      <x:c r="E1085" s="16" t="n">
        <x:v>0</x:v>
      </x:c>
      <x:c r="F1085" s="16" t="n">
        <x:v>0</x:v>
      </x:c>
      <x:c r="G1085" s="16" t="n">
        <x:v>0</x:v>
      </x:c>
      <x:c r="H1085" s="16" t="n">
        <x:v>0</x:v>
      </x:c>
      <x:c r="I1085" s="16" t="n">
        <x:v>1100046.8608118629</x:v>
      </x:c>
      <x:c r="J1085" s="16" t="n">
        <x:v>1100046.8608118629</x:v>
      </x:c>
      <x:c r="K1085" s="16" t="n">
        <x:v>0</x:v>
      </x:c>
      <x:c r="L1085" s="18" t="n">
        <x:v>0</x:v>
      </x:c>
      <x:c r="M1085" s="18" t="n">
        <x:v>0</x:v>
      </x:c>
      <x:c r="O1085" t="str">
        <x:v>2025-07-07</x:v>
      </x:c>
      <x:c r="P1085" t="n">
        <x:v>1100046.8608118629</x:v>
      </x:c>
    </x:row>
    <x:row r="1086" ht="15" hidden="0" customHeight="1">
      <x:c r="A1086" s="13" t="str">
        <x:v>2025-07-08</x:v>
      </x:c>
      <x:c r="B1086" s="13" t="n">
        <x:v>0</x:v>
      </x:c>
      <x:c r="C1086" s="13" t="n">
        <x:v>0</x:v>
      </x:c>
      <x:c r="D1086" s="16" t="n">
        <x:v>0</x:v>
      </x:c>
      <x:c r="E1086" s="16" t="n">
        <x:v>0</x:v>
      </x:c>
      <x:c r="F1086" s="16" t="n">
        <x:v>0</x:v>
      </x:c>
      <x:c r="G1086" s="16" t="n">
        <x:v>0</x:v>
      </x:c>
      <x:c r="H1086" s="16" t="n">
        <x:v>0</x:v>
      </x:c>
      <x:c r="I1086" s="16" t="n">
        <x:v>1100046.8608118629</x:v>
      </x:c>
      <x:c r="J1086" s="16" t="n">
        <x:v>1100046.8608118629</x:v>
      </x:c>
      <x:c r="K1086" s="16" t="n">
        <x:v>0</x:v>
      </x:c>
      <x:c r="L1086" s="18" t="n">
        <x:v>0</x:v>
      </x:c>
      <x:c r="M1086" s="18" t="n">
        <x:v>0</x:v>
      </x:c>
      <x:c r="O1086" t="str">
        <x:v>2025-07-08</x:v>
      </x:c>
      <x:c r="P1086" t="n">
        <x:v>1100046.8608118629</x:v>
      </x:c>
    </x:row>
    <x:row r="1087" ht="15" hidden="0" customHeight="1">
      <x:c r="A1087" s="13" t="str">
        <x:v>2025-07-09</x:v>
      </x:c>
      <x:c r="B1087" s="13" t="n">
        <x:v>0</x:v>
      </x:c>
      <x:c r="C1087" s="13" t="n">
        <x:v>0</x:v>
      </x:c>
      <x:c r="D1087" s="16" t="n">
        <x:v>0</x:v>
      </x:c>
      <x:c r="E1087" s="16" t="n">
        <x:v>0</x:v>
      </x:c>
      <x:c r="F1087" s="16" t="n">
        <x:v>0</x:v>
      </x:c>
      <x:c r="G1087" s="16" t="n">
        <x:v>0</x:v>
      </x:c>
      <x:c r="H1087" s="16" t="n">
        <x:v>0</x:v>
      </x:c>
      <x:c r="I1087" s="16" t="n">
        <x:v>1100046.8608118629</x:v>
      </x:c>
      <x:c r="J1087" s="16" t="n">
        <x:v>1100046.8608118629</x:v>
      </x:c>
      <x:c r="K1087" s="16" t="n">
        <x:v>0</x:v>
      </x:c>
      <x:c r="L1087" s="18" t="n">
        <x:v>0</x:v>
      </x:c>
      <x:c r="M1087" s="18" t="n">
        <x:v>0</x:v>
      </x:c>
      <x:c r="O1087" t="str">
        <x:v>2025-07-09</x:v>
      </x:c>
      <x:c r="P1087" t="n">
        <x:v>1100046.8608118629</x:v>
      </x:c>
    </x:row>
    <x:row r="1088" ht="15" hidden="0" customHeight="1">
      <x:c r="A1088" s="13" t="str">
        <x:v>2025-07-10</x:v>
      </x:c>
      <x:c r="B1088" s="13" t="n">
        <x:v>1</x:v>
      </x:c>
      <x:c r="C1088" s="13" t="n">
        <x:v>4</x:v>
      </x:c>
      <x:c r="D1088" s="16" t="n">
        <x:v>-3119.9999999999995</x:v>
      </x:c>
      <x:c r="E1088" s="16" t="n">
        <x:v>369.4616654737672</x:v>
      </x:c>
      <x:c r="F1088" s="16" t="n">
        <x:v>-3489.4616654737665</x:v>
      </x:c>
      <x:c r="G1088" s="16" t="n">
        <x:v>38706.360257459535</x:v>
      </x:c>
      <x:c r="H1088" s="16" t="n">
        <x:v>351932.80732833047</x:v>
      </x:c>
      <x:c r="I1088" s="16" t="n">
        <x:v>1096557.3991463892</x:v>
      </x:c>
      <x:c r="J1088" s="16" t="n">
        <x:v>1100046.8608118629</x:v>
      </x:c>
      <x:c r="K1088" s="16" t="n">
        <x:v>-3489.4616654736456</x:v>
      </x:c>
      <x:c r="L1088" s="18" t="n">
        <x:v>-0.0031721027437852</x:v>
      </x:c>
      <x:c r="M1088" s="18" t="n">
        <x:v>-0.0031721027437852</x:v>
      </x:c>
      <x:c r="O1088" t="str">
        <x:v>2025-07-10</x:v>
      </x:c>
      <x:c r="P1088" t="n">
        <x:v>1096557.3991463892</x:v>
      </x:c>
    </x:row>
    <x:row r="1089" ht="15" hidden="0" customHeight="1">
      <x:c r="A1089" s="13" t="str">
        <x:v>2025-07-11</x:v>
      </x:c>
      <x:c r="B1089" s="13" t="n">
        <x:v>0</x:v>
      </x:c>
      <x:c r="C1089" s="13" t="n">
        <x:v>0</x:v>
      </x:c>
      <x:c r="D1089" s="16" t="n">
        <x:v>0</x:v>
      </x:c>
      <x:c r="E1089" s="16" t="n">
        <x:v>0</x:v>
      </x:c>
      <x:c r="F1089" s="16" t="n">
        <x:v>0</x:v>
      </x:c>
      <x:c r="G1089" s="16" t="n">
        <x:v>0</x:v>
      </x:c>
      <x:c r="H1089" s="16" t="n">
        <x:v>0</x:v>
      </x:c>
      <x:c r="I1089" s="16" t="n">
        <x:v>1096557.3991463892</x:v>
      </x:c>
      <x:c r="J1089" s="16" t="n">
        <x:v>1100046.8608118629</x:v>
      </x:c>
      <x:c r="K1089" s="16" t="n">
        <x:v>-3489.4616654736456</x:v>
      </x:c>
      <x:c r="L1089" s="18" t="n">
        <x:v>-0.0031721027437852</x:v>
      </x:c>
      <x:c r="M1089" s="18" t="n">
        <x:v>0</x:v>
      </x:c>
      <x:c r="O1089" t="str">
        <x:v>2025-07-11</x:v>
      </x:c>
      <x:c r="P1089" t="n">
        <x:v>1096557.3991463892</x:v>
      </x:c>
    </x:row>
    <x:row r="1090" ht="15" hidden="0" customHeight="1">
      <x:c r="A1090" s="13" t="str">
        <x:v>2025-07-14</x:v>
      </x:c>
      <x:c r="B1090" s="13" t="n">
        <x:v>0</x:v>
      </x:c>
      <x:c r="C1090" s="13" t="n">
        <x:v>0</x:v>
      </x:c>
      <x:c r="D1090" s="16" t="n">
        <x:v>0</x:v>
      </x:c>
      <x:c r="E1090" s="16" t="n">
        <x:v>0</x:v>
      </x:c>
      <x:c r="F1090" s="16" t="n">
        <x:v>0</x:v>
      </x:c>
      <x:c r="G1090" s="16" t="n">
        <x:v>0</x:v>
      </x:c>
      <x:c r="H1090" s="16" t="n">
        <x:v>0</x:v>
      </x:c>
      <x:c r="I1090" s="16" t="n">
        <x:v>1096557.3991463892</x:v>
      </x:c>
      <x:c r="J1090" s="16" t="n">
        <x:v>1100046.8608118629</x:v>
      </x:c>
      <x:c r="K1090" s="16" t="n">
        <x:v>-3489.4616654736456</x:v>
      </x:c>
      <x:c r="L1090" s="18" t="n">
        <x:v>-0.0031721027437852</x:v>
      </x:c>
      <x:c r="M1090" s="18" t="n">
        <x:v>0</x:v>
      </x:c>
      <x:c r="O1090" t="str">
        <x:v>2025-07-14</x:v>
      </x:c>
      <x:c r="P1090" t="n">
        <x:v>1096557.3991463892</x:v>
      </x:c>
    </x:row>
    <x:row r="1091" ht="15" hidden="0" customHeight="1">
      <x:c r="A1091" s="13" t="str">
        <x:v>2025-07-15</x:v>
      </x:c>
      <x:c r="B1091" s="13" t="n">
        <x:v>0</x:v>
      </x:c>
      <x:c r="C1091" s="13" t="n">
        <x:v>0</x:v>
      </x:c>
      <x:c r="D1091" s="16" t="n">
        <x:v>0</x:v>
      </x:c>
      <x:c r="E1091" s="16" t="n">
        <x:v>0</x:v>
      </x:c>
      <x:c r="F1091" s="16" t="n">
        <x:v>0</x:v>
      </x:c>
      <x:c r="G1091" s="16" t="n">
        <x:v>0</x:v>
      </x:c>
      <x:c r="H1091" s="16" t="n">
        <x:v>0</x:v>
      </x:c>
      <x:c r="I1091" s="16" t="n">
        <x:v>1096557.3991463892</x:v>
      </x:c>
      <x:c r="J1091" s="16" t="n">
        <x:v>1100046.8608118629</x:v>
      </x:c>
      <x:c r="K1091" s="16" t="n">
        <x:v>-3489.4616654736456</x:v>
      </x:c>
      <x:c r="L1091" s="18" t="n">
        <x:v>-0.0031721027437852</x:v>
      </x:c>
      <x:c r="M1091" s="18" t="n">
        <x:v>0</x:v>
      </x:c>
      <x:c r="O1091" t="str">
        <x:v>2025-07-15</x:v>
      </x:c>
      <x:c r="P1091" t="n">
        <x:v>1096557.3991463892</x:v>
      </x:c>
    </x:row>
    <x:row r="1092" ht="15" hidden="0" customHeight="1">
      <x:c r="A1092" s="13" t="str">
        <x:v>2025-07-16</x:v>
      </x:c>
      <x:c r="B1092" s="13" t="n">
        <x:v>0</x:v>
      </x:c>
      <x:c r="C1092" s="13" t="n">
        <x:v>0</x:v>
      </x:c>
      <x:c r="D1092" s="16" t="n">
        <x:v>0</x:v>
      </x:c>
      <x:c r="E1092" s="16" t="n">
        <x:v>0</x:v>
      </x:c>
      <x:c r="F1092" s="16" t="n">
        <x:v>0</x:v>
      </x:c>
      <x:c r="G1092" s="16" t="n">
        <x:v>0</x:v>
      </x:c>
      <x:c r="H1092" s="16" t="n">
        <x:v>0</x:v>
      </x:c>
      <x:c r="I1092" s="16" t="n">
        <x:v>1096557.3991463892</x:v>
      </x:c>
      <x:c r="J1092" s="16" t="n">
        <x:v>1100046.8608118629</x:v>
      </x:c>
      <x:c r="K1092" s="16" t="n">
        <x:v>-3489.4616654736456</x:v>
      </x:c>
      <x:c r="L1092" s="18" t="n">
        <x:v>-0.0031721027437852</x:v>
      </x:c>
      <x:c r="M1092" s="18" t="n">
        <x:v>0</x:v>
      </x:c>
      <x:c r="O1092" t="str">
        <x:v>2025-07-16</x:v>
      </x:c>
      <x:c r="P1092" t="n">
        <x:v>1096557.3991463892</x:v>
      </x:c>
    </x:row>
    <x:row r="1093" ht="15" hidden="0" customHeight="1">
      <x:c r="A1093" s="13" t="str">
        <x:v>2025-07-17</x:v>
      </x:c>
      <x:c r="B1093" s="13" t="n">
        <x:v>0</x:v>
      </x:c>
      <x:c r="C1093" s="13" t="n">
        <x:v>0</x:v>
      </x:c>
      <x:c r="D1093" s="16" t="n">
        <x:v>0</x:v>
      </x:c>
      <x:c r="E1093" s="16" t="n">
        <x:v>0</x:v>
      </x:c>
      <x:c r="F1093" s="16" t="n">
        <x:v>0</x:v>
      </x:c>
      <x:c r="G1093" s="16" t="n">
        <x:v>0</x:v>
      </x:c>
      <x:c r="H1093" s="16" t="n">
        <x:v>0</x:v>
      </x:c>
      <x:c r="I1093" s="16" t="n">
        <x:v>1096557.3991463892</x:v>
      </x:c>
      <x:c r="J1093" s="16" t="n">
        <x:v>1100046.8608118629</x:v>
      </x:c>
      <x:c r="K1093" s="16" t="n">
        <x:v>-3489.4616654736456</x:v>
      </x:c>
      <x:c r="L1093" s="18" t="n">
        <x:v>-0.0031721027437852</x:v>
      </x:c>
      <x:c r="M1093" s="18" t="n">
        <x:v>0</x:v>
      </x:c>
      <x:c r="O1093" t="str">
        <x:v>2025-07-17</x:v>
      </x:c>
      <x:c r="P1093" t="n">
        <x:v>1096557.3991463892</x:v>
      </x:c>
    </x:row>
    <x:row r="1094" ht="15" hidden="0" customHeight="1">
      <x:c r="A1094" s="13" t="str">
        <x:v>2025-07-18</x:v>
      </x:c>
      <x:c r="B1094" s="13" t="n">
        <x:v>0</x:v>
      </x:c>
      <x:c r="C1094" s="13" t="n">
        <x:v>0</x:v>
      </x:c>
      <x:c r="D1094" s="16" t="n">
        <x:v>0</x:v>
      </x:c>
      <x:c r="E1094" s="16" t="n">
        <x:v>0</x:v>
      </x:c>
      <x:c r="F1094" s="16" t="n">
        <x:v>0</x:v>
      </x:c>
      <x:c r="G1094" s="16" t="n">
        <x:v>0</x:v>
      </x:c>
      <x:c r="H1094" s="16" t="n">
        <x:v>0</x:v>
      </x:c>
      <x:c r="I1094" s="16" t="n">
        <x:v>1096557.3991463892</x:v>
      </x:c>
      <x:c r="J1094" s="16" t="n">
        <x:v>1100046.8608118629</x:v>
      </x:c>
      <x:c r="K1094" s="16" t="n">
        <x:v>-3489.4616654736456</x:v>
      </x:c>
      <x:c r="L1094" s="18" t="n">
        <x:v>-0.0031721027437852</x:v>
      </x:c>
      <x:c r="M1094" s="18" t="n">
        <x:v>0</x:v>
      </x:c>
      <x:c r="O1094" t="str">
        <x:v>2025-07-18</x:v>
      </x:c>
      <x:c r="P1094" t="n">
        <x:v>1096557.3991463892</x:v>
      </x:c>
    </x:row>
    <x:row r="1095" ht="15" hidden="0" customHeight="1">
      <x:c r="A1095" s="13" t="str">
        <x:v>2025-07-21</x:v>
      </x:c>
      <x:c r="B1095" s="13" t="n">
        <x:v>0</x:v>
      </x:c>
      <x:c r="C1095" s="13" t="n">
        <x:v>0</x:v>
      </x:c>
      <x:c r="D1095" s="16" t="n">
        <x:v>0</x:v>
      </x:c>
      <x:c r="E1095" s="16" t="n">
        <x:v>0</x:v>
      </x:c>
      <x:c r="F1095" s="16" t="n">
        <x:v>0</x:v>
      </x:c>
      <x:c r="G1095" s="16" t="n">
        <x:v>0</x:v>
      </x:c>
      <x:c r="H1095" s="16" t="n">
        <x:v>0</x:v>
      </x:c>
      <x:c r="I1095" s="16" t="n">
        <x:v>1096557.3991463892</x:v>
      </x:c>
      <x:c r="J1095" s="16" t="n">
        <x:v>1100046.8608118629</x:v>
      </x:c>
      <x:c r="K1095" s="16" t="n">
        <x:v>-3489.4616654736456</x:v>
      </x:c>
      <x:c r="L1095" s="18" t="n">
        <x:v>-0.0031721027437852</x:v>
      </x:c>
      <x:c r="M1095" s="18" t="n">
        <x:v>0</x:v>
      </x:c>
      <x:c r="O1095" t="str">
        <x:v>2025-07-21</x:v>
      </x:c>
      <x:c r="P1095" t="n">
        <x:v>1096557.3991463892</x:v>
      </x:c>
    </x:row>
    <x:row r="1096" ht="15" hidden="0" customHeight="1">
      <x:c r="A1096" s="13" t="str">
        <x:v>2025-07-22</x:v>
      </x:c>
      <x:c r="B1096" s="13" t="n">
        <x:v>0</x:v>
      </x:c>
      <x:c r="C1096" s="13" t="n">
        <x:v>0</x:v>
      </x:c>
      <x:c r="D1096" s="16" t="n">
        <x:v>0</x:v>
      </x:c>
      <x:c r="E1096" s="16" t="n">
        <x:v>0</x:v>
      </x:c>
      <x:c r="F1096" s="16" t="n">
        <x:v>0</x:v>
      </x:c>
      <x:c r="G1096" s="16" t="n">
        <x:v>0</x:v>
      </x:c>
      <x:c r="H1096" s="16" t="n">
        <x:v>0</x:v>
      </x:c>
      <x:c r="I1096" s="16" t="n">
        <x:v>1096557.3991463892</x:v>
      </x:c>
      <x:c r="J1096" s="16" t="n">
        <x:v>1100046.8608118629</x:v>
      </x:c>
      <x:c r="K1096" s="16" t="n">
        <x:v>-3489.4616654736456</x:v>
      </x:c>
      <x:c r="L1096" s="18" t="n">
        <x:v>-0.0031721027437852</x:v>
      </x:c>
      <x:c r="M1096" s="18" t="n">
        <x:v>0</x:v>
      </x:c>
      <x:c r="O1096" t="str">
        <x:v>2025-07-22</x:v>
      </x:c>
      <x:c r="P1096" t="n">
        <x:v>1096557.3991463892</x:v>
      </x:c>
    </x:row>
    <x:row r="1097" ht="15" hidden="0" customHeight="1">
      <x:c r="A1097" s="13" t="str">
        <x:v>2025-07-23</x:v>
      </x:c>
      <x:c r="B1097" s="13" t="n">
        <x:v>0</x:v>
      </x:c>
      <x:c r="C1097" s="13" t="n">
        <x:v>0</x:v>
      </x:c>
      <x:c r="D1097" s="16" t="n">
        <x:v>0</x:v>
      </x:c>
      <x:c r="E1097" s="16" t="n">
        <x:v>0</x:v>
      </x:c>
      <x:c r="F1097" s="16" t="n">
        <x:v>0</x:v>
      </x:c>
      <x:c r="G1097" s="16" t="n">
        <x:v>0</x:v>
      </x:c>
      <x:c r="H1097" s="16" t="n">
        <x:v>0</x:v>
      </x:c>
      <x:c r="I1097" s="16" t="n">
        <x:v>1096557.3991463892</x:v>
      </x:c>
      <x:c r="J1097" s="16" t="n">
        <x:v>1100046.8608118629</x:v>
      </x:c>
      <x:c r="K1097" s="16" t="n">
        <x:v>-3489.4616654736456</x:v>
      </x:c>
      <x:c r="L1097" s="18" t="n">
        <x:v>-0.0031721027437852</x:v>
      </x:c>
      <x:c r="M1097" s="18" t="n">
        <x:v>0</x:v>
      </x:c>
      <x:c r="O1097" t="str">
        <x:v>2025-07-23</x:v>
      </x:c>
      <x:c r="P1097" t="n">
        <x:v>1096557.3991463892</x:v>
      </x:c>
    </x:row>
    <x:row r="1098" ht="15" hidden="0" customHeight="1">
      <x:c r="A1098" s="13" t="str">
        <x:v>2025-07-24</x:v>
      </x:c>
      <x:c r="B1098" s="13" t="n">
        <x:v>0</x:v>
      </x:c>
      <x:c r="C1098" s="13" t="n">
        <x:v>0</x:v>
      </x:c>
      <x:c r="D1098" s="16" t="n">
        <x:v>0</x:v>
      </x:c>
      <x:c r="E1098" s="16" t="n">
        <x:v>0</x:v>
      </x:c>
      <x:c r="F1098" s="16" t="n">
        <x:v>0</x:v>
      </x:c>
      <x:c r="G1098" s="16" t="n">
        <x:v>0</x:v>
      </x:c>
      <x:c r="H1098" s="16" t="n">
        <x:v>0</x:v>
      </x:c>
      <x:c r="I1098" s="16" t="n">
        <x:v>1096557.3991463892</x:v>
      </x:c>
      <x:c r="J1098" s="16" t="n">
        <x:v>1100046.8608118629</x:v>
      </x:c>
      <x:c r="K1098" s="16" t="n">
        <x:v>-3489.4616654736456</x:v>
      </x:c>
      <x:c r="L1098" s="18" t="n">
        <x:v>-0.0031721027437852</x:v>
      </x:c>
      <x:c r="M1098" s="18" t="n">
        <x:v>0</x:v>
      </x:c>
      <x:c r="O1098" t="str">
        <x:v>2025-07-24</x:v>
      </x:c>
      <x:c r="P1098" t="n">
        <x:v>1096557.3991463892</x:v>
      </x:c>
    </x:row>
    <x:row r="1099" ht="15" hidden="0" customHeight="1">
      <x:c r="A1099" s="13" t="str">
        <x:v>2025-07-25</x:v>
      </x:c>
      <x:c r="B1099" s="13" t="n">
        <x:v>0</x:v>
      </x:c>
      <x:c r="C1099" s="13" t="n">
        <x:v>0</x:v>
      </x:c>
      <x:c r="D1099" s="16" t="n">
        <x:v>0</x:v>
      </x:c>
      <x:c r="E1099" s="16" t="n">
        <x:v>0</x:v>
      </x:c>
      <x:c r="F1099" s="16" t="n">
        <x:v>0</x:v>
      </x:c>
      <x:c r="G1099" s="16" t="n">
        <x:v>0</x:v>
      </x:c>
      <x:c r="H1099" s="16" t="n">
        <x:v>0</x:v>
      </x:c>
      <x:c r="I1099" s="16" t="n">
        <x:v>1096557.3991463892</x:v>
      </x:c>
      <x:c r="J1099" s="16" t="n">
        <x:v>1100046.8608118629</x:v>
      </x:c>
      <x:c r="K1099" s="16" t="n">
        <x:v>-3489.4616654736456</x:v>
      </x:c>
      <x:c r="L1099" s="18" t="n">
        <x:v>-0.0031721027437852</x:v>
      </x:c>
      <x:c r="M1099" s="18" t="n">
        <x:v>0</x:v>
      </x:c>
      <x:c r="O1099" t="str">
        <x:v>2025-07-25</x:v>
      </x:c>
      <x:c r="P1099" t="n">
        <x:v>1096557.3991463892</x:v>
      </x:c>
    </x:row>
    <x:row r="1100" ht="15" hidden="0" customHeight="1">
      <x:c r="A1100" s="13" t="str">
        <x:v>2025-07-28</x:v>
      </x:c>
      <x:c r="B1100" s="13" t="n">
        <x:v>0</x:v>
      </x:c>
      <x:c r="C1100" s="13" t="n">
        <x:v>0</x:v>
      </x:c>
      <x:c r="D1100" s="16" t="n">
        <x:v>0</x:v>
      </x:c>
      <x:c r="E1100" s="16" t="n">
        <x:v>0</x:v>
      </x:c>
      <x:c r="F1100" s="16" t="n">
        <x:v>0</x:v>
      </x:c>
      <x:c r="G1100" s="16" t="n">
        <x:v>0</x:v>
      </x:c>
      <x:c r="H1100" s="16" t="n">
        <x:v>0</x:v>
      </x:c>
      <x:c r="I1100" s="16" t="n">
        <x:v>1096557.3991463892</x:v>
      </x:c>
      <x:c r="J1100" s="16" t="n">
        <x:v>1100046.8608118629</x:v>
      </x:c>
      <x:c r="K1100" s="16" t="n">
        <x:v>-3489.4616654736456</x:v>
      </x:c>
      <x:c r="L1100" s="18" t="n">
        <x:v>-0.0031721027437852</x:v>
      </x:c>
      <x:c r="M1100" s="18" t="n">
        <x:v>0</x:v>
      </x:c>
      <x:c r="O1100" t="str">
        <x:v>2025-07-28</x:v>
      </x:c>
      <x:c r="P1100" t="n">
        <x:v>1096557.3991463892</x:v>
      </x:c>
    </x:row>
    <x:row r="1101" ht="15" hidden="0" customHeight="1">
      <x:c r="A1101" s="13" t="str">
        <x:v>2025-07-29</x:v>
      </x:c>
      <x:c r="B1101" s="13" t="n">
        <x:v>0</x:v>
      </x:c>
      <x:c r="C1101" s="13" t="n">
        <x:v>0</x:v>
      </x:c>
      <x:c r="D1101" s="16" t="n">
        <x:v>0</x:v>
      </x:c>
      <x:c r="E1101" s="16" t="n">
        <x:v>0</x:v>
      </x:c>
      <x:c r="F1101" s="16" t="n">
        <x:v>0</x:v>
      </x:c>
      <x:c r="G1101" s="16" t="n">
        <x:v>0</x:v>
      </x:c>
      <x:c r="H1101" s="16" t="n">
        <x:v>0</x:v>
      </x:c>
      <x:c r="I1101" s="16" t="n">
        <x:v>1096557.3991463892</x:v>
      </x:c>
      <x:c r="J1101" s="16" t="n">
        <x:v>1100046.8608118629</x:v>
      </x:c>
      <x:c r="K1101" s="16" t="n">
        <x:v>-3489.4616654736456</x:v>
      </x:c>
      <x:c r="L1101" s="18" t="n">
        <x:v>-0.0031721027437852</x:v>
      </x:c>
      <x:c r="M1101" s="18" t="n">
        <x:v>0</x:v>
      </x:c>
      <x:c r="O1101" t="str">
        <x:v>2025-07-29</x:v>
      </x:c>
      <x:c r="P1101" t="n">
        <x:v>1096557.3991463892</x:v>
      </x:c>
    </x:row>
    <x:row r="1102" ht="15" hidden="0" customHeight="1">
      <x:c r="A1102" s="13" t="str">
        <x:v>2025-07-30</x:v>
      </x:c>
      <x:c r="B1102" s="13" t="n">
        <x:v>0</x:v>
      </x:c>
      <x:c r="C1102" s="13" t="n">
        <x:v>0</x:v>
      </x:c>
      <x:c r="D1102" s="16" t="n">
        <x:v>0</x:v>
      </x:c>
      <x:c r="E1102" s="16" t="n">
        <x:v>0</x:v>
      </x:c>
      <x:c r="F1102" s="16" t="n">
        <x:v>0</x:v>
      </x:c>
      <x:c r="G1102" s="16" t="n">
        <x:v>0</x:v>
      </x:c>
      <x:c r="H1102" s="16" t="n">
        <x:v>0</x:v>
      </x:c>
      <x:c r="I1102" s="16" t="n">
        <x:v>1096557.3991463892</x:v>
      </x:c>
      <x:c r="J1102" s="16" t="n">
        <x:v>1100046.8608118629</x:v>
      </x:c>
      <x:c r="K1102" s="16" t="n">
        <x:v>-3489.4616654736456</x:v>
      </x:c>
      <x:c r="L1102" s="18" t="n">
        <x:v>-0.0031721027437852</x:v>
      </x:c>
      <x:c r="M1102" s="18" t="n">
        <x:v>0</x:v>
      </x:c>
      <x:c r="O1102" t="str">
        <x:v>2025-07-30</x:v>
      </x:c>
      <x:c r="P1102" t="n">
        <x:v>1096557.3991463892</x:v>
      </x:c>
    </x:row>
    <x:row r="1103" ht="15" hidden="0" customHeight="1">
      <x:c r="A1103" s="13" t="str">
        <x:v>2025-07-31</x:v>
      </x:c>
      <x:c r="B1103" s="13" t="n">
        <x:v>1</x:v>
      </x:c>
      <x:c r="C1103" s="13" t="n">
        <x:v>4</x:v>
      </x:c>
      <x:c r="D1103" s="16" t="n">
        <x:v>119.99999999999956</x:v>
      </x:c>
      <x:c r="E1103" s="16" t="n">
        <x:v>416.6988495350778</x:v>
      </x:c>
      <x:c r="F1103" s="16" t="n">
        <x:v>-296.69884953507824</x:v>
      </x:c>
      <x:c r="G1103" s="16" t="n">
        <x:v>73958.34975596583</x:v>
      </x:c>
      <x:c r="H1103" s="16" t="n">
        <x:v>349279.66332438594</x:v>
      </x:c>
      <x:c r="I1103" s="16" t="n">
        <x:v>1096260.700296854</x:v>
      </x:c>
      <x:c r="J1103" s="16" t="n">
        <x:v>1100046.8608118629</x:v>
      </x:c>
      <x:c r="K1103" s="16" t="n">
        <x:v>-3786.160515008727</x:v>
      </x:c>
      <x:c r="L1103" s="18" t="n">
        <x:v>-0.0034418174805884</x:v>
      </x:c>
      <x:c r="M1103" s="18" t="n">
        <x:v>-0.0002705730222294</x:v>
      </x:c>
      <x:c r="O1103" t="str">
        <x:v>2025-07-31</x:v>
      </x:c>
      <x:c r="P1103" t="n">
        <x:v>1096260.700296854</x:v>
      </x:c>
    </x:row>
    <x:row r="1104" ht="15" hidden="0" customHeight="1">
      <x:c r="A1104" s="13" t="str">
        <x:v>2025-08-01</x:v>
      </x:c>
      <x:c r="B1104" s="13" t="n">
        <x:v>0</x:v>
      </x:c>
      <x:c r="C1104" s="13" t="n">
        <x:v>0</x:v>
      </x:c>
      <x:c r="D1104" s="16" t="n">
        <x:v>0</x:v>
      </x:c>
      <x:c r="E1104" s="16" t="n">
        <x:v>0</x:v>
      </x:c>
      <x:c r="F1104" s="16" t="n">
        <x:v>0</x:v>
      </x:c>
      <x:c r="G1104" s="16" t="n">
        <x:v>0</x:v>
      </x:c>
      <x:c r="H1104" s="16" t="n">
        <x:v>0</x:v>
      </x:c>
      <x:c r="I1104" s="16" t="n">
        <x:v>1096260.700296854</x:v>
      </x:c>
      <x:c r="J1104" s="16" t="n">
        <x:v>1100046.8608118629</x:v>
      </x:c>
      <x:c r="K1104" s="16" t="n">
        <x:v>-3786.160515008727</x:v>
      </x:c>
      <x:c r="L1104" s="18" t="n">
        <x:v>-0.0034418174805884</x:v>
      </x:c>
      <x:c r="M1104" s="18" t="n">
        <x:v>0</x:v>
      </x:c>
      <x:c r="O1104" t="str">
        <x:v>2025-08-01</x:v>
      </x:c>
      <x:c r="P1104" t="n">
        <x:v>1096260.700296854</x:v>
      </x:c>
    </x:row>
    <x:row r="1105" ht="15" hidden="0" customHeight="1">
      <x:c r="A1105" s="13" t="str">
        <x:v>2025-08-04</x:v>
      </x:c>
      <x:c r="B1105" s="13" t="n">
        <x:v>0</x:v>
      </x:c>
      <x:c r="C1105" s="13" t="n">
        <x:v>0</x:v>
      </x:c>
      <x:c r="D1105" s="16" t="n">
        <x:v>0</x:v>
      </x:c>
      <x:c r="E1105" s="16" t="n">
        <x:v>0</x:v>
      </x:c>
      <x:c r="F1105" s="16" t="n">
        <x:v>0</x:v>
      </x:c>
      <x:c r="G1105" s="16" t="n">
        <x:v>0</x:v>
      </x:c>
      <x:c r="H1105" s="16" t="n">
        <x:v>0</x:v>
      </x:c>
      <x:c r="I1105" s="16" t="n">
        <x:v>1096260.700296854</x:v>
      </x:c>
      <x:c r="J1105" s="16" t="n">
        <x:v>1100046.8608118629</x:v>
      </x:c>
      <x:c r="K1105" s="16" t="n">
        <x:v>-3786.160515008727</x:v>
      </x:c>
      <x:c r="L1105" s="18" t="n">
        <x:v>-0.0034418174805884</x:v>
      </x:c>
      <x:c r="M1105" s="18" t="n">
        <x:v>0</x:v>
      </x:c>
      <x:c r="O1105" t="str">
        <x:v>2025-08-04</x:v>
      </x:c>
      <x:c r="P1105" t="n">
        <x:v>1096260.700296854</x:v>
      </x:c>
    </x:row>
    <x:row r="1106" ht="15" hidden="0" customHeight="1">
      <x:c r="A1106" s="13" t="str">
        <x:v>2025-08-05</x:v>
      </x:c>
      <x:c r="B1106" s="13" t="n">
        <x:v>0</x:v>
      </x:c>
      <x:c r="C1106" s="13" t="n">
        <x:v>0</x:v>
      </x:c>
      <x:c r="D1106" s="16" t="n">
        <x:v>0</x:v>
      </x:c>
      <x:c r="E1106" s="16" t="n">
        <x:v>0</x:v>
      </x:c>
      <x:c r="F1106" s="16" t="n">
        <x:v>0</x:v>
      </x:c>
      <x:c r="G1106" s="16" t="n">
        <x:v>0</x:v>
      </x:c>
      <x:c r="H1106" s="16" t="n">
        <x:v>0</x:v>
      </x:c>
      <x:c r="I1106" s="16" t="n">
        <x:v>1096260.700296854</x:v>
      </x:c>
      <x:c r="J1106" s="16" t="n">
        <x:v>1100046.8608118629</x:v>
      </x:c>
      <x:c r="K1106" s="16" t="n">
        <x:v>-3786.160515008727</x:v>
      </x:c>
      <x:c r="L1106" s="18" t="n">
        <x:v>-0.0034418174805884</x:v>
      </x:c>
      <x:c r="M1106" s="18" t="n">
        <x:v>0</x:v>
      </x:c>
      <x:c r="O1106" t="str">
        <x:v>2025-08-05</x:v>
      </x:c>
      <x:c r="P1106" t="n">
        <x:v>1096260.700296854</x:v>
      </x:c>
    </x:row>
    <x:row r="1107" ht="15" hidden="0" customHeight="1">
      <x:c r="A1107" s="13" t="str">
        <x:v>2025-08-06</x:v>
      </x:c>
      <x:c r="B1107" s="13" t="n">
        <x:v>0</x:v>
      </x:c>
      <x:c r="C1107" s="13" t="n">
        <x:v>0</x:v>
      </x:c>
      <x:c r="D1107" s="16" t="n">
        <x:v>0</x:v>
      </x:c>
      <x:c r="E1107" s="16" t="n">
        <x:v>0</x:v>
      </x:c>
      <x:c r="F1107" s="16" t="n">
        <x:v>0</x:v>
      </x:c>
      <x:c r="G1107" s="16" t="n">
        <x:v>0</x:v>
      </x:c>
      <x:c r="H1107" s="16" t="n">
        <x:v>0</x:v>
      </x:c>
      <x:c r="I1107" s="16" t="n">
        <x:v>1096260.700296854</x:v>
      </x:c>
      <x:c r="J1107" s="16" t="n">
        <x:v>1100046.8608118629</x:v>
      </x:c>
      <x:c r="K1107" s="16" t="n">
        <x:v>-3786.160515008727</x:v>
      </x:c>
      <x:c r="L1107" s="18" t="n">
        <x:v>-0.0034418174805884</x:v>
      </x:c>
      <x:c r="M1107" s="18" t="n">
        <x:v>0</x:v>
      </x:c>
      <x:c r="O1107" t="str">
        <x:v>2025-08-06</x:v>
      </x:c>
      <x:c r="P1107" t="n">
        <x:v>1096260.700296854</x:v>
      </x:c>
    </x:row>
    <x:row r="1108" ht="15" hidden="0" customHeight="1">
      <x:c r="A1108" s="13" t="str">
        <x:v>2025-08-07</x:v>
      </x:c>
      <x:c r="B1108" s="13" t="n">
        <x:v>1</x:v>
      </x:c>
      <x:c r="C1108" s="13" t="n">
        <x:v>4</x:v>
      </x:c>
      <x:c r="D1108" s="16" t="n">
        <x:v>2670.0000000000005</x:v>
      </x:c>
      <x:c r="E1108" s="16" t="n">
        <x:v>385.3762116664749</x:v>
      </x:c>
      <x:c r="F1108" s="16" t="n">
        <x:v>2284.6237883335257</x:v>
      </x:c>
      <x:c r="G1108" s="16" t="n">
        <x:v>54327.335960856806</x:v>
      </x:c>
      <x:c r="H1108" s="16" t="n">
        <x:v>345746.2870915919</x:v>
      </x:c>
      <x:c r="I1108" s="16" t="n">
        <x:v>1098545.3240851876</x:v>
      </x:c>
      <x:c r="J1108" s="16" t="n">
        <x:v>1100046.8608118629</x:v>
      </x:c>
      <x:c r="K1108" s="16" t="n">
        <x:v>-1501.5367266752291</x:v>
      </x:c>
      <x:c r="L1108" s="18" t="n">
        <x:v>-0.0013649752389339</x:v>
      </x:c>
      <x:c r="M1108" s="18" t="n">
        <x:v>0.0020840150410526</x:v>
      </x:c>
      <x:c r="O1108" t="str">
        <x:v>2025-08-07</x:v>
      </x:c>
      <x:c r="P1108" t="n">
        <x:v>1098545.3240851876</x:v>
      </x:c>
    </x:row>
    <x:row r="1109" ht="15" hidden="0" customHeight="1">
      <x:c r="A1109" s="13" t="str">
        <x:v>2025-08-08</x:v>
      </x:c>
      <x:c r="B1109" s="13" t="n">
        <x:v>0</x:v>
      </x:c>
      <x:c r="C1109" s="13" t="n">
        <x:v>0</x:v>
      </x:c>
      <x:c r="D1109" s="16" t="n">
        <x:v>0</x:v>
      </x:c>
      <x:c r="E1109" s="16" t="n">
        <x:v>0</x:v>
      </x:c>
      <x:c r="F1109" s="16" t="n">
        <x:v>0</x:v>
      </x:c>
      <x:c r="G1109" s="16" t="n">
        <x:v>0</x:v>
      </x:c>
      <x:c r="H1109" s="16" t="n">
        <x:v>0</x:v>
      </x:c>
      <x:c r="I1109" s="16" t="n">
        <x:v>1098545.3240851876</x:v>
      </x:c>
      <x:c r="J1109" s="16" t="n">
        <x:v>1100046.8608118629</x:v>
      </x:c>
      <x:c r="K1109" s="16" t="n">
        <x:v>-1501.5367266752291</x:v>
      </x:c>
      <x:c r="L1109" s="18" t="n">
        <x:v>-0.0013649752389339</x:v>
      </x:c>
      <x:c r="M1109" s="18" t="n">
        <x:v>0</x:v>
      </x:c>
      <x:c r="O1109" t="str">
        <x:v>2025-08-08</x:v>
      </x:c>
      <x:c r="P1109" t="n">
        <x:v>1098545.3240851876</x:v>
      </x:c>
    </x:row>
    <x:row r="1110" ht="15" hidden="0" customHeight="1">
      <x:c r="A1110" s="13" t="str">
        <x:v>2025-08-11</x:v>
      </x:c>
      <x:c r="B1110" s="13" t="n">
        <x:v>0</x:v>
      </x:c>
      <x:c r="C1110" s="13" t="n">
        <x:v>0</x:v>
      </x:c>
      <x:c r="D1110" s="16" t="n">
        <x:v>0</x:v>
      </x:c>
      <x:c r="E1110" s="16" t="n">
        <x:v>0</x:v>
      </x:c>
      <x:c r="F1110" s="16" t="n">
        <x:v>0</x:v>
      </x:c>
      <x:c r="G1110" s="16" t="n">
        <x:v>0</x:v>
      </x:c>
      <x:c r="H1110" s="16" t="n">
        <x:v>0</x:v>
      </x:c>
      <x:c r="I1110" s="16" t="n">
        <x:v>1098545.3240851876</x:v>
      </x:c>
      <x:c r="J1110" s="16" t="n">
        <x:v>1100046.8608118629</x:v>
      </x:c>
      <x:c r="K1110" s="16" t="n">
        <x:v>-1501.5367266752291</x:v>
      </x:c>
      <x:c r="L1110" s="18" t="n">
        <x:v>-0.0013649752389339</x:v>
      </x:c>
      <x:c r="M1110" s="18" t="n">
        <x:v>0</x:v>
      </x:c>
      <x:c r="O1110" t="str">
        <x:v>2025-08-11</x:v>
      </x:c>
      <x:c r="P1110" t="n">
        <x:v>1098545.3240851876</x:v>
      </x:c>
    </x:row>
    <x:row r="1111" ht="15" hidden="0" customHeight="1">
      <x:c r="A1111" s="13" t="str">
        <x:v>2025-08-12</x:v>
      </x:c>
      <x:c r="B1111" s="13" t="n">
        <x:v>0</x:v>
      </x:c>
      <x:c r="C1111" s="13" t="n">
        <x:v>0</x:v>
      </x:c>
      <x:c r="D1111" s="16" t="n">
        <x:v>0</x:v>
      </x:c>
      <x:c r="E1111" s="16" t="n">
        <x:v>0</x:v>
      </x:c>
      <x:c r="F1111" s="16" t="n">
        <x:v>0</x:v>
      </x:c>
      <x:c r="G1111" s="16" t="n">
        <x:v>0</x:v>
      </x:c>
      <x:c r="H1111" s="16" t="n">
        <x:v>0</x:v>
      </x:c>
      <x:c r="I1111" s="16" t="n">
        <x:v>1098545.3240851876</x:v>
      </x:c>
      <x:c r="J1111" s="16" t="n">
        <x:v>1100046.8608118629</x:v>
      </x:c>
      <x:c r="K1111" s="16" t="n">
        <x:v>-1501.5367266752291</x:v>
      </x:c>
      <x:c r="L1111" s="18" t="n">
        <x:v>-0.0013649752389339</x:v>
      </x:c>
      <x:c r="M1111" s="18" t="n">
        <x:v>0</x:v>
      </x:c>
      <x:c r="O1111" t="str">
        <x:v>2025-08-12</x:v>
      </x:c>
      <x:c r="P1111" t="n">
        <x:v>1098545.3240851876</x:v>
      </x:c>
    </x:row>
    <x:row r="1112" ht="15" hidden="0" customHeight="1">
      <x:c r="A1112" s="13" t="str">
        <x:v>2025-08-13</x:v>
      </x:c>
      <x:c r="B1112" s="13" t="n">
        <x:v>0</x:v>
      </x:c>
      <x:c r="C1112" s="13" t="n">
        <x:v>0</x:v>
      </x:c>
      <x:c r="D1112" s="16" t="n">
        <x:v>0</x:v>
      </x:c>
      <x:c r="E1112" s="16" t="n">
        <x:v>0</x:v>
      </x:c>
      <x:c r="F1112" s="16" t="n">
        <x:v>0</x:v>
      </x:c>
      <x:c r="G1112" s="16" t="n">
        <x:v>0</x:v>
      </x:c>
      <x:c r="H1112" s="16" t="n">
        <x:v>0</x:v>
      </x:c>
      <x:c r="I1112" s="16" t="n">
        <x:v>1098545.3240851876</x:v>
      </x:c>
      <x:c r="J1112" s="16" t="n">
        <x:v>1100046.8608118629</x:v>
      </x:c>
      <x:c r="K1112" s="16" t="n">
        <x:v>-1501.5367266752291</x:v>
      </x:c>
      <x:c r="L1112" s="18" t="n">
        <x:v>-0.0013649752389339</x:v>
      </x:c>
      <x:c r="M1112" s="18" t="n">
        <x:v>0</x:v>
      </x:c>
      <x:c r="O1112" t="str">
        <x:v>2025-08-13</x:v>
      </x:c>
      <x:c r="P1112" t="n">
        <x:v>1098545.3240851876</x:v>
      </x:c>
    </x:row>
    <x:row r="1113" ht="15" hidden="0" customHeight="1">
      <x:c r="A1113" s="13" t="str">
        <x:v>2025-08-14</x:v>
      </x:c>
      <x:c r="B1113" s="13" t="n">
        <x:v>0</x:v>
      </x:c>
      <x:c r="C1113" s="13" t="n">
        <x:v>0</x:v>
      </x:c>
      <x:c r="D1113" s="16" t="n">
        <x:v>0</x:v>
      </x:c>
      <x:c r="E1113" s="16" t="n">
        <x:v>0</x:v>
      </x:c>
      <x:c r="F1113" s="16" t="n">
        <x:v>0</x:v>
      </x:c>
      <x:c r="G1113" s="16" t="n">
        <x:v>0</x:v>
      </x:c>
      <x:c r="H1113" s="16" t="n">
        <x:v>0</x:v>
      </x:c>
      <x:c r="I1113" s="16" t="n">
        <x:v>1098545.3240851876</x:v>
      </x:c>
      <x:c r="J1113" s="16" t="n">
        <x:v>1100046.8608118629</x:v>
      </x:c>
      <x:c r="K1113" s="16" t="n">
        <x:v>-1501.5367266752291</x:v>
      </x:c>
      <x:c r="L1113" s="18" t="n">
        <x:v>-0.0013649752389339</x:v>
      </x:c>
      <x:c r="M1113" s="18" t="n">
        <x:v>0</x:v>
      </x:c>
      <x:c r="O1113" t="str">
        <x:v>2025-08-14</x:v>
      </x:c>
      <x:c r="P1113" t="n">
        <x:v>1098545.3240851876</x:v>
      </x:c>
    </x:row>
    <x:row r="1114" ht="15" hidden="0" customHeight="1">
      <x:c r="A1114" s="13" t="str">
        <x:v>2025-08-15</x:v>
      </x:c>
      <x:c r="B1114" s="13" t="n">
        <x:v>0</x:v>
      </x:c>
      <x:c r="C1114" s="13" t="n">
        <x:v>0</x:v>
      </x:c>
      <x:c r="D1114" s="16" t="n">
        <x:v>0</x:v>
      </x:c>
      <x:c r="E1114" s="16" t="n">
        <x:v>0</x:v>
      </x:c>
      <x:c r="F1114" s="16" t="n">
        <x:v>0</x:v>
      </x:c>
      <x:c r="G1114" s="16" t="n">
        <x:v>0</x:v>
      </x:c>
      <x:c r="H1114" s="16" t="n">
        <x:v>0</x:v>
      </x:c>
      <x:c r="I1114" s="16" t="n">
        <x:v>1098545.3240851876</x:v>
      </x:c>
      <x:c r="J1114" s="16" t="n">
        <x:v>1100046.8608118629</x:v>
      </x:c>
      <x:c r="K1114" s="16" t="n">
        <x:v>-1501.5367266752291</x:v>
      </x:c>
      <x:c r="L1114" s="18" t="n">
        <x:v>-0.0013649752389339</x:v>
      </x:c>
      <x:c r="M1114" s="18" t="n">
        <x:v>0</x:v>
      </x:c>
      <x:c r="O1114" t="str">
        <x:v>2025-08-15</x:v>
      </x:c>
      <x:c r="P1114" t="n">
        <x:v>1098545.3240851876</x:v>
      </x:c>
    </x:row>
    <x:row r="1115" ht="15" hidden="0" customHeight="1">
      <x:c r="A1115" s="13" t="str">
        <x:v>2025-08-18</x:v>
      </x:c>
      <x:c r="B1115" s="13" t="n">
        <x:v>0</x:v>
      </x:c>
      <x:c r="C1115" s="13" t="n">
        <x:v>0</x:v>
      </x:c>
      <x:c r="D1115" s="16" t="n">
        <x:v>0</x:v>
      </x:c>
      <x:c r="E1115" s="16" t="n">
        <x:v>0</x:v>
      </x:c>
      <x:c r="F1115" s="16" t="n">
        <x:v>0</x:v>
      </x:c>
      <x:c r="G1115" s="16" t="n">
        <x:v>0</x:v>
      </x:c>
      <x:c r="H1115" s="16" t="n">
        <x:v>0</x:v>
      </x:c>
      <x:c r="I1115" s="16" t="n">
        <x:v>1098545.3240851876</x:v>
      </x:c>
      <x:c r="J1115" s="16" t="n">
        <x:v>1100046.8608118629</x:v>
      </x:c>
      <x:c r="K1115" s="16" t="n">
        <x:v>-1501.5367266752291</x:v>
      </x:c>
      <x:c r="L1115" s="18" t="n">
        <x:v>-0.0013649752389339</x:v>
      </x:c>
      <x:c r="M1115" s="18" t="n">
        <x:v>0</x:v>
      </x:c>
      <x:c r="O1115" t="str">
        <x:v>2025-08-18</x:v>
      </x:c>
      <x:c r="P1115" t="n">
        <x:v>1098545.3240851876</x:v>
      </x:c>
    </x:row>
    <x:row r="1116" ht="15" hidden="0" customHeight="1">
      <x:c r="A1116" s="13" t="str">
        <x:v>2025-08-19</x:v>
      </x:c>
      <x:c r="B1116" s="13" t="n">
        <x:v>0</x:v>
      </x:c>
      <x:c r="C1116" s="13" t="n">
        <x:v>0</x:v>
      </x:c>
      <x:c r="D1116" s="16" t="n">
        <x:v>0</x:v>
      </x:c>
      <x:c r="E1116" s="16" t="n">
        <x:v>0</x:v>
      </x:c>
      <x:c r="F1116" s="16" t="n">
        <x:v>0</x:v>
      </x:c>
      <x:c r="G1116" s="16" t="n">
        <x:v>0</x:v>
      </x:c>
      <x:c r="H1116" s="16" t="n">
        <x:v>0</x:v>
      </x:c>
      <x:c r="I1116" s="16" t="n">
        <x:v>1098545.3240851876</x:v>
      </x:c>
      <x:c r="J1116" s="16" t="n">
        <x:v>1100046.8608118629</x:v>
      </x:c>
      <x:c r="K1116" s="16" t="n">
        <x:v>-1501.5367266752291</x:v>
      </x:c>
      <x:c r="L1116" s="18" t="n">
        <x:v>-0.0013649752389339</x:v>
      </x:c>
      <x:c r="M1116" s="18" t="n">
        <x:v>0</x:v>
      </x:c>
      <x:c r="O1116" t="str">
        <x:v>2025-08-19</x:v>
      </x:c>
      <x:c r="P1116" t="n">
        <x:v>1098545.3240851876</x:v>
      </x:c>
    </x:row>
    <x:row r="1117" ht="15" hidden="0" customHeight="1">
      <x:c r="A1117" s="13" t="str">
        <x:v>2025-08-20</x:v>
      </x:c>
      <x:c r="B1117" s="13" t="n">
        <x:v>0</x:v>
      </x:c>
      <x:c r="C1117" s="13" t="n">
        <x:v>0</x:v>
      </x:c>
      <x:c r="D1117" s="16" t="n">
        <x:v>0</x:v>
      </x:c>
      <x:c r="E1117" s="16" t="n">
        <x:v>0</x:v>
      </x:c>
      <x:c r="F1117" s="16" t="n">
        <x:v>0</x:v>
      </x:c>
      <x:c r="G1117" s="16" t="n">
        <x:v>0</x:v>
      </x:c>
      <x:c r="H1117" s="16" t="n">
        <x:v>0</x:v>
      </x:c>
      <x:c r="I1117" s="16" t="n">
        <x:v>1098545.3240851876</x:v>
      </x:c>
      <x:c r="J1117" s="16" t="n">
        <x:v>1100046.8608118629</x:v>
      </x:c>
      <x:c r="K1117" s="16" t="n">
        <x:v>-1501.5367266752291</x:v>
      </x:c>
      <x:c r="L1117" s="18" t="n">
        <x:v>-0.0013649752389339</x:v>
      </x:c>
      <x:c r="M1117" s="18" t="n">
        <x:v>0</x:v>
      </x:c>
      <x:c r="O1117" t="str">
        <x:v>2025-08-20</x:v>
      </x:c>
      <x:c r="P1117" t="n">
        <x:v>1098545.3240851876</x:v>
      </x:c>
    </x:row>
    <x:row r="1118" ht="15" hidden="0" customHeight="1">
      <x:c r="A1118" s="13" t="str">
        <x:v>2025-08-21</x:v>
      </x:c>
      <x:c r="B1118" s="13" t="n">
        <x:v>0</x:v>
      </x:c>
      <x:c r="C1118" s="13" t="n">
        <x:v>0</x:v>
      </x:c>
      <x:c r="D1118" s="16" t="n">
        <x:v>0</x:v>
      </x:c>
      <x:c r="E1118" s="16" t="n">
        <x:v>0</x:v>
      </x:c>
      <x:c r="F1118" s="16" t="n">
        <x:v>0</x:v>
      </x:c>
      <x:c r="G1118" s="16" t="n">
        <x:v>0</x:v>
      </x:c>
      <x:c r="H1118" s="16" t="n">
        <x:v>0</x:v>
      </x:c>
      <x:c r="I1118" s="16" t="n">
        <x:v>1098545.3240851876</x:v>
      </x:c>
      <x:c r="J1118" s="16" t="n">
        <x:v>1100046.8608118629</x:v>
      </x:c>
      <x:c r="K1118" s="16" t="n">
        <x:v>-1501.5367266752291</x:v>
      </x:c>
      <x:c r="L1118" s="18" t="n">
        <x:v>-0.0013649752389339</x:v>
      </x:c>
      <x:c r="M1118" s="18" t="n">
        <x:v>0</x:v>
      </x:c>
      <x:c r="O1118" t="str">
        <x:v>2025-08-21</x:v>
      </x:c>
      <x:c r="P1118" t="n">
        <x:v>1098545.3240851876</x:v>
      </x:c>
    </x:row>
    <x:row r="1119" ht="15" hidden="0" customHeight="1">
      <x:c r="A1119" s="13" t="str">
        <x:v>2025-08-22</x:v>
      </x:c>
      <x:c r="B1119" s="13" t="n">
        <x:v>0</x:v>
      </x:c>
      <x:c r="C1119" s="13" t="n">
        <x:v>0</x:v>
      </x:c>
      <x:c r="D1119" s="16" t="n">
        <x:v>0</x:v>
      </x:c>
      <x:c r="E1119" s="16" t="n">
        <x:v>0</x:v>
      </x:c>
      <x:c r="F1119" s="16" t="n">
        <x:v>0</x:v>
      </x:c>
      <x:c r="G1119" s="16" t="n">
        <x:v>0</x:v>
      </x:c>
      <x:c r="H1119" s="16" t="n">
        <x:v>0</x:v>
      </x:c>
      <x:c r="I1119" s="16" t="n">
        <x:v>1098545.3240851876</x:v>
      </x:c>
      <x:c r="J1119" s="16" t="n">
        <x:v>1100046.8608118629</x:v>
      </x:c>
      <x:c r="K1119" s="16" t="n">
        <x:v>-1501.5367266752291</x:v>
      </x:c>
      <x:c r="L1119" s="18" t="n">
        <x:v>-0.0013649752389339</x:v>
      </x:c>
      <x:c r="M1119" s="18" t="n">
        <x:v>0</x:v>
      </x:c>
      <x:c r="O1119" t="str">
        <x:v>2025-08-22</x:v>
      </x:c>
      <x:c r="P1119" t="n">
        <x:v>1098545.3240851876</x:v>
      </x:c>
    </x:row>
    <x:row r="1120" ht="15" hidden="0" customHeight="1">
      <x:c r="A1120" s="13" t="str">
        <x:v>2025-08-25</x:v>
      </x:c>
      <x:c r="B1120" s="13" t="n">
        <x:v>0</x:v>
      </x:c>
      <x:c r="C1120" s="13" t="n">
        <x:v>0</x:v>
      </x:c>
      <x:c r="D1120" s="16" t="n">
        <x:v>0</x:v>
      </x:c>
      <x:c r="E1120" s="16" t="n">
        <x:v>0</x:v>
      </x:c>
      <x:c r="F1120" s="16" t="n">
        <x:v>0</x:v>
      </x:c>
      <x:c r="G1120" s="16" t="n">
        <x:v>0</x:v>
      </x:c>
      <x:c r="H1120" s="16" t="n">
        <x:v>0</x:v>
      </x:c>
      <x:c r="I1120" s="16" t="n">
        <x:v>1098545.3240851876</x:v>
      </x:c>
      <x:c r="J1120" s="16" t="n">
        <x:v>1100046.8608118629</x:v>
      </x:c>
      <x:c r="K1120" s="16" t="n">
        <x:v>-1501.5367266752291</x:v>
      </x:c>
      <x:c r="L1120" s="18" t="n">
        <x:v>-0.0013649752389339</x:v>
      </x:c>
      <x:c r="M1120" s="18" t="n">
        <x:v>0</x:v>
      </x:c>
      <x:c r="O1120" t="str">
        <x:v>2025-08-25</x:v>
      </x:c>
      <x:c r="P1120" t="n">
        <x:v>1098545.3240851876</x:v>
      </x:c>
    </x:row>
    <x:row r="1121" ht="15" hidden="0" customHeight="1">
      <x:c r="A1121" s="13" t="str">
        <x:v>2025-08-26</x:v>
      </x:c>
      <x:c r="B1121" s="13" t="n">
        <x:v>0</x:v>
      </x:c>
      <x:c r="C1121" s="13" t="n">
        <x:v>0</x:v>
      </x:c>
      <x:c r="D1121" s="16" t="n">
        <x:v>0</x:v>
      </x:c>
      <x:c r="E1121" s="16" t="n">
        <x:v>0</x:v>
      </x:c>
      <x:c r="F1121" s="16" t="n">
        <x:v>0</x:v>
      </x:c>
      <x:c r="G1121" s="16" t="n">
        <x:v>0</x:v>
      </x:c>
      <x:c r="H1121" s="16" t="n">
        <x:v>0</x:v>
      </x:c>
      <x:c r="I1121" s="16" t="n">
        <x:v>1098545.3240851876</x:v>
      </x:c>
      <x:c r="J1121" s="16" t="n">
        <x:v>1100046.8608118629</x:v>
      </x:c>
      <x:c r="K1121" s="16" t="n">
        <x:v>-1501.5367266752291</x:v>
      </x:c>
      <x:c r="L1121" s="18" t="n">
        <x:v>-0.0013649752389339</x:v>
      </x:c>
      <x:c r="M1121" s="18" t="n">
        <x:v>0</x:v>
      </x:c>
      <x:c r="O1121" t="str">
        <x:v>2025-08-26</x:v>
      </x:c>
      <x:c r="P1121" t="n">
        <x:v>1098545.3240851876</x:v>
      </x:c>
    </x:row>
    <x:row r="1122" ht="15" hidden="0" customHeight="1">
      <x:c r="A1122" s="13" t="str">
        <x:v>2025-08-27</x:v>
      </x:c>
      <x:c r="B1122" s="13" t="n">
        <x:v>0</x:v>
      </x:c>
      <x:c r="C1122" s="13" t="n">
        <x:v>0</x:v>
      </x:c>
      <x:c r="D1122" s="16" t="n">
        <x:v>0</x:v>
      </x:c>
      <x:c r="E1122" s="16" t="n">
        <x:v>0</x:v>
      </x:c>
      <x:c r="F1122" s="16" t="n">
        <x:v>0</x:v>
      </x:c>
      <x:c r="G1122" s="16" t="n">
        <x:v>0</x:v>
      </x:c>
      <x:c r="H1122" s="16" t="n">
        <x:v>0</x:v>
      </x:c>
      <x:c r="I1122" s="16" t="n">
        <x:v>1098545.3240851876</x:v>
      </x:c>
      <x:c r="J1122" s="16" t="n">
        <x:v>1100046.8608118629</x:v>
      </x:c>
      <x:c r="K1122" s="16" t="n">
        <x:v>-1501.5367266752291</x:v>
      </x:c>
      <x:c r="L1122" s="18" t="n">
        <x:v>-0.0013649752389339</x:v>
      </x:c>
      <x:c r="M1122" s="18" t="n">
        <x:v>0</x:v>
      </x:c>
      <x:c r="O1122" t="str">
        <x:v>2025-08-27</x:v>
      </x:c>
      <x:c r="P1122" t="n">
        <x:v>1098545.3240851876</x:v>
      </x:c>
    </x:row>
    <x:row r="1123" ht="15" hidden="0" customHeight="1">
      <x:c r="A1123" s="13" t="str">
        <x:v>2025-08-28</x:v>
      </x:c>
      <x:c r="B1123" s="13" t="n">
        <x:v>1</x:v>
      </x:c>
      <x:c r="C1123" s="13" t="n">
        <x:v>4</x:v>
      </x:c>
      <x:c r="D1123" s="16" t="n">
        <x:v>-2235.000000000002</x:v>
      </x:c>
      <x:c r="E1123" s="16" t="n">
        <x:v>385.4533340339374</x:v>
      </x:c>
      <x:c r="F1123" s="16" t="n">
        <x:v>-2620.4533340339394</x:v>
      </x:c>
      <x:c r="G1123" s="16" t="n">
        <x:v>47512.61320969229</x:v>
      </x:c>
      <x:c r="H1123" s="16" t="n">
        <x:v>341516.8799531951</x:v>
      </x:c>
      <x:c r="I1123" s="16" t="n">
        <x:v>1095924.8707511537</x:v>
      </x:c>
      <x:c r="J1123" s="16" t="n">
        <x:v>1100046.8608118629</x:v>
      </x:c>
      <x:c r="K1123" s="16" t="n">
        <x:v>-4121.990060709184</x:v>
      </x:c>
      <x:c r="L1123" s="18" t="n">
        <x:v>-0.0037471040621551</x:v>
      </x:c>
      <x:c r="M1123" s="18" t="n">
        <x:v>-0.0023853848144282</x:v>
      </x:c>
      <x:c r="O1123" t="str">
        <x:v>2025-08-28</x:v>
      </x:c>
      <x:c r="P1123" t="n">
        <x:v>1095924.8707511537</x:v>
      </x:c>
    </x:row>
    <x:row r="1124" ht="15" hidden="0" customHeight="1">
      <x:c r="A1124" s="13" t="str">
        <x:v>2025-08-29</x:v>
      </x:c>
      <x:c r="B1124" s="13" t="n">
        <x:v>0</x:v>
      </x:c>
      <x:c r="C1124" s="13" t="n">
        <x:v>0</x:v>
      </x:c>
      <x:c r="D1124" s="16" t="n">
        <x:v>0</x:v>
      </x:c>
      <x:c r="E1124" s="16" t="n">
        <x:v>0</x:v>
      </x:c>
      <x:c r="F1124" s="16" t="n">
        <x:v>0</x:v>
      </x:c>
      <x:c r="G1124" s="16" t="n">
        <x:v>0</x:v>
      </x:c>
      <x:c r="H1124" s="16" t="n">
        <x:v>0</x:v>
      </x:c>
      <x:c r="I1124" s="16" t="n">
        <x:v>1095924.8707511537</x:v>
      </x:c>
      <x:c r="J1124" s="16" t="n">
        <x:v>1100046.8608118629</x:v>
      </x:c>
      <x:c r="K1124" s="16" t="n">
        <x:v>-4121.990060709184</x:v>
      </x:c>
      <x:c r="L1124" s="18" t="n">
        <x:v>-0.0037471040621551</x:v>
      </x:c>
      <x:c r="M1124" s="18" t="n">
        <x:v>0</x:v>
      </x:c>
      <x:c r="O1124" t="str">
        <x:v>2025-08-29</x:v>
      </x:c>
      <x:c r="P1124" t="n">
        <x:v>1095924.8707511537</x:v>
      </x:c>
    </x:row>
    <x:row r="1125" ht="15" hidden="0" customHeight="1">
      <x:c r="A1125" s="13" t="str">
        <x:v>2025-09-01</x:v>
      </x:c>
      <x:c r="B1125" s="13" t="n">
        <x:v>0</x:v>
      </x:c>
      <x:c r="C1125" s="13" t="n">
        <x:v>0</x:v>
      </x:c>
      <x:c r="D1125" s="16" t="n">
        <x:v>0</x:v>
      </x:c>
      <x:c r="E1125" s="16" t="n">
        <x:v>0</x:v>
      </x:c>
      <x:c r="F1125" s="16" t="n">
        <x:v>0</x:v>
      </x:c>
      <x:c r="G1125" s="16" t="n">
        <x:v>0</x:v>
      </x:c>
      <x:c r="H1125" s="16" t="n">
        <x:v>0</x:v>
      </x:c>
      <x:c r="I1125" s="16" t="n">
        <x:v>1095924.8707511537</x:v>
      </x:c>
      <x:c r="J1125" s="16" t="n">
        <x:v>1100046.8608118629</x:v>
      </x:c>
      <x:c r="K1125" s="16" t="n">
        <x:v>-4121.990060709184</x:v>
      </x:c>
      <x:c r="L1125" s="18" t="n">
        <x:v>-0.0037471040621551</x:v>
      </x:c>
      <x:c r="M1125" s="18" t="n">
        <x:v>0</x:v>
      </x:c>
      <x:c r="O1125" t="str">
        <x:v>2025-09-01</x:v>
      </x:c>
      <x:c r="P1125" t="n">
        <x:v>1095924.8707511537</x:v>
      </x:c>
    </x:row>
    <x:row r="1126" ht="15" hidden="0" customHeight="1">
      <x:c r="A1126" s="13" t="str">
        <x:v>2025-09-02</x:v>
      </x:c>
      <x:c r="B1126" s="13" t="n">
        <x:v>1</x:v>
      </x:c>
      <x:c r="C1126" s="13" t="n">
        <x:v>4</x:v>
      </x:c>
      <x:c r="D1126" s="16" t="n">
        <x:v>9495</x:v>
      </x:c>
      <x:c r="E1126" s="16" t="n">
        <x:v>363.8888963525967</x:v>
      </x:c>
      <x:c r="F1126" s="16" t="n">
        <x:v>9131.111103647405</x:v>
      </x:c>
      <x:c r="G1126" s="16" t="n">
        <x:v>33227.121184989555</x:v>
      </x:c>
      <x:c r="H1126" s="16" t="n">
        <x:v>343269.9968208361</x:v>
      </x:c>
      <x:c r="I1126" s="16" t="n">
        <x:v>1105055.981854801</x:v>
      </x:c>
      <x:c r="J1126" s="16" t="n">
        <x:v>1105055.981854801</x:v>
      </x:c>
      <x:c r="K1126" s="16" t="n">
        <x:v>0</x:v>
      </x:c>
      <x:c r="L1126" s="18" t="n">
        <x:v>0</x:v>
      </x:c>
      <x:c r="M1126" s="18" t="n">
        <x:v>0.0083318768898719</x:v>
      </x:c>
      <x:c r="O1126" t="str">
        <x:v>2025-09-02</x:v>
      </x:c>
      <x:c r="P1126" t="n">
        <x:v>1105055.981854801</x:v>
      </x:c>
    </x:row>
    <x:row r="1127" ht="15" hidden="0" customHeight="1">
      <x:c r="A1127" s="13" t="str">
        <x:v>2025-09-03</x:v>
      </x:c>
      <x:c r="B1127" s="13" t="n">
        <x:v>0</x:v>
      </x:c>
      <x:c r="C1127" s="13" t="n">
        <x:v>0</x:v>
      </x:c>
      <x:c r="D1127" s="16" t="n">
        <x:v>0</x:v>
      </x:c>
      <x:c r="E1127" s="16" t="n">
        <x:v>0</x:v>
      </x:c>
      <x:c r="F1127" s="16" t="n">
        <x:v>0</x:v>
      </x:c>
      <x:c r="G1127" s="16" t="n">
        <x:v>0</x:v>
      </x:c>
      <x:c r="H1127" s="16" t="n">
        <x:v>0</x:v>
      </x:c>
      <x:c r="I1127" s="16" t="n">
        <x:v>1105055.981854801</x:v>
      </x:c>
      <x:c r="J1127" s="16" t="n">
        <x:v>1105055.981854801</x:v>
      </x:c>
      <x:c r="K1127" s="16" t="n">
        <x:v>0</x:v>
      </x:c>
      <x:c r="L1127" s="18" t="n">
        <x:v>0</x:v>
      </x:c>
      <x:c r="M1127" s="18" t="n">
        <x:v>0</x:v>
      </x:c>
      <x:c r="O1127" t="str">
        <x:v>2025-09-03</x:v>
      </x:c>
      <x:c r="P1127" t="n">
        <x:v>1105055.981854801</x:v>
      </x:c>
    </x:row>
    <x:row r="1128" ht="15" hidden="0" customHeight="1">
      <x:c r="A1128" s="13" t="str">
        <x:v>2025-09-04</x:v>
      </x:c>
      <x:c r="B1128" s="13" t="n">
        <x:v>0</x:v>
      </x:c>
      <x:c r="C1128" s="13" t="n">
        <x:v>0</x:v>
      </x:c>
      <x:c r="D1128" s="16" t="n">
        <x:v>0</x:v>
      </x:c>
      <x:c r="E1128" s="16" t="n">
        <x:v>0</x:v>
      </x:c>
      <x:c r="F1128" s="16" t="n">
        <x:v>0</x:v>
      </x:c>
      <x:c r="G1128" s="16" t="n">
        <x:v>0</x:v>
      </x:c>
      <x:c r="H1128" s="16" t="n">
        <x:v>0</x:v>
      </x:c>
      <x:c r="I1128" s="16" t="n">
        <x:v>1105055.981854801</x:v>
      </x:c>
      <x:c r="J1128" s="16" t="n">
        <x:v>1105055.981854801</x:v>
      </x:c>
      <x:c r="K1128" s="16" t="n">
        <x:v>0</x:v>
      </x:c>
      <x:c r="L1128" s="18" t="n">
        <x:v>0</x:v>
      </x:c>
      <x:c r="M1128" s="18" t="n">
        <x:v>0</x:v>
      </x:c>
      <x:c r="O1128" t="str">
        <x:v>2025-09-04</x:v>
      </x:c>
      <x:c r="P1128" t="n">
        <x:v>1105055.981854801</x:v>
      </x:c>
    </x:row>
    <x:row r="1129" ht="15" hidden="0" customHeight="1">
      <x:c r="A1129" s="13" t="str">
        <x:v>2025-09-05</x:v>
      </x:c>
      <x:c r="B1129" s="13" t="n">
        <x:v>0</x:v>
      </x:c>
      <x:c r="C1129" s="13" t="n">
        <x:v>0</x:v>
      </x:c>
      <x:c r="D1129" s="16" t="n">
        <x:v>0</x:v>
      </x:c>
      <x:c r="E1129" s="16" t="n">
        <x:v>0</x:v>
      </x:c>
      <x:c r="F1129" s="16" t="n">
        <x:v>0</x:v>
      </x:c>
      <x:c r="G1129" s="16" t="n">
        <x:v>0</x:v>
      </x:c>
      <x:c r="H1129" s="16" t="n">
        <x:v>0</x:v>
      </x:c>
      <x:c r="I1129" s="16" t="n">
        <x:v>1105055.981854801</x:v>
      </x:c>
      <x:c r="J1129" s="16" t="n">
        <x:v>1105055.981854801</x:v>
      </x:c>
      <x:c r="K1129" s="16" t="n">
        <x:v>0</x:v>
      </x:c>
      <x:c r="L1129" s="18" t="n">
        <x:v>0</x:v>
      </x:c>
      <x:c r="M1129" s="18" t="n">
        <x:v>0</x:v>
      </x:c>
      <x:c r="O1129" t="str">
        <x:v>2025-09-05</x:v>
      </x:c>
      <x:c r="P1129" t="n">
        <x:v>1105055.981854801</x:v>
      </x:c>
    </x:row>
    <x:row r="1130" ht="15" hidden="0" customHeight="1">
      <x:c r="A1130" s="13" t="str">
        <x:v>2025-09-08</x:v>
      </x:c>
      <x:c r="B1130" s="13" t="n">
        <x:v>0</x:v>
      </x:c>
      <x:c r="C1130" s="13" t="n">
        <x:v>0</x:v>
      </x:c>
      <x:c r="D1130" s="16" t="n">
        <x:v>0</x:v>
      </x:c>
      <x:c r="E1130" s="16" t="n">
        <x:v>0</x:v>
      </x:c>
      <x:c r="F1130" s="16" t="n">
        <x:v>0</x:v>
      </x:c>
      <x:c r="G1130" s="16" t="n">
        <x:v>0</x:v>
      </x:c>
      <x:c r="H1130" s="16" t="n">
        <x:v>0</x:v>
      </x:c>
      <x:c r="I1130" s="16" t="n">
        <x:v>1105055.981854801</x:v>
      </x:c>
      <x:c r="J1130" s="16" t="n">
        <x:v>1105055.981854801</x:v>
      </x:c>
      <x:c r="K1130" s="16" t="n">
        <x:v>0</x:v>
      </x:c>
      <x:c r="L1130" s="18" t="n">
        <x:v>0</x:v>
      </x:c>
      <x:c r="M1130" s="18" t="n">
        <x:v>0</x:v>
      </x:c>
      <x:c r="O1130" t="str">
        <x:v>2025-09-08</x:v>
      </x:c>
      <x:c r="P1130" t="n">
        <x:v>1105055.981854801</x:v>
      </x:c>
    </x:row>
    <x:row r="1131" ht="15" hidden="0" customHeight="1">
      <x:c r="A1131" s="13" t="str">
        <x:v>2025-09-09</x:v>
      </x:c>
      <x:c r="B1131" s="13" t="n">
        <x:v>1</x:v>
      </x:c>
      <x:c r="C1131" s="13" t="n">
        <x:v>4</x:v>
      </x:c>
      <x:c r="D1131" s="16" t="n">
        <x:v>2415.000000000001</x:v>
      </x:c>
      <x:c r="E1131" s="16" t="n">
        <x:v>373.1780168975751</x:v>
      </x:c>
      <x:c r="F1131" s="16" t="n">
        <x:v>2041.8219831024253</x:v>
      </x:c>
      <x:c r="G1131" s="16" t="n">
        <x:v>46815.02610398399</x:v>
      </x:c>
      <x:c r="H1131" s="16" t="n">
        <x:v>347276.15484578145</x:v>
      </x:c>
      <x:c r="I1131" s="16" t="n">
        <x:v>1107097.8038379035</x:v>
      </x:c>
      <x:c r="J1131" s="16" t="n">
        <x:v>1107097.8038379035</x:v>
      </x:c>
      <x:c r="K1131" s="16" t="n">
        <x:v>0</x:v>
      </x:c>
      <x:c r="L1131" s="18" t="n">
        <x:v>0</x:v>
      </x:c>
      <x:c r="M1131" s="18" t="n">
        <x:v>0.0018477090904258</x:v>
      </x:c>
      <x:c r="O1131" t="str">
        <x:v>2025-09-09</x:v>
      </x:c>
      <x:c r="P1131" t="n">
        <x:v>1107097.8038379035</x:v>
      </x:c>
    </x:row>
    <x:row r="1132" ht="15" hidden="0" customHeight="1">
      <x:c r="A1132" s="13" t="str">
        <x:v>2025-09-10</x:v>
      </x:c>
      <x:c r="B1132" s="13" t="n">
        <x:v>0</x:v>
      </x:c>
      <x:c r="C1132" s="13" t="n">
        <x:v>0</x:v>
      </x:c>
      <x:c r="D1132" s="16" t="n">
        <x:v>0</x:v>
      </x:c>
      <x:c r="E1132" s="16" t="n">
        <x:v>0</x:v>
      </x:c>
      <x:c r="F1132" s="16" t="n">
        <x:v>0</x:v>
      </x:c>
      <x:c r="G1132" s="16" t="n">
        <x:v>0</x:v>
      </x:c>
      <x:c r="H1132" s="16" t="n">
        <x:v>0</x:v>
      </x:c>
      <x:c r="I1132" s="16" t="n">
        <x:v>1107097.8038379035</x:v>
      </x:c>
      <x:c r="J1132" s="16" t="n">
        <x:v>1107097.8038379035</x:v>
      </x:c>
      <x:c r="K1132" s="16" t="n">
        <x:v>0</x:v>
      </x:c>
      <x:c r="L1132" s="18" t="n">
        <x:v>0</x:v>
      </x:c>
      <x:c r="M1132" s="18" t="n">
        <x:v>0</x:v>
      </x:c>
      <x:c r="O1132" t="str">
        <x:v>2025-09-10</x:v>
      </x:c>
      <x:c r="P1132" t="n">
        <x:v>1107097.8038379035</x:v>
      </x:c>
    </x:row>
    <x:row r="1133" ht="15" hidden="0" customHeight="1">
      <x:c r="A1133" s="13" t="str">
        <x:v>2025-09-11</x:v>
      </x:c>
      <x:c r="B1133" s="13" t="n">
        <x:v>0</x:v>
      </x:c>
      <x:c r="C1133" s="13" t="n">
        <x:v>0</x:v>
      </x:c>
      <x:c r="D1133" s="16" t="n">
        <x:v>0</x:v>
      </x:c>
      <x:c r="E1133" s="16" t="n">
        <x:v>0</x:v>
      </x:c>
      <x:c r="F1133" s="16" t="n">
        <x:v>0</x:v>
      </x:c>
      <x:c r="G1133" s="16" t="n">
        <x:v>0</x:v>
      </x:c>
      <x:c r="H1133" s="16" t="n">
        <x:v>0</x:v>
      </x:c>
      <x:c r="I1133" s="16" t="n">
        <x:v>1107097.8038379035</x:v>
      </x:c>
      <x:c r="J1133" s="16" t="n">
        <x:v>1107097.8038379035</x:v>
      </x:c>
      <x:c r="K1133" s="16" t="n">
        <x:v>0</x:v>
      </x:c>
      <x:c r="L1133" s="18" t="n">
        <x:v>0</x:v>
      </x:c>
      <x:c r="M1133" s="18" t="n">
        <x:v>0</x:v>
      </x:c>
      <x:c r="O1133" t="str">
        <x:v>2025-09-11</x:v>
      </x:c>
      <x:c r="P1133" t="n">
        <x:v>1107097.8038379035</x:v>
      </x:c>
    </x:row>
    <x:row r="1134" ht="15" hidden="0" customHeight="1">
      <x:c r="A1134" s="13" t="str">
        <x:v>2025-09-12</x:v>
      </x:c>
      <x:c r="B1134" s="13" t="n">
        <x:v>0</x:v>
      </x:c>
      <x:c r="C1134" s="13" t="n">
        <x:v>0</x:v>
      </x:c>
      <x:c r="D1134" s="16" t="n">
        <x:v>0</x:v>
      </x:c>
      <x:c r="E1134" s="16" t="n">
        <x:v>0</x:v>
      </x:c>
      <x:c r="F1134" s="16" t="n">
        <x:v>0</x:v>
      </x:c>
      <x:c r="G1134" s="16" t="n">
        <x:v>0</x:v>
      </x:c>
      <x:c r="H1134" s="16" t="n">
        <x:v>0</x:v>
      </x:c>
      <x:c r="I1134" s="16" t="n">
        <x:v>1107097.8038379035</x:v>
      </x:c>
      <x:c r="J1134" s="16" t="n">
        <x:v>1107097.8038379035</x:v>
      </x:c>
      <x:c r="K1134" s="16" t="n">
        <x:v>0</x:v>
      </x:c>
      <x:c r="L1134" s="18" t="n">
        <x:v>0</x:v>
      </x:c>
      <x:c r="M1134" s="18" t="n">
        <x:v>0</x:v>
      </x:c>
      <x:c r="O1134" t="str">
        <x:v>2025-09-12</x:v>
      </x:c>
      <x:c r="P1134" t="n">
        <x:v>1107097.8038379035</x:v>
      </x:c>
    </x:row>
    <x:row r="1135" ht="15" hidden="0" customHeight="1">
      <x:c r="A1135" s="13" t="str">
        <x:v>2025-09-15</x:v>
      </x:c>
      <x:c r="B1135" s="13" t="n">
        <x:v>0</x:v>
      </x:c>
      <x:c r="C1135" s="13" t="n">
        <x:v>0</x:v>
      </x:c>
      <x:c r="D1135" s="16" t="n">
        <x:v>0</x:v>
      </x:c>
      <x:c r="E1135" s="16" t="n">
        <x:v>0</x:v>
      </x:c>
      <x:c r="F1135" s="16" t="n">
        <x:v>0</x:v>
      </x:c>
      <x:c r="G1135" s="16" t="n">
        <x:v>0</x:v>
      </x:c>
      <x:c r="H1135" s="16" t="n">
        <x:v>0</x:v>
      </x:c>
      <x:c r="I1135" s="16" t="n">
        <x:v>1107097.8038379035</x:v>
      </x:c>
      <x:c r="J1135" s="16" t="n">
        <x:v>1107097.8038379035</x:v>
      </x:c>
      <x:c r="K1135" s="16" t="n">
        <x:v>0</x:v>
      </x:c>
      <x:c r="L1135" s="18" t="n">
        <x:v>0</x:v>
      </x:c>
      <x:c r="M1135" s="18" t="n">
        <x:v>0</x:v>
      </x:c>
      <x:c r="O1135" t="str">
        <x:v>2025-09-15</x:v>
      </x:c>
      <x:c r="P1135" t="n">
        <x:v>1107097.8038379035</x:v>
      </x:c>
    </x:row>
    <x:row r="1136" ht="15" hidden="0" customHeight="1">
      <x:c r="A1136" s="13" t="str">
        <x:v>2025-09-16</x:v>
      </x:c>
      <x:c r="B1136" s="13" t="n">
        <x:v>1</x:v>
      </x:c>
      <x:c r="C1136" s="13" t="n">
        <x:v>4</x:v>
      </x:c>
      <x:c r="D1136" s="16" t="n">
        <x:v>-4995</x:v>
      </x:c>
      <x:c r="E1136" s="16" t="n">
        <x:v>360.8187708297439</x:v>
      </x:c>
      <x:c r="F1136" s="16" t="n">
        <x:v>-5355.818770829744</x:v>
      </x:c>
      <x:c r="G1136" s="16" t="n">
        <x:v>34337.446234554525</x:v>
      </x:c>
      <x:c r="H1136" s="16" t="n">
        <x:v>350433.3963675621</x:v>
      </x:c>
      <x:c r="I1136" s="16" t="n">
        <x:v>1101741.9850670735</x:v>
      </x:c>
      <x:c r="J1136" s="16" t="n">
        <x:v>1107097.8038379035</x:v>
      </x:c>
      <x:c r="K1136" s="16" t="n">
        <x:v>-5355.818770829821</x:v>
      </x:c>
      <x:c r="L1136" s="18" t="n">
        <x:v>-0.004837710590937</x:v>
      </x:c>
      <x:c r="M1136" s="18" t="n">
        <x:v>-0.004837710590937</x:v>
      </x:c>
      <x:c r="O1136" t="str">
        <x:v>2025-09-16</x:v>
      </x:c>
      <x:c r="P1136" t="n">
        <x:v>1101741.9850670735</x:v>
      </x:c>
    </x:row>
    <x:row r="1137" ht="15" hidden="0" customHeight="1">
      <x:c r="A1137" s="13" t="str">
        <x:v>2025-09-17</x:v>
      </x:c>
      <x:c r="B1137" s="13" t="n">
        <x:v>0</x:v>
      </x:c>
      <x:c r="C1137" s="13" t="n">
        <x:v>0</x:v>
      </x:c>
      <x:c r="D1137" s="16" t="n">
        <x:v>0</x:v>
      </x:c>
      <x:c r="E1137" s="16" t="n">
        <x:v>0</x:v>
      </x:c>
      <x:c r="F1137" s="16" t="n">
        <x:v>0</x:v>
      </x:c>
      <x:c r="G1137" s="16" t="n">
        <x:v>0</x:v>
      </x:c>
      <x:c r="H1137" s="16" t="n">
        <x:v>0</x:v>
      </x:c>
      <x:c r="I1137" s="16" t="n">
        <x:v>1101741.9850670735</x:v>
      </x:c>
      <x:c r="J1137" s="16" t="n">
        <x:v>1107097.8038379035</x:v>
      </x:c>
      <x:c r="K1137" s="16" t="n">
        <x:v>-5355.818770829821</x:v>
      </x:c>
      <x:c r="L1137" s="18" t="n">
        <x:v>-0.004837710590937</x:v>
      </x:c>
      <x:c r="M1137" s="18" t="n">
        <x:v>0</x:v>
      </x:c>
      <x:c r="O1137" t="str">
        <x:v>2025-09-17</x:v>
      </x:c>
      <x:c r="P1137" t="n">
        <x:v>1101741.9850670735</x:v>
      </x:c>
    </x:row>
    <x:row r="1138" ht="15" hidden="0" customHeight="1">
      <x:c r="A1138" s="13" t="str">
        <x:v>2025-09-18</x:v>
      </x:c>
      <x:c r="B1138" s="13" t="n">
        <x:v>0</x:v>
      </x:c>
      <x:c r="C1138" s="13" t="n">
        <x:v>0</x:v>
      </x:c>
      <x:c r="D1138" s="16" t="n">
        <x:v>0</x:v>
      </x:c>
      <x:c r="E1138" s="16" t="n">
        <x:v>0</x:v>
      </x:c>
      <x:c r="F1138" s="16" t="n">
        <x:v>0</x:v>
      </x:c>
      <x:c r="G1138" s="16" t="n">
        <x:v>0</x:v>
      </x:c>
      <x:c r="H1138" s="16" t="n">
        <x:v>0</x:v>
      </x:c>
      <x:c r="I1138" s="16" t="n">
        <x:v>1101741.9850670735</x:v>
      </x:c>
      <x:c r="J1138" s="16" t="n">
        <x:v>1107097.8038379035</x:v>
      </x:c>
      <x:c r="K1138" s="16" t="n">
        <x:v>-5355.818770829821</x:v>
      </x:c>
      <x:c r="L1138" s="18" t="n">
        <x:v>-0.004837710590937</x:v>
      </x:c>
      <x:c r="M1138" s="18" t="n">
        <x:v>0</x:v>
      </x:c>
      <x:c r="O1138" t="str">
        <x:v>2025-09-18</x:v>
      </x:c>
      <x:c r="P1138" t="n">
        <x:v>1101741.9850670735</x:v>
      </x:c>
    </x:row>
    <x:row r="1139" ht="15" hidden="0" customHeight="1">
      <x:c r="A1139" s="13" t="str">
        <x:v>2025-09-19</x:v>
      </x:c>
      <x:c r="B1139" s="13" t="n">
        <x:v>0</x:v>
      </x:c>
      <x:c r="C1139" s="13" t="n">
        <x:v>0</x:v>
      </x:c>
      <x:c r="D1139" s="16" t="n">
        <x:v>0</x:v>
      </x:c>
      <x:c r="E1139" s="16" t="n">
        <x:v>0</x:v>
      </x:c>
      <x:c r="F1139" s="16" t="n">
        <x:v>0</x:v>
      </x:c>
      <x:c r="G1139" s="16" t="n">
        <x:v>0</x:v>
      </x:c>
      <x:c r="H1139" s="16" t="n">
        <x:v>0</x:v>
      </x:c>
      <x:c r="I1139" s="16" t="n">
        <x:v>1101741.9850670735</x:v>
      </x:c>
      <x:c r="J1139" s="16" t="n">
        <x:v>1107097.8038379035</x:v>
      </x:c>
      <x:c r="K1139" s="16" t="n">
        <x:v>-5355.818770829821</x:v>
      </x:c>
      <x:c r="L1139" s="18" t="n">
        <x:v>-0.004837710590937</x:v>
      </x:c>
      <x:c r="M1139" s="18" t="n">
        <x:v>0</x:v>
      </x:c>
      <x:c r="O1139" t="str">
        <x:v>2025-09-19</x:v>
      </x:c>
      <x:c r="P1139" t="n">
        <x:v>1101741.9850670735</x:v>
      </x:c>
    </x:row>
    <x:row r="1140" ht="15" hidden="0" customHeight="1">
      <x:c r="A1140" s="13" t="str">
        <x:v>2025-09-22</x:v>
      </x:c>
      <x:c r="B1140" s="13" t="n">
        <x:v>0</x:v>
      </x:c>
      <x:c r="C1140" s="13" t="n">
        <x:v>0</x:v>
      </x:c>
      <x:c r="D1140" s="16" t="n">
        <x:v>0</x:v>
      </x:c>
      <x:c r="E1140" s="16" t="n">
        <x:v>0</x:v>
      </x:c>
      <x:c r="F1140" s="16" t="n">
        <x:v>0</x:v>
      </x:c>
      <x:c r="G1140" s="16" t="n">
        <x:v>0</x:v>
      </x:c>
      <x:c r="H1140" s="16" t="n">
        <x:v>0</x:v>
      </x:c>
      <x:c r="I1140" s="16" t="n">
        <x:v>1101741.9850670735</x:v>
      </x:c>
      <x:c r="J1140" s="16" t="n">
        <x:v>1107097.8038379035</x:v>
      </x:c>
      <x:c r="K1140" s="16" t="n">
        <x:v>-5355.818770829821</x:v>
      </x:c>
      <x:c r="L1140" s="18" t="n">
        <x:v>-0.004837710590937</x:v>
      </x:c>
      <x:c r="M1140" s="18" t="n">
        <x:v>0</x:v>
      </x:c>
      <x:c r="O1140" t="str">
        <x:v>2025-09-22</x:v>
      </x:c>
      <x:c r="P1140" t="n">
        <x:v>1101741.9850670735</x:v>
      </x:c>
    </x:row>
    <x:row r="1141" ht="15" hidden="0" customHeight="1">
      <x:c r="A1141" s="13" t="str">
        <x:v>2025-09-23</x:v>
      </x:c>
      <x:c r="B1141" s="13" t="n">
        <x:v>1</x:v>
      </x:c>
      <x:c r="C1141" s="13" t="n">
        <x:v>4</x:v>
      </x:c>
      <x:c r="D1141" s="16" t="n">
        <x:v>945</x:v>
      </x:c>
      <x:c r="E1141" s="16" t="n">
        <x:v>360.23958064801104</x:v>
      </x:c>
      <x:c r="F1141" s="16" t="n">
        <x:v>584.7604193519888</x:v>
      </x:c>
      <x:c r="G1141" s="16" t="n">
        <x:v>33824.82875342132</x:v>
      </x:c>
      <x:c r="H1141" s="16" t="n">
        <x:v>350055.3427659197</x:v>
      </x:c>
      <x:c r="I1141" s="16" t="n">
        <x:v>1102326.7454864257</x:v>
      </x:c>
      <x:c r="J1141" s="16" t="n">
        <x:v>1107097.8038379035</x:v>
      </x:c>
      <x:c r="K1141" s="16" t="n">
        <x:v>-4771.058351477841</x:v>
      </x:c>
      <x:c r="L1141" s="18" t="n">
        <x:v>-0.0043095183956993</x:v>
      </x:c>
      <x:c r="M1141" s="18" t="n">
        <x:v>0.000530759857823</x:v>
      </x:c>
      <x:c r="O1141" t="str">
        <x:v>2025-09-23</x:v>
      </x:c>
      <x:c r="P1141" t="n">
        <x:v>1102326.7454864257</x:v>
      </x:c>
    </x:row>
    <x:row r="1142" ht="15" hidden="0" customHeight="1">
      <x:c r="A1142" s="13" t="str">
        <x:v>2025-09-24</x:v>
      </x:c>
      <x:c r="B1142" s="13" t="n">
        <x:v>0</x:v>
      </x:c>
      <x:c r="C1142" s="13" t="n">
        <x:v>0</x:v>
      </x:c>
      <x:c r="D1142" s="16" t="n">
        <x:v>0</x:v>
      </x:c>
      <x:c r="E1142" s="16" t="n">
        <x:v>0</x:v>
      </x:c>
      <x:c r="F1142" s="16" t="n">
        <x:v>0</x:v>
      </x:c>
      <x:c r="G1142" s="16" t="n">
        <x:v>0</x:v>
      </x:c>
      <x:c r="H1142" s="16" t="n">
        <x:v>0</x:v>
      </x:c>
      <x:c r="I1142" s="16" t="n">
        <x:v>1102326.7454864257</x:v>
      </x:c>
      <x:c r="J1142" s="16" t="n">
        <x:v>1107097.8038379035</x:v>
      </x:c>
      <x:c r="K1142" s="16" t="n">
        <x:v>-4771.058351477841</x:v>
      </x:c>
      <x:c r="L1142" s="18" t="n">
        <x:v>-0.0043095183956993</x:v>
      </x:c>
      <x:c r="M1142" s="18" t="n">
        <x:v>0</x:v>
      </x:c>
      <x:c r="O1142" t="str">
        <x:v>2025-09-24</x:v>
      </x:c>
      <x:c r="P1142" t="n">
        <x:v>1102326.7454864257</x:v>
      </x:c>
    </x:row>
    <x:row r="1143" ht="15" hidden="0" customHeight="1">
      <x:c r="A1143" s="13" t="str">
        <x:v>2025-09-25</x:v>
      </x:c>
      <x:c r="B1143" s="13" t="n">
        <x:v>0</x:v>
      </x:c>
      <x:c r="C1143" s="13" t="n">
        <x:v>0</x:v>
      </x:c>
      <x:c r="D1143" s="16" t="n">
        <x:v>0</x:v>
      </x:c>
      <x:c r="E1143" s="16" t="n">
        <x:v>0</x:v>
      </x:c>
      <x:c r="F1143" s="16" t="n">
        <x:v>0</x:v>
      </x:c>
      <x:c r="G1143" s="16" t="n">
        <x:v>0</x:v>
      </x:c>
      <x:c r="H1143" s="16" t="n">
        <x:v>0</x:v>
      </x:c>
      <x:c r="I1143" s="16" t="n">
        <x:v>1102326.7454864257</x:v>
      </x:c>
      <x:c r="J1143" s="16" t="n">
        <x:v>1107097.8038379035</x:v>
      </x:c>
      <x:c r="K1143" s="16" t="n">
        <x:v>-4771.058351477841</x:v>
      </x:c>
      <x:c r="L1143" s="18" t="n">
        <x:v>-0.0043095183956993</x:v>
      </x:c>
      <x:c r="M1143" s="18" t="n">
        <x:v>0</x:v>
      </x:c>
      <x:c r="O1143" t="str">
        <x:v>2025-09-25</x:v>
      </x:c>
      <x:c r="P1143" t="n">
        <x:v>1102326.7454864257</x:v>
      </x:c>
    </x:row>
    <x:row r="1144" ht="15" hidden="0" customHeight="1">
      <x:c r="A1144" s="13" t="str">
        <x:v>2025-09-26</x:v>
      </x:c>
      <x:c r="B1144" s="13" t="n">
        <x:v>0</x:v>
      </x:c>
      <x:c r="C1144" s="13" t="n">
        <x:v>0</x:v>
      </x:c>
      <x:c r="D1144" s="16" t="n">
        <x:v>0</x:v>
      </x:c>
      <x:c r="E1144" s="16" t="n">
        <x:v>0</x:v>
      </x:c>
      <x:c r="F1144" s="16" t="n">
        <x:v>0</x:v>
      </x:c>
      <x:c r="G1144" s="16" t="n">
        <x:v>0</x:v>
      </x:c>
      <x:c r="H1144" s="16" t="n">
        <x:v>0</x:v>
      </x:c>
      <x:c r="I1144" s="16" t="n">
        <x:v>1102326.7454864257</x:v>
      </x:c>
      <x:c r="J1144" s="16" t="n">
        <x:v>1107097.8038379035</x:v>
      </x:c>
      <x:c r="K1144" s="16" t="n">
        <x:v>-4771.058351477841</x:v>
      </x:c>
      <x:c r="L1144" s="18" t="n">
        <x:v>-0.0043095183956993</x:v>
      </x:c>
      <x:c r="M1144" s="18" t="n">
        <x:v>0</x:v>
      </x:c>
      <x:c r="O1144" t="str">
        <x:v>2025-09-26</x:v>
      </x:c>
      <x:c r="P1144" t="n">
        <x:v>1102326.7454864257</x:v>
      </x:c>
    </x:row>
    <x:row r="1145" ht="15" hidden="0" customHeight="1">
      <x:c r="A1145" s="13" t="str">
        <x:v>2025-09-29</x:v>
      </x:c>
      <x:c r="B1145" s="13" t="n">
        <x:v>0</x:v>
      </x:c>
      <x:c r="C1145" s="13" t="n">
        <x:v>0</x:v>
      </x:c>
      <x:c r="D1145" s="16" t="n">
        <x:v>0</x:v>
      </x:c>
      <x:c r="E1145" s="16" t="n">
        <x:v>0</x:v>
      </x:c>
      <x:c r="F1145" s="16" t="n">
        <x:v>0</x:v>
      </x:c>
      <x:c r="G1145" s="16" t="n">
        <x:v>0</x:v>
      </x:c>
      <x:c r="H1145" s="16" t="n">
        <x:v>0</x:v>
      </x:c>
      <x:c r="I1145" s="16" t="n">
        <x:v>1102326.7454864257</x:v>
      </x:c>
      <x:c r="J1145" s="16" t="n">
        <x:v>1107097.8038379035</x:v>
      </x:c>
      <x:c r="K1145" s="16" t="n">
        <x:v>-4771.058351477841</x:v>
      </x:c>
      <x:c r="L1145" s="18" t="n">
        <x:v>-0.0043095183956993</x:v>
      </x:c>
      <x:c r="M1145" s="18" t="n">
        <x:v>0</x:v>
      </x:c>
      <x:c r="O1145" t="str">
        <x:v>2025-09-29</x:v>
      </x:c>
      <x:c r="P1145" t="n">
        <x:v>1102326.7454864257</x:v>
      </x:c>
    </x:row>
    <x:row r="1146" ht="15" hidden="0" customHeight="1">
      <x:c r="A1146" s="13" t="str">
        <x:v>2025-09-30</x:v>
      </x:c>
      <x:c r="B1146" s="13" t="n">
        <x:v>0</x:v>
      </x:c>
      <x:c r="C1146" s="13" t="n">
        <x:v>0</x:v>
      </x:c>
      <x:c r="D1146" s="16" t="n">
        <x:v>0</x:v>
      </x:c>
      <x:c r="E1146" s="16" t="n">
        <x:v>0</x:v>
      </x:c>
      <x:c r="F1146" s="16" t="n">
        <x:v>0</x:v>
      </x:c>
      <x:c r="G1146" s="16" t="n">
        <x:v>0</x:v>
      </x:c>
      <x:c r="H1146" s="16" t="n">
        <x:v>0</x:v>
      </x:c>
      <x:c r="I1146" s="16" t="n">
        <x:v>1102326.7454864257</x:v>
      </x:c>
      <x:c r="J1146" s="16" t="n">
        <x:v>1107097.8038379035</x:v>
      </x:c>
      <x:c r="K1146" s="16" t="n">
        <x:v>-4771.058351477841</x:v>
      </x:c>
      <x:c r="L1146" s="18" t="n">
        <x:v>-0.0043095183956993</x:v>
      </x:c>
      <x:c r="M1146" s="18" t="n">
        <x:v>0</x:v>
      </x:c>
      <x:c r="O1146" t="str">
        <x:v>2025-09-30</x:v>
      </x:c>
      <x:c r="P1146" t="n">
        <x:v>1102326.7454864257</x:v>
      </x:c>
    </x:row>
    <x:row r="1147" ht="15" hidden="0" customHeight="1">
      <x:c r="A1147" s="13" t="str">
        <x:v>2025-10-01</x:v>
      </x:c>
      <x:c r="B1147" s="13" t="n">
        <x:v>0</x:v>
      </x:c>
      <x:c r="C1147" s="13" t="n">
        <x:v>0</x:v>
      </x:c>
      <x:c r="D1147" s="16" t="n">
        <x:v>0</x:v>
      </x:c>
      <x:c r="E1147" s="16" t="n">
        <x:v>0</x:v>
      </x:c>
      <x:c r="F1147" s="16" t="n">
        <x:v>0</x:v>
      </x:c>
      <x:c r="G1147" s="16" t="n">
        <x:v>0</x:v>
      </x:c>
      <x:c r="H1147" s="16" t="n">
        <x:v>0</x:v>
      </x:c>
      <x:c r="I1147" s="16" t="n">
        <x:v>1102326.7454864257</x:v>
      </x:c>
      <x:c r="J1147" s="16" t="n">
        <x:v>1107097.8038379035</x:v>
      </x:c>
      <x:c r="K1147" s="16" t="n">
        <x:v>-4771.058351477841</x:v>
      </x:c>
      <x:c r="L1147" s="18" t="n">
        <x:v>-0.0043095183956993</x:v>
      </x:c>
      <x:c r="M1147" s="18" t="n">
        <x:v>0</x:v>
      </x:c>
      <x:c r="O1147" t="str">
        <x:v>2025-10-01</x:v>
      </x:c>
      <x:c r="P1147" t="n">
        <x:v>1102326.7454864257</x:v>
      </x:c>
    </x:row>
    <x:row r="1148" ht="15" hidden="0" customHeight="1">
      <x:c r="A1148" s="13" t="str">
        <x:v>2025-10-02</x:v>
      </x:c>
      <x:c r="B1148" s="13" t="n">
        <x:v>0</x:v>
      </x:c>
      <x:c r="C1148" s="13" t="n">
        <x:v>0</x:v>
      </x:c>
      <x:c r="D1148" s="16" t="n">
        <x:v>0</x:v>
      </x:c>
      <x:c r="E1148" s="16" t="n">
        <x:v>0</x:v>
      </x:c>
      <x:c r="F1148" s="16" t="n">
        <x:v>0</x:v>
      </x:c>
      <x:c r="G1148" s="16" t="n">
        <x:v>0</x:v>
      </x:c>
      <x:c r="H1148" s="16" t="n">
        <x:v>0</x:v>
      </x:c>
      <x:c r="I1148" s="16" t="n">
        <x:v>1102326.7454864257</x:v>
      </x:c>
      <x:c r="J1148" s="16" t="n">
        <x:v>1107097.8038379035</x:v>
      </x:c>
      <x:c r="K1148" s="16" t="n">
        <x:v>-4771.058351477841</x:v>
      </x:c>
      <x:c r="L1148" s="18" t="n">
        <x:v>-0.0043095183956993</x:v>
      </x:c>
      <x:c r="M1148" s="18" t="n">
        <x:v>0</x:v>
      </x:c>
      <x:c r="O1148" t="str">
        <x:v>2025-10-02</x:v>
      </x:c>
      <x:c r="P1148" t="n">
        <x:v>1102326.7454864257</x:v>
      </x:c>
    </x:row>
    <x:row r="1149" ht="15" hidden="0" customHeight="1">
      <x:c r="A1149" s="13" t="str">
        <x:v>2025-10-03</x:v>
      </x:c>
      <x:c r="B1149" s="13" t="n">
        <x:v>0</x:v>
      </x:c>
      <x:c r="C1149" s="13" t="n">
        <x:v>0</x:v>
      </x:c>
      <x:c r="D1149" s="16" t="n">
        <x:v>0</x:v>
      </x:c>
      <x:c r="E1149" s="16" t="n">
        <x:v>0</x:v>
      </x:c>
      <x:c r="F1149" s="16" t="n">
        <x:v>0</x:v>
      </x:c>
      <x:c r="G1149" s="16" t="n">
        <x:v>0</x:v>
      </x:c>
      <x:c r="H1149" s="16" t="n">
        <x:v>0</x:v>
      </x:c>
      <x:c r="I1149" s="16" t="n">
        <x:v>1102326.7454864257</x:v>
      </x:c>
      <x:c r="J1149" s="16" t="n">
        <x:v>1107097.8038379035</x:v>
      </x:c>
      <x:c r="K1149" s="16" t="n">
        <x:v>-4771.058351477841</x:v>
      </x:c>
      <x:c r="L1149" s="18" t="n">
        <x:v>-0.0043095183956993</x:v>
      </x:c>
      <x:c r="M1149" s="18" t="n">
        <x:v>0</x:v>
      </x:c>
      <x:c r="O1149" t="str">
        <x:v>2025-10-03</x:v>
      </x:c>
      <x:c r="P1149" t="n">
        <x:v>1102326.7454864257</x:v>
      </x:c>
    </x:row>
    <x:row r="1150" ht="15" hidden="0" customHeight="1">
      <x:c r="A1150" s="13" t="str">
        <x:v>2025-10-06</x:v>
      </x:c>
      <x:c r="B1150" s="13" t="n">
        <x:v>0</x:v>
      </x:c>
      <x:c r="C1150" s="13" t="n">
        <x:v>0</x:v>
      </x:c>
      <x:c r="D1150" s="16" t="n">
        <x:v>0</x:v>
      </x:c>
      <x:c r="E1150" s="16" t="n">
        <x:v>0</x:v>
      </x:c>
      <x:c r="F1150" s="16" t="n">
        <x:v>0</x:v>
      </x:c>
      <x:c r="G1150" s="16" t="n">
        <x:v>0</x:v>
      </x:c>
      <x:c r="H1150" s="16" t="n">
        <x:v>0</x:v>
      </x:c>
      <x:c r="I1150" s="16" t="n">
        <x:v>1102326.7454864257</x:v>
      </x:c>
      <x:c r="J1150" s="16" t="n">
        <x:v>1107097.8038379035</x:v>
      </x:c>
      <x:c r="K1150" s="16" t="n">
        <x:v>-4771.058351477841</x:v>
      </x:c>
      <x:c r="L1150" s="18" t="n">
        <x:v>-0.0043095183956993</x:v>
      </x:c>
      <x:c r="M1150" s="18" t="n">
        <x:v>0</x:v>
      </x:c>
      <x:c r="O1150" t="str">
        <x:v>2025-10-06</x:v>
      </x:c>
      <x:c r="P1150" t="n">
        <x:v>1102326.7454864257</x:v>
      </x:c>
    </x:row>
    <x:row r="1151" ht="15" hidden="0" customHeight="1">
      <x:c r="A1151" s="13" t="str">
        <x:v>2025-10-07</x:v>
      </x:c>
      <x:c r="B1151" s="13" t="n">
        <x:v>0</x:v>
      </x:c>
      <x:c r="C1151" s="13" t="n">
        <x:v>0</x:v>
      </x:c>
      <x:c r="D1151" s="16" t="n">
        <x:v>0</x:v>
      </x:c>
      <x:c r="E1151" s="16" t="n">
        <x:v>0</x:v>
      </x:c>
      <x:c r="F1151" s="16" t="n">
        <x:v>0</x:v>
      </x:c>
      <x:c r="G1151" s="16" t="n">
        <x:v>0</x:v>
      </x:c>
      <x:c r="H1151" s="16" t="n">
        <x:v>0</x:v>
      </x:c>
      <x:c r="I1151" s="16" t="n">
        <x:v>1102326.7454864257</x:v>
      </x:c>
      <x:c r="J1151" s="16" t="n">
        <x:v>1107097.8038379035</x:v>
      </x:c>
      <x:c r="K1151" s="16" t="n">
        <x:v>-4771.058351477841</x:v>
      </x:c>
      <x:c r="L1151" s="18" t="n">
        <x:v>-0.0043095183956993</x:v>
      </x:c>
      <x:c r="M1151" s="18" t="n">
        <x:v>0</x:v>
      </x:c>
      <x:c r="O1151" t="str">
        <x:v>2025-10-07</x:v>
      </x:c>
      <x:c r="P1151" t="n">
        <x:v>1102326.7454864257</x:v>
      </x:c>
    </x:row>
    <x:row r="1152" ht="15" hidden="0" customHeight="1">
      <x:c r="A1152" s="13" t="str">
        <x:v>2025-10-08</x:v>
      </x:c>
      <x:c r="B1152" s="13" t="n">
        <x:v>0</x:v>
      </x:c>
      <x:c r="C1152" s="13" t="n">
        <x:v>0</x:v>
      </x:c>
      <x:c r="D1152" s="16" t="n">
        <x:v>0</x:v>
      </x:c>
      <x:c r="E1152" s="16" t="n">
        <x:v>0</x:v>
      </x:c>
      <x:c r="F1152" s="16" t="n">
        <x:v>0</x:v>
      </x:c>
      <x:c r="G1152" s="16" t="n">
        <x:v>0</x:v>
      </x:c>
      <x:c r="H1152" s="16" t="n">
        <x:v>0</x:v>
      </x:c>
      <x:c r="I1152" s="16" t="n">
        <x:v>1102326.7454864257</x:v>
      </x:c>
      <x:c r="J1152" s="16" t="n">
        <x:v>1107097.8038379035</x:v>
      </x:c>
      <x:c r="K1152" s="16" t="n">
        <x:v>-4771.058351477841</x:v>
      </x:c>
      <x:c r="L1152" s="18" t="n">
        <x:v>-0.0043095183956993</x:v>
      </x:c>
      <x:c r="M1152" s="18" t="n">
        <x:v>0</x:v>
      </x:c>
      <x:c r="O1152" t="str">
        <x:v>2025-10-08</x:v>
      </x:c>
      <x:c r="P1152" t="n">
        <x:v>1102326.7454864257</x:v>
      </x:c>
    </x:row>
    <x:row r="1153" ht="15" hidden="0" customHeight="1">
      <x:c r="A1153" s="13" t="str">
        <x:v>2025-10-09</x:v>
      </x:c>
      <x:c r="B1153" s="13" t="n">
        <x:v>0</x:v>
      </x:c>
      <x:c r="C1153" s="13" t="n">
        <x:v>0</x:v>
      </x:c>
      <x:c r="D1153" s="16" t="n">
        <x:v>0</x:v>
      </x:c>
      <x:c r="E1153" s="16" t="n">
        <x:v>0</x:v>
      </x:c>
      <x:c r="F1153" s="16" t="n">
        <x:v>0</x:v>
      </x:c>
      <x:c r="G1153" s="16" t="n">
        <x:v>0</x:v>
      </x:c>
      <x:c r="H1153" s="16" t="n">
        <x:v>0</x:v>
      </x:c>
      <x:c r="I1153" s="16" t="n">
        <x:v>1102326.7454864257</x:v>
      </x:c>
      <x:c r="J1153" s="16" t="n">
        <x:v>1107097.8038379035</x:v>
      </x:c>
      <x:c r="K1153" s="16" t="n">
        <x:v>-4771.058351477841</x:v>
      </x:c>
      <x:c r="L1153" s="18" t="n">
        <x:v>-0.0043095183956993</x:v>
      </x:c>
      <x:c r="M1153" s="18" t="n">
        <x:v>0</x:v>
      </x:c>
      <x:c r="O1153" t="str">
        <x:v>2025-10-09</x:v>
      </x:c>
      <x:c r="P1153" t="n">
        <x:v>1102326.7454864257</x:v>
      </x:c>
    </x:row>
    <x:row r="1154" ht="15" hidden="0" customHeight="1">
      <x:c r="A1154" s="13" t="str">
        <x:v>2025-10-10</x:v>
      </x:c>
      <x:c r="B1154" s="13" t="n">
        <x:v>0</x:v>
      </x:c>
      <x:c r="C1154" s="13" t="n">
        <x:v>0</x:v>
      </x:c>
      <x:c r="D1154" s="16" t="n">
        <x:v>0</x:v>
      </x:c>
      <x:c r="E1154" s="16" t="n">
        <x:v>0</x:v>
      </x:c>
      <x:c r="F1154" s="16" t="n">
        <x:v>0</x:v>
      </x:c>
      <x:c r="G1154" s="16" t="n">
        <x:v>0</x:v>
      </x:c>
      <x:c r="H1154" s="16" t="n">
        <x:v>0</x:v>
      </x:c>
      <x:c r="I1154" s="16" t="n">
        <x:v>1102326.7454864257</x:v>
      </x:c>
      <x:c r="J1154" s="16" t="n">
        <x:v>1107097.8038379035</x:v>
      </x:c>
      <x:c r="K1154" s="16" t="n">
        <x:v>-4771.058351477841</x:v>
      </x:c>
      <x:c r="L1154" s="18" t="n">
        <x:v>-0.0043095183956993</x:v>
      </x:c>
      <x:c r="M1154" s="18" t="n">
        <x:v>0</x:v>
      </x:c>
      <x:c r="O1154" t="str">
        <x:v>2025-10-10</x:v>
      </x:c>
      <x:c r="P1154" t="n">
        <x:v>1102326.7454864257</x:v>
      </x:c>
    </x:row>
    <x:row r="1155" ht="15" hidden="0" customHeight="1">
      <x:c r="A1155" s="13" t="str">
        <x:v>2025-10-13</x:v>
      </x:c>
      <x:c r="B1155" s="13" t="n">
        <x:v>0</x:v>
      </x:c>
      <x:c r="C1155" s="13" t="n">
        <x:v>0</x:v>
      </x:c>
      <x:c r="D1155" s="16" t="n">
        <x:v>0</x:v>
      </x:c>
      <x:c r="E1155" s="16" t="n">
        <x:v>0</x:v>
      </x:c>
      <x:c r="F1155" s="16" t="n">
        <x:v>0</x:v>
      </x:c>
      <x:c r="G1155" s="16" t="n">
        <x:v>0</x:v>
      </x:c>
      <x:c r="H1155" s="16" t="n">
        <x:v>0</x:v>
      </x:c>
      <x:c r="I1155" s="16" t="n">
        <x:v>1102326.7454864257</x:v>
      </x:c>
      <x:c r="J1155" s="16" t="n">
        <x:v>1107097.8038379035</x:v>
      </x:c>
      <x:c r="K1155" s="16" t="n">
        <x:v>-4771.058351477841</x:v>
      </x:c>
      <x:c r="L1155" s="18" t="n">
        <x:v>-0.0043095183956993</x:v>
      </x:c>
      <x:c r="M1155" s="18" t="n">
        <x:v>0</x:v>
      </x:c>
      <x:c r="O1155" t="str">
        <x:v>2025-10-13</x:v>
      </x:c>
      <x:c r="P1155" t="n">
        <x:v>1102326.7454864257</x:v>
      </x:c>
    </x:row>
    <x:row r="1156" ht="15" hidden="0" customHeight="1">
      <x:c r="A1156" s="13" t="str">
        <x:v>2025-10-14</x:v>
      </x:c>
      <x:c r="B1156" s="13" t="n">
        <x:v>0</x:v>
      </x:c>
      <x:c r="C1156" s="13" t="n">
        <x:v>0</x:v>
      </x:c>
      <x:c r="D1156" s="16" t="n">
        <x:v>0</x:v>
      </x:c>
      <x:c r="E1156" s="16" t="n">
        <x:v>0</x:v>
      </x:c>
      <x:c r="F1156" s="16" t="n">
        <x:v>0</x:v>
      </x:c>
      <x:c r="G1156" s="16" t="n">
        <x:v>0</x:v>
      </x:c>
      <x:c r="H1156" s="16" t="n">
        <x:v>0</x:v>
      </x:c>
      <x:c r="I1156" s="16" t="n">
        <x:v>1102326.7454864257</x:v>
      </x:c>
      <x:c r="J1156" s="16" t="n">
        <x:v>1107097.8038379035</x:v>
      </x:c>
      <x:c r="K1156" s="16" t="n">
        <x:v>-4771.058351477841</x:v>
      </x:c>
      <x:c r="L1156" s="18" t="n">
        <x:v>-0.0043095183956993</x:v>
      </x:c>
      <x:c r="M1156" s="18" t="n">
        <x:v>0</x:v>
      </x:c>
      <x:c r="O1156" t="str">
        <x:v>2025-10-14</x:v>
      </x:c>
      <x:c r="P1156" t="n">
        <x:v>1102326.7454864257</x:v>
      </x:c>
    </x:row>
    <x:row r="1157" ht="15" hidden="0" customHeight="1">
      <x:c r="A1157" s="13" t="str">
        <x:v>2025-10-15</x:v>
      </x:c>
      <x:c r="B1157" s="13" t="n">
        <x:v>0</x:v>
      </x:c>
      <x:c r="C1157" s="13" t="n">
        <x:v>0</x:v>
      </x:c>
      <x:c r="D1157" s="16" t="n">
        <x:v>0</x:v>
      </x:c>
      <x:c r="E1157" s="16" t="n">
        <x:v>0</x:v>
      </x:c>
      <x:c r="F1157" s="16" t="n">
        <x:v>0</x:v>
      </x:c>
      <x:c r="G1157" s="16" t="n">
        <x:v>0</x:v>
      </x:c>
      <x:c r="H1157" s="16" t="n">
        <x:v>0</x:v>
      </x:c>
      <x:c r="I1157" s="16" t="n">
        <x:v>1102326.7454864257</x:v>
      </x:c>
      <x:c r="J1157" s="16" t="n">
        <x:v>1107097.8038379035</x:v>
      </x:c>
      <x:c r="K1157" s="16" t="n">
        <x:v>-4771.058351477841</x:v>
      </x:c>
      <x:c r="L1157" s="18" t="n">
        <x:v>-0.0043095183956993</x:v>
      </x:c>
      <x:c r="M1157" s="18" t="n">
        <x:v>0</x:v>
      </x:c>
      <x:c r="O1157" t="str">
        <x:v>2025-10-15</x:v>
      </x:c>
      <x:c r="P1157" t="n">
        <x:v>1102326.7454864257</x:v>
      </x:c>
    </x:row>
    <x:row r="1158" ht="15" hidden="0" customHeight="1">
      <x:c r="A1158" s="13" t="str">
        <x:v>2025-10-16</x:v>
      </x:c>
      <x:c r="B1158" s="13" t="n">
        <x:v>0</x:v>
      </x:c>
      <x:c r="C1158" s="13" t="n">
        <x:v>0</x:v>
      </x:c>
      <x:c r="D1158" s="16" t="n">
        <x:v>0</x:v>
      </x:c>
      <x:c r="E1158" s="16" t="n">
        <x:v>0</x:v>
      </x:c>
      <x:c r="F1158" s="16" t="n">
        <x:v>0</x:v>
      </x:c>
      <x:c r="G1158" s="16" t="n">
        <x:v>0</x:v>
      </x:c>
      <x:c r="H1158" s="16" t="n">
        <x:v>0</x:v>
      </x:c>
      <x:c r="I1158" s="16" t="n">
        <x:v>1102326.7454864257</x:v>
      </x:c>
      <x:c r="J1158" s="16" t="n">
        <x:v>1107097.8038379035</x:v>
      </x:c>
      <x:c r="K1158" s="16" t="n">
        <x:v>-4771.058351477841</x:v>
      </x:c>
      <x:c r="L1158" s="18" t="n">
        <x:v>-0.0043095183956993</x:v>
      </x:c>
      <x:c r="M1158" s="18" t="n">
        <x:v>0</x:v>
      </x:c>
      <x:c r="O1158" t="str">
        <x:v>2025-10-16</x:v>
      </x:c>
      <x:c r="P1158" t="n">
        <x:v>1102326.7454864257</x:v>
      </x:c>
    </x:row>
    <x:row r="1159" ht="15" hidden="0" customHeight="1">
      <x:c r="A1159" s="13" t="str">
        <x:v>2025-10-17</x:v>
      </x:c>
      <x:c r="B1159" s="13" t="n">
        <x:v>0</x:v>
      </x:c>
      <x:c r="C1159" s="13" t="n">
        <x:v>0</x:v>
      </x:c>
      <x:c r="D1159" s="16" t="n">
        <x:v>0</x:v>
      </x:c>
      <x:c r="E1159" s="16" t="n">
        <x:v>0</x:v>
      </x:c>
      <x:c r="F1159" s="16" t="n">
        <x:v>0</x:v>
      </x:c>
      <x:c r="G1159" s="16" t="n">
        <x:v>0</x:v>
      </x:c>
      <x:c r="H1159" s="16" t="n">
        <x:v>0</x:v>
      </x:c>
      <x:c r="I1159" s="16" t="n">
        <x:v>1102326.7454864257</x:v>
      </x:c>
      <x:c r="J1159" s="16" t="n">
        <x:v>1107097.8038379035</x:v>
      </x:c>
      <x:c r="K1159" s="16" t="n">
        <x:v>-4771.058351477841</x:v>
      </x:c>
      <x:c r="L1159" s="18" t="n">
        <x:v>-0.0043095183956993</x:v>
      </x:c>
      <x:c r="M1159" s="18" t="n">
        <x:v>0</x:v>
      </x:c>
      <x:c r="O1159" t="str">
        <x:v>2025-10-17</x:v>
      </x:c>
      <x:c r="P1159" t="n">
        <x:v>1102326.7454864257</x:v>
      </x:c>
    </x:row>
    <x:row r="1160" ht="15" hidden="0" customHeight="1">
      <x:c r="A1160" s="13" t="str">
        <x:v>2025-10-20</x:v>
      </x:c>
      <x:c r="B1160" s="13" t="n">
        <x:v>1</x:v>
      </x:c>
      <x:c r="C1160" s="13" t="n">
        <x:v>4</x:v>
      </x:c>
      <x:c r="D1160" s="16" t="n">
        <x:v>374.9999999999999</x:v>
      </x:c>
      <x:c r="E1160" s="16" t="n">
        <x:v>371.6061069534616</x:v>
      </x:c>
      <x:c r="F1160" s="16" t="n">
        <x:v>3.393893046538267</x:v>
      </x:c>
      <x:c r="G1160" s="16" t="n">
        <x:v>42858.05578822616</x:v>
      </x:c>
      <x:c r="H1160" s="16" t="n">
        <x:v>358429.6460297942</x:v>
      </x:c>
      <x:c r="I1160" s="16" t="n">
        <x:v>1102330.1393794722</x:v>
      </x:c>
      <x:c r="J1160" s="16" t="n">
        <x:v>1107097.8038379035</x:v>
      </x:c>
      <x:c r="K1160" s="16" t="n">
        <x:v>-4767.664458431304</x:v>
      </x:c>
      <x:c r="L1160" s="18" t="n">
        <x:v>-0.0043064528191669</x:v>
      </x:c>
      <x:c r="M1160" s="18" t="n">
        <x:v>0.0000030788448710517</x:v>
      </x:c>
      <x:c r="O1160" t="str">
        <x:v>2025-10-20</x:v>
      </x:c>
      <x:c r="P1160" t="n">
        <x:v>1102330.1393794722</x:v>
      </x:c>
    </x:row>
    <x:row r="1161" ht="15" hidden="0" customHeight="1">
      <x:c r="A1161" s="13" t="str">
        <x:v>2025-10-21</x:v>
      </x:c>
      <x:c r="B1161" s="13" t="n">
        <x:v>0</x:v>
      </x:c>
      <x:c r="C1161" s="13" t="n">
        <x:v>0</x:v>
      </x:c>
      <x:c r="D1161" s="16" t="n">
        <x:v>0</x:v>
      </x:c>
      <x:c r="E1161" s="16" t="n">
        <x:v>0</x:v>
      </x:c>
      <x:c r="F1161" s="16" t="n">
        <x:v>0</x:v>
      </x:c>
      <x:c r="G1161" s="16" t="n">
        <x:v>0</x:v>
      </x:c>
      <x:c r="H1161" s="16" t="n">
        <x:v>0</x:v>
      </x:c>
      <x:c r="I1161" s="16" t="n">
        <x:v>1102330.1393794722</x:v>
      </x:c>
      <x:c r="J1161" s="16" t="n">
        <x:v>1107097.8038379035</x:v>
      </x:c>
      <x:c r="K1161" s="16" t="n">
        <x:v>-4767.664458431304</x:v>
      </x:c>
      <x:c r="L1161" s="18" t="n">
        <x:v>-0.0043064528191669</x:v>
      </x:c>
      <x:c r="M1161" s="18" t="n">
        <x:v>0</x:v>
      </x:c>
      <x:c r="O1161" t="str">
        <x:v>2025-10-21</x:v>
      </x:c>
      <x:c r="P1161" t="n">
        <x:v>1102330.1393794722</x:v>
      </x:c>
    </x:row>
    <x:row r="1162" ht="15" hidden="0" customHeight="1">
      <x:c r="A1162" s="13" t="str">
        <x:v>2025-10-22</x:v>
      </x:c>
      <x:c r="B1162" s="13" t="n">
        <x:v>0</x:v>
      </x:c>
      <x:c r="C1162" s="13" t="n">
        <x:v>0</x:v>
      </x:c>
      <x:c r="D1162" s="16" t="n">
        <x:v>0</x:v>
      </x:c>
      <x:c r="E1162" s="16" t="n">
        <x:v>0</x:v>
      </x:c>
      <x:c r="F1162" s="16" t="n">
        <x:v>0</x:v>
      </x:c>
      <x:c r="G1162" s="16" t="n">
        <x:v>0</x:v>
      </x:c>
      <x:c r="H1162" s="16" t="n">
        <x:v>0</x:v>
      </x:c>
      <x:c r="I1162" s="16" t="n">
        <x:v>1102330.1393794722</x:v>
      </x:c>
      <x:c r="J1162" s="16" t="n">
        <x:v>1107097.8038379035</x:v>
      </x:c>
      <x:c r="K1162" s="16" t="n">
        <x:v>-4767.664458431304</x:v>
      </x:c>
      <x:c r="L1162" s="18" t="n">
        <x:v>-0.0043064528191669</x:v>
      </x:c>
      <x:c r="M1162" s="18" t="n">
        <x:v>0</x:v>
      </x:c>
      <x:c r="O1162" t="str">
        <x:v>2025-10-22</x:v>
      </x:c>
      <x:c r="P1162" t="n">
        <x:v>1102330.1393794722</x:v>
      </x:c>
    </x:row>
    <x:row r="1163" ht="15" hidden="0" customHeight="1">
      <x:c r="A1163" s="13" t="str">
        <x:v>2025-10-23</x:v>
      </x:c>
      <x:c r="B1163" s="13" t="n">
        <x:v>0</x:v>
      </x:c>
      <x:c r="C1163" s="13" t="n">
        <x:v>0</x:v>
      </x:c>
      <x:c r="D1163" s="16" t="n">
        <x:v>0</x:v>
      </x:c>
      <x:c r="E1163" s="16" t="n">
        <x:v>0</x:v>
      </x:c>
      <x:c r="F1163" s="16" t="n">
        <x:v>0</x:v>
      </x:c>
      <x:c r="G1163" s="16" t="n">
        <x:v>0</x:v>
      </x:c>
      <x:c r="H1163" s="16" t="n">
        <x:v>0</x:v>
      </x:c>
      <x:c r="I1163" s="16" t="n">
        <x:v>1102330.1393794722</x:v>
      </x:c>
      <x:c r="J1163" s="16" t="n">
        <x:v>1107097.8038379035</x:v>
      </x:c>
      <x:c r="K1163" s="16" t="n">
        <x:v>-4767.664458431304</x:v>
      </x:c>
      <x:c r="L1163" s="18" t="n">
        <x:v>-0.0043064528191669</x:v>
      </x:c>
      <x:c r="M1163" s="18" t="n">
        <x:v>0</x:v>
      </x:c>
      <x:c r="O1163" t="str">
        <x:v>2025-10-23</x:v>
      </x:c>
      <x:c r="P1163" t="n">
        <x:v>1102330.1393794722</x:v>
      </x:c>
    </x:row>
    <x:row r="1164" ht="15" hidden="0" customHeight="1">
      <x:c r="A1164" s="13" t="str">
        <x:v>2025-10-24</x:v>
      </x:c>
      <x:c r="B1164" s="13" t="n">
        <x:v>0</x:v>
      </x:c>
      <x:c r="C1164" s="13" t="n">
        <x:v>0</x:v>
      </x:c>
      <x:c r="D1164" s="16" t="n">
        <x:v>0</x:v>
      </x:c>
      <x:c r="E1164" s="16" t="n">
        <x:v>0</x:v>
      </x:c>
      <x:c r="F1164" s="16" t="n">
        <x:v>0</x:v>
      </x:c>
      <x:c r="G1164" s="16" t="n">
        <x:v>0</x:v>
      </x:c>
      <x:c r="H1164" s="16" t="n">
        <x:v>0</x:v>
      </x:c>
      <x:c r="I1164" s="16" t="n">
        <x:v>1102330.1393794722</x:v>
      </x:c>
      <x:c r="J1164" s="16" t="n">
        <x:v>1107097.8038379035</x:v>
      </x:c>
      <x:c r="K1164" s="16" t="n">
        <x:v>-4767.664458431304</x:v>
      </x:c>
      <x:c r="L1164" s="18" t="n">
        <x:v>-0.0043064528191669</x:v>
      </x:c>
      <x:c r="M1164" s="18" t="n">
        <x:v>0</x:v>
      </x:c>
      <x:c r="O1164" t="str">
        <x:v>2025-10-24</x:v>
      </x:c>
      <x:c r="P1164" t="n">
        <x:v>1102330.1393794722</x:v>
      </x:c>
    </x:row>
    <x:row r="1165" ht="15" hidden="0" customHeight="1">
      <x:c r="A1165" s="13" t="str">
        <x:v>2025-10-27</x:v>
      </x:c>
      <x:c r="B1165" s="13" t="n">
        <x:v>0</x:v>
      </x:c>
      <x:c r="C1165" s="13" t="n">
        <x:v>0</x:v>
      </x:c>
      <x:c r="D1165" s="16" t="n">
        <x:v>0</x:v>
      </x:c>
      <x:c r="E1165" s="16" t="n">
        <x:v>0</x:v>
      </x:c>
      <x:c r="F1165" s="16" t="n">
        <x:v>0</x:v>
      </x:c>
      <x:c r="G1165" s="16" t="n">
        <x:v>0</x:v>
      </x:c>
      <x:c r="H1165" s="16" t="n">
        <x:v>0</x:v>
      </x:c>
      <x:c r="I1165" s="16" t="n">
        <x:v>1102330.1393794722</x:v>
      </x:c>
      <x:c r="J1165" s="16" t="n">
        <x:v>1107097.8038379035</x:v>
      </x:c>
      <x:c r="K1165" s="16" t="n">
        <x:v>-4767.664458431304</x:v>
      </x:c>
      <x:c r="L1165" s="18" t="n">
        <x:v>-0.0043064528191669</x:v>
      </x:c>
      <x:c r="M1165" s="18" t="n">
        <x:v>0</x:v>
      </x:c>
      <x:c r="O1165" t="str">
        <x:v>2025-10-27</x:v>
      </x:c>
      <x:c r="P1165" t="n">
        <x:v>1102330.1393794722</x:v>
      </x:c>
    </x:row>
    <x:row r="1166" ht="15" hidden="0" customHeight="1">
      <x:c r="A1166" s="13" t="str">
        <x:v>2025-10-28</x:v>
      </x:c>
      <x:c r="B1166" s="13" t="n">
        <x:v>0</x:v>
      </x:c>
      <x:c r="C1166" s="13" t="n">
        <x:v>0</x:v>
      </x:c>
      <x:c r="D1166" s="16" t="n">
        <x:v>0</x:v>
      </x:c>
      <x:c r="E1166" s="16" t="n">
        <x:v>0</x:v>
      </x:c>
      <x:c r="F1166" s="16" t="n">
        <x:v>0</x:v>
      </x:c>
      <x:c r="G1166" s="16" t="n">
        <x:v>0</x:v>
      </x:c>
      <x:c r="H1166" s="16" t="n">
        <x:v>0</x:v>
      </x:c>
      <x:c r="I1166" s="16" t="n">
        <x:v>1102330.1393794722</x:v>
      </x:c>
      <x:c r="J1166" s="16" t="n">
        <x:v>1107097.8038379035</x:v>
      </x:c>
      <x:c r="K1166" s="16" t="n">
        <x:v>-4767.664458431304</x:v>
      </x:c>
      <x:c r="L1166" s="18" t="n">
        <x:v>-0.0043064528191669</x:v>
      </x:c>
      <x:c r="M1166" s="18" t="n">
        <x:v>0</x:v>
      </x:c>
      <x:c r="O1166" t="str">
        <x:v>2025-10-28</x:v>
      </x:c>
      <x:c r="P1166" t="n">
        <x:v>1102330.1393794722</x:v>
      </x:c>
    </x:row>
    <x:row r="1167" ht="15" hidden="0" customHeight="1">
      <x:c r="A1167" s="13" t="str">
        <x:v>2025-10-29</x:v>
      </x:c>
      <x:c r="B1167" s="13" t="n">
        <x:v>0</x:v>
      </x:c>
      <x:c r="C1167" s="13" t="n">
        <x:v>0</x:v>
      </x:c>
      <x:c r="D1167" s="16" t="n">
        <x:v>0</x:v>
      </x:c>
      <x:c r="E1167" s="16" t="n">
        <x:v>0</x:v>
      </x:c>
      <x:c r="F1167" s="16" t="n">
        <x:v>0</x:v>
      </x:c>
      <x:c r="G1167" s="16" t="n">
        <x:v>0</x:v>
      </x:c>
      <x:c r="H1167" s="16" t="n">
        <x:v>0</x:v>
      </x:c>
      <x:c r="I1167" s="16" t="n">
        <x:v>1102330.1393794722</x:v>
      </x:c>
      <x:c r="J1167" s="16" t="n">
        <x:v>1107097.8038379035</x:v>
      </x:c>
      <x:c r="K1167" s="16" t="n">
        <x:v>-4767.664458431304</x:v>
      </x:c>
      <x:c r="L1167" s="18" t="n">
        <x:v>-0.0043064528191669</x:v>
      </x:c>
      <x:c r="M1167" s="18" t="n">
        <x:v>0</x:v>
      </x:c>
      <x:c r="O1167" t="str">
        <x:v>2025-10-29</x:v>
      </x:c>
      <x:c r="P1167" t="n">
        <x:v>1102330.1393794722</x:v>
      </x:c>
    </x:row>
    <x:row r="1168" ht="15" hidden="0" customHeight="1">
      <x:c r="A1168" s="13" t="str">
        <x:v>2025-10-30</x:v>
      </x:c>
      <x:c r="B1168" s="13" t="n">
        <x:v>0</x:v>
      </x:c>
      <x:c r="C1168" s="13" t="n">
        <x:v>0</x:v>
      </x:c>
      <x:c r="D1168" s="16" t="n">
        <x:v>0</x:v>
      </x:c>
      <x:c r="E1168" s="16" t="n">
        <x:v>0</x:v>
      </x:c>
      <x:c r="F1168" s="16" t="n">
        <x:v>0</x:v>
      </x:c>
      <x:c r="G1168" s="16" t="n">
        <x:v>0</x:v>
      </x:c>
      <x:c r="H1168" s="16" t="n">
        <x:v>0</x:v>
      </x:c>
      <x:c r="I1168" s="16" t="n">
        <x:v>1102330.1393794722</x:v>
      </x:c>
      <x:c r="J1168" s="16" t="n">
        <x:v>1107097.8038379035</x:v>
      </x:c>
      <x:c r="K1168" s="16" t="n">
        <x:v>-4767.664458431304</x:v>
      </x:c>
      <x:c r="L1168" s="18" t="n">
        <x:v>-0.0043064528191669</x:v>
      </x:c>
      <x:c r="M1168" s="18" t="n">
        <x:v>0</x:v>
      </x:c>
      <x:c r="O1168" t="str">
        <x:v>2025-10-30</x:v>
      </x:c>
      <x:c r="P1168" t="n">
        <x:v>1102330.1393794722</x:v>
      </x:c>
    </x:row>
    <x:row r="1169" ht="15" hidden="0" customHeight="1">
      <x:c r="A1169" s="13" t="str">
        <x:v>2025-10-31</x:v>
      </x:c>
      <x:c r="B1169" s="13" t="n">
        <x:v>0</x:v>
      </x:c>
      <x:c r="C1169" s="13" t="n">
        <x:v>0</x:v>
      </x:c>
      <x:c r="D1169" s="16" t="n">
        <x:v>0</x:v>
      </x:c>
      <x:c r="E1169" s="16" t="n">
        <x:v>0</x:v>
      </x:c>
      <x:c r="F1169" s="16" t="n">
        <x:v>0</x:v>
      </x:c>
      <x:c r="G1169" s="16" t="n">
        <x:v>0</x:v>
      </x:c>
      <x:c r="H1169" s="16" t="n">
        <x:v>0</x:v>
      </x:c>
      <x:c r="I1169" s="16" t="n">
        <x:v>1102330.1393794722</x:v>
      </x:c>
      <x:c r="J1169" s="16" t="n">
        <x:v>1107097.8038379035</x:v>
      </x:c>
      <x:c r="K1169" s="16" t="n">
        <x:v>-4767.664458431304</x:v>
      </x:c>
      <x:c r="L1169" s="18" t="n">
        <x:v>-0.0043064528191669</x:v>
      </x:c>
      <x:c r="M1169" s="18" t="n">
        <x:v>0</x:v>
      </x:c>
      <x:c r="O1169" t="str">
        <x:v>2025-10-31</x:v>
      </x:c>
      <x:c r="P1169" t="n">
        <x:v>1102330.1393794722</x:v>
      </x:c>
    </x:row>
    <x:row r="1170" ht="15" hidden="0" customHeight="1">
      <x:c r="A1170" s="13" t="str">
        <x:v>2025-11-03</x:v>
      </x:c>
      <x:c r="B1170" s="13" t="n">
        <x:v>0</x:v>
      </x:c>
      <x:c r="C1170" s="13" t="n">
        <x:v>0</x:v>
      </x:c>
      <x:c r="D1170" s="16" t="n">
        <x:v>0</x:v>
      </x:c>
      <x:c r="E1170" s="16" t="n">
        <x:v>0</x:v>
      </x:c>
      <x:c r="F1170" s="16" t="n">
        <x:v>0</x:v>
      </x:c>
      <x:c r="G1170" s="16" t="n">
        <x:v>0</x:v>
      </x:c>
      <x:c r="H1170" s="16" t="n">
        <x:v>0</x:v>
      </x:c>
      <x:c r="I1170" s="16" t="n">
        <x:v>1102330.1393794722</x:v>
      </x:c>
      <x:c r="J1170" s="16" t="n">
        <x:v>1107097.8038379035</x:v>
      </x:c>
      <x:c r="K1170" s="16" t="n">
        <x:v>-4767.664458431304</x:v>
      </x:c>
      <x:c r="L1170" s="18" t="n">
        <x:v>-0.0043064528191669</x:v>
      </x:c>
      <x:c r="M1170" s="18" t="n">
        <x:v>0</x:v>
      </x:c>
      <x:c r="O1170" t="str">
        <x:v>2025-11-03</x:v>
      </x:c>
      <x:c r="P1170" t="n">
        <x:v>1102330.1393794722</x:v>
      </x:c>
    </x:row>
    <x:row r="1171" ht="15" hidden="0" customHeight="1">
      <x:c r="A1171" s="13" t="str">
        <x:v>2025-11-04</x:v>
      </x:c>
      <x:c r="B1171" s="13" t="n">
        <x:v>0</x:v>
      </x:c>
      <x:c r="C1171" s="13" t="n">
        <x:v>0</x:v>
      </x:c>
      <x:c r="D1171" s="16" t="n">
        <x:v>0</x:v>
      </x:c>
      <x:c r="E1171" s="16" t="n">
        <x:v>0</x:v>
      </x:c>
      <x:c r="F1171" s="16" t="n">
        <x:v>0</x:v>
      </x:c>
      <x:c r="G1171" s="16" t="n">
        <x:v>0</x:v>
      </x:c>
      <x:c r="H1171" s="16" t="n">
        <x:v>0</x:v>
      </x:c>
      <x:c r="I1171" s="16" t="n">
        <x:v>1102330.1393794722</x:v>
      </x:c>
      <x:c r="J1171" s="16" t="n">
        <x:v>1107097.8038379035</x:v>
      </x:c>
      <x:c r="K1171" s="16" t="n">
        <x:v>-4767.664458431304</x:v>
      </x:c>
      <x:c r="L1171" s="18" t="n">
        <x:v>-0.0043064528191669</x:v>
      </x:c>
      <x:c r="M1171" s="18" t="n">
        <x:v>0</x:v>
      </x:c>
      <x:c r="O1171" t="str">
        <x:v>2025-11-04</x:v>
      </x:c>
      <x:c r="P1171" t="n">
        <x:v>1102330.1393794722</x:v>
      </x:c>
    </x:row>
    <x:row r="1172" ht="15" hidden="0" customHeight="1">
      <x:c r="A1172" s="13" t="str">
        <x:v>2025-11-05</x:v>
      </x:c>
      <x:c r="B1172" s="13" t="n">
        <x:v>0</x:v>
      </x:c>
      <x:c r="C1172" s="13" t="n">
        <x:v>0</x:v>
      </x:c>
      <x:c r="D1172" s="16" t="n">
        <x:v>0</x:v>
      </x:c>
      <x:c r="E1172" s="16" t="n">
        <x:v>0</x:v>
      </x:c>
      <x:c r="F1172" s="16" t="n">
        <x:v>0</x:v>
      </x:c>
      <x:c r="G1172" s="16" t="n">
        <x:v>0</x:v>
      </x:c>
      <x:c r="H1172" s="16" t="n">
        <x:v>0</x:v>
      </x:c>
      <x:c r="I1172" s="16" t="n">
        <x:v>1102330.1393794722</x:v>
      </x:c>
      <x:c r="J1172" s="16" t="n">
        <x:v>1107097.8038379035</x:v>
      </x:c>
      <x:c r="K1172" s="16" t="n">
        <x:v>-4767.664458431304</x:v>
      </x:c>
      <x:c r="L1172" s="18" t="n">
        <x:v>-0.0043064528191669</x:v>
      </x:c>
      <x:c r="M1172" s="18" t="n">
        <x:v>0</x:v>
      </x:c>
      <x:c r="O1172" t="str">
        <x:v>2025-11-05</x:v>
      </x:c>
      <x:c r="P1172" t="n">
        <x:v>1102330.1393794722</x:v>
      </x:c>
    </x:row>
    <x:row r="1173" ht="15" hidden="0" customHeight="1">
      <x:c r="A1173" s="13" t="str">
        <x:v>2025-11-06</x:v>
      </x:c>
      <x:c r="B1173" s="13" t="n">
        <x:v>0</x:v>
      </x:c>
      <x:c r="C1173" s="13" t="n">
        <x:v>0</x:v>
      </x:c>
      <x:c r="D1173" s="16" t="n">
        <x:v>0</x:v>
      </x:c>
      <x:c r="E1173" s="16" t="n">
        <x:v>0</x:v>
      </x:c>
      <x:c r="F1173" s="16" t="n">
        <x:v>0</x:v>
      </x:c>
      <x:c r="G1173" s="16" t="n">
        <x:v>0</x:v>
      </x:c>
      <x:c r="H1173" s="16" t="n">
        <x:v>0</x:v>
      </x:c>
      <x:c r="I1173" s="16" t="n">
        <x:v>1102330.1393794722</x:v>
      </x:c>
      <x:c r="J1173" s="16" t="n">
        <x:v>1107097.8038379035</x:v>
      </x:c>
      <x:c r="K1173" s="16" t="n">
        <x:v>-4767.664458431304</x:v>
      </x:c>
      <x:c r="L1173" s="18" t="n">
        <x:v>-0.0043064528191669</x:v>
      </x:c>
      <x:c r="M1173" s="18" t="n">
        <x:v>0</x:v>
      </x:c>
      <x:c r="O1173" t="str">
        <x:v>2025-11-06</x:v>
      </x:c>
      <x:c r="P1173" t="n">
        <x:v>1102330.1393794722</x:v>
      </x:c>
    </x:row>
    <x:row r="1174" ht="15" hidden="0" customHeight="1">
      <x:c r="A1174" s="13" t="str">
        <x:v>2025-11-07</x:v>
      </x:c>
      <x:c r="B1174" s="13" t="n">
        <x:v>0</x:v>
      </x:c>
      <x:c r="C1174" s="13" t="n">
        <x:v>0</x:v>
      </x:c>
      <x:c r="D1174" s="16" t="n">
        <x:v>0</x:v>
      </x:c>
      <x:c r="E1174" s="16" t="n">
        <x:v>0</x:v>
      </x:c>
      <x:c r="F1174" s="16" t="n">
        <x:v>0</x:v>
      </x:c>
      <x:c r="G1174" s="16" t="n">
        <x:v>0</x:v>
      </x:c>
      <x:c r="H1174" s="16" t="n">
        <x:v>0</x:v>
      </x:c>
      <x:c r="I1174" s="16" t="n">
        <x:v>1102330.1393794722</x:v>
      </x:c>
      <x:c r="J1174" s="16" t="n">
        <x:v>1107097.8038379035</x:v>
      </x:c>
      <x:c r="K1174" s="16" t="n">
        <x:v>-4767.664458431304</x:v>
      </x:c>
      <x:c r="L1174" s="18" t="n">
        <x:v>-0.0043064528191669</x:v>
      </x:c>
      <x:c r="M1174" s="18" t="n">
        <x:v>0</x:v>
      </x:c>
      <x:c r="O1174" t="str">
        <x:v>2025-11-07</x:v>
      </x:c>
      <x:c r="P1174" t="n">
        <x:v>1102330.1393794722</x:v>
      </x:c>
    </x:row>
    <x:row r="1175" ht="15" hidden="0" customHeight="1">
      <x:c r="A1175" s="13" t="str">
        <x:v>2025-11-10</x:v>
      </x:c>
      <x:c r="B1175" s="13" t="n">
        <x:v>0</x:v>
      </x:c>
      <x:c r="C1175" s="13" t="n">
        <x:v>0</x:v>
      </x:c>
      <x:c r="D1175" s="16" t="n">
        <x:v>0</x:v>
      </x:c>
      <x:c r="E1175" s="16" t="n">
        <x:v>0</x:v>
      </x:c>
      <x:c r="F1175" s="16" t="n">
        <x:v>0</x:v>
      </x:c>
      <x:c r="G1175" s="16" t="n">
        <x:v>0</x:v>
      </x:c>
      <x:c r="H1175" s="16" t="n">
        <x:v>0</x:v>
      </x:c>
      <x:c r="I1175" s="16" t="n">
        <x:v>1102330.1393794722</x:v>
      </x:c>
      <x:c r="J1175" s="16" t="n">
        <x:v>1107097.8038379035</x:v>
      </x:c>
      <x:c r="K1175" s="16" t="n">
        <x:v>-4767.664458431304</x:v>
      </x:c>
      <x:c r="L1175" s="18" t="n">
        <x:v>-0.0043064528191669</x:v>
      </x:c>
      <x:c r="M1175" s="18" t="n">
        <x:v>0</x:v>
      </x:c>
      <x:c r="O1175" t="str">
        <x:v>2025-11-10</x:v>
      </x:c>
      <x:c r="P1175" t="n">
        <x:v>1102330.1393794722</x:v>
      </x:c>
    </x:row>
    <x:row r="1176" ht="15" hidden="0" customHeight="1">
      <x:c r="A1176" s="13" t="str">
        <x:v>2025-11-11</x:v>
      </x:c>
      <x:c r="B1176" s="13" t="n">
        <x:v>0</x:v>
      </x:c>
      <x:c r="C1176" s="13" t="n">
        <x:v>0</x:v>
      </x:c>
      <x:c r="D1176" s="16" t="n">
        <x:v>0</x:v>
      </x:c>
      <x:c r="E1176" s="16" t="n">
        <x:v>0</x:v>
      </x:c>
      <x:c r="F1176" s="16" t="n">
        <x:v>0</x:v>
      </x:c>
      <x:c r="G1176" s="16" t="n">
        <x:v>0</x:v>
      </x:c>
      <x:c r="H1176" s="16" t="n">
        <x:v>0</x:v>
      </x:c>
      <x:c r="I1176" s="16" t="n">
        <x:v>1102330.1393794722</x:v>
      </x:c>
      <x:c r="J1176" s="16" t="n">
        <x:v>1107097.8038379035</x:v>
      </x:c>
      <x:c r="K1176" s="16" t="n">
        <x:v>-4767.664458431304</x:v>
      </x:c>
      <x:c r="L1176" s="18" t="n">
        <x:v>-0.0043064528191669</x:v>
      </x:c>
      <x:c r="M1176" s="18" t="n">
        <x:v>0</x:v>
      </x:c>
      <x:c r="O1176" t="str">
        <x:v>2025-11-11</x:v>
      </x:c>
      <x:c r="P1176" t="n">
        <x:v>1102330.1393794722</x:v>
      </x:c>
    </x:row>
    <x:row r="1177" ht="15" hidden="0" customHeight="1">
      <x:c r="A1177" s="13" t="str">
        <x:v>2025-11-12</x:v>
      </x:c>
      <x:c r="B1177" s="13" t="n">
        <x:v>0</x:v>
      </x:c>
      <x:c r="C1177" s="13" t="n">
        <x:v>0</x:v>
      </x:c>
      <x:c r="D1177" s="16" t="n">
        <x:v>0</x:v>
      </x:c>
      <x:c r="E1177" s="16" t="n">
        <x:v>0</x:v>
      </x:c>
      <x:c r="F1177" s="16" t="n">
        <x:v>0</x:v>
      </x:c>
      <x:c r="G1177" s="16" t="n">
        <x:v>0</x:v>
      </x:c>
      <x:c r="H1177" s="16" t="n">
        <x:v>0</x:v>
      </x:c>
      <x:c r="I1177" s="16" t="n">
        <x:v>1102330.1393794722</x:v>
      </x:c>
      <x:c r="J1177" s="16" t="n">
        <x:v>1107097.8038379035</x:v>
      </x:c>
      <x:c r="K1177" s="16" t="n">
        <x:v>-4767.664458431304</x:v>
      </x:c>
      <x:c r="L1177" s="18" t="n">
        <x:v>-0.0043064528191669</x:v>
      </x:c>
      <x:c r="M1177" s="18" t="n">
        <x:v>0</x:v>
      </x:c>
      <x:c r="O1177" t="str">
        <x:v>2025-11-12</x:v>
      </x:c>
      <x:c r="P1177" t="n">
        <x:v>1102330.1393794722</x:v>
      </x:c>
    </x:row>
    <x:row r="1178" ht="15" hidden="0" customHeight="1">
      <x:c r="A1178" s="13" t="str">
        <x:v>2025-11-13</x:v>
      </x:c>
      <x:c r="B1178" s="13" t="n">
        <x:v>0</x:v>
      </x:c>
      <x:c r="C1178" s="13" t="n">
        <x:v>0</x:v>
      </x:c>
      <x:c r="D1178" s="16" t="n">
        <x:v>0</x:v>
      </x:c>
      <x:c r="E1178" s="16" t="n">
        <x:v>0</x:v>
      </x:c>
      <x:c r="F1178" s="16" t="n">
        <x:v>0</x:v>
      </x:c>
      <x:c r="G1178" s="16" t="n">
        <x:v>0</x:v>
      </x:c>
      <x:c r="H1178" s="16" t="n">
        <x:v>0</x:v>
      </x:c>
      <x:c r="I1178" s="16" t="n">
        <x:v>1102330.1393794722</x:v>
      </x:c>
      <x:c r="J1178" s="16" t="n">
        <x:v>1107097.8038379035</x:v>
      </x:c>
      <x:c r="K1178" s="16" t="n">
        <x:v>-4767.664458431304</x:v>
      </x:c>
      <x:c r="L1178" s="18" t="n">
        <x:v>-0.0043064528191669</x:v>
      </x:c>
      <x:c r="M1178" s="18" t="n">
        <x:v>0</x:v>
      </x:c>
      <x:c r="O1178" t="str">
        <x:v>2025-11-13</x:v>
      </x:c>
      <x:c r="P1178" t="n">
        <x:v>1102330.1393794722</x:v>
      </x:c>
    </x:row>
    <x:row r="1179" ht="15" hidden="0" customHeight="1">
      <x:c r="A1179" s="13" t="str">
        <x:v>2025-11-14</x:v>
      </x:c>
      <x:c r="B1179" s="13" t="n">
        <x:v>0</x:v>
      </x:c>
      <x:c r="C1179" s="13" t="n">
        <x:v>0</x:v>
      </x:c>
      <x:c r="D1179" s="16" t="n">
        <x:v>0</x:v>
      </x:c>
      <x:c r="E1179" s="16" t="n">
        <x:v>0</x:v>
      </x:c>
      <x:c r="F1179" s="16" t="n">
        <x:v>0</x:v>
      </x:c>
      <x:c r="G1179" s="16" t="n">
        <x:v>0</x:v>
      </x:c>
      <x:c r="H1179" s="16" t="n">
        <x:v>0</x:v>
      </x:c>
      <x:c r="I1179" s="16" t="n">
        <x:v>1102330.1393794722</x:v>
      </x:c>
      <x:c r="J1179" s="16" t="n">
        <x:v>1107097.8038379035</x:v>
      </x:c>
      <x:c r="K1179" s="16" t="n">
        <x:v>-4767.664458431304</x:v>
      </x:c>
      <x:c r="L1179" s="18" t="n">
        <x:v>-0.0043064528191669</x:v>
      </x:c>
      <x:c r="M1179" s="18" t="n">
        <x:v>0</x:v>
      </x:c>
      <x:c r="O1179" t="str">
        <x:v>2025-11-14</x:v>
      </x:c>
      <x:c r="P1179" t="n">
        <x:v>1102330.1393794722</x:v>
      </x:c>
    </x:row>
    <x:row r="1180" ht="15" hidden="0" customHeight="1">
      <x:c r="A1180" s="13" t="str">
        <x:v>2025-11-17</x:v>
      </x:c>
      <x:c r="B1180" s="13" t="n">
        <x:v>0</x:v>
      </x:c>
      <x:c r="C1180" s="13" t="n">
        <x:v>0</x:v>
      </x:c>
      <x:c r="D1180" s="16" t="n">
        <x:v>0</x:v>
      </x:c>
      <x:c r="E1180" s="16" t="n">
        <x:v>0</x:v>
      </x:c>
      <x:c r="F1180" s="16" t="n">
        <x:v>0</x:v>
      </x:c>
      <x:c r="G1180" s="16" t="n">
        <x:v>0</x:v>
      </x:c>
      <x:c r="H1180" s="16" t="n">
        <x:v>0</x:v>
      </x:c>
      <x:c r="I1180" s="16" t="n">
        <x:v>1102330.1393794722</x:v>
      </x:c>
      <x:c r="J1180" s="16" t="n">
        <x:v>1107097.8038379035</x:v>
      </x:c>
      <x:c r="K1180" s="16" t="n">
        <x:v>-4767.664458431304</x:v>
      </x:c>
      <x:c r="L1180" s="18" t="n">
        <x:v>-0.0043064528191669</x:v>
      </x:c>
      <x:c r="M1180" s="18" t="n">
        <x:v>0</x:v>
      </x:c>
      <x:c r="O1180" t="str">
        <x:v>2025-11-17</x:v>
      </x:c>
      <x:c r="P1180" t="n">
        <x:v>1102330.1393794722</x:v>
      </x:c>
    </x:row>
    <x:row r="1181" ht="15" hidden="0" customHeight="1">
      <x:c r="A1181" s="13" t="str">
        <x:v>2025-11-18</x:v>
      </x:c>
      <x:c r="B1181" s="13" t="n">
        <x:v>0</x:v>
      </x:c>
      <x:c r="C1181" s="13" t="n">
        <x:v>0</x:v>
      </x:c>
      <x:c r="D1181" s="16" t="n">
        <x:v>0</x:v>
      </x:c>
      <x:c r="E1181" s="16" t="n">
        <x:v>0</x:v>
      </x:c>
      <x:c r="F1181" s="16" t="n">
        <x:v>0</x:v>
      </x:c>
      <x:c r="G1181" s="16" t="n">
        <x:v>0</x:v>
      </x:c>
      <x:c r="H1181" s="16" t="n">
        <x:v>0</x:v>
      </x:c>
      <x:c r="I1181" s="16" t="n">
        <x:v>1102330.1393794722</x:v>
      </x:c>
      <x:c r="J1181" s="16" t="n">
        <x:v>1107097.8038379035</x:v>
      </x:c>
      <x:c r="K1181" s="16" t="n">
        <x:v>-4767.664458431304</x:v>
      </x:c>
      <x:c r="L1181" s="18" t="n">
        <x:v>-0.0043064528191669</x:v>
      </x:c>
      <x:c r="M1181" s="18" t="n">
        <x:v>0</x:v>
      </x:c>
      <x:c r="O1181" t="str">
        <x:v>2025-11-18</x:v>
      </x:c>
      <x:c r="P1181" t="n">
        <x:v>1102330.1393794722</x:v>
      </x:c>
    </x:row>
    <x:row r="1182" ht="15" hidden="0" customHeight="1">
      <x:c r="A1182" s="13" t="str">
        <x:v>2025-11-19</x:v>
      </x:c>
      <x:c r="B1182" s="13" t="n">
        <x:v>0</x:v>
      </x:c>
      <x:c r="C1182" s="13" t="n">
        <x:v>0</x:v>
      </x:c>
      <x:c r="D1182" s="16" t="n">
        <x:v>0</x:v>
      </x:c>
      <x:c r="E1182" s="16" t="n">
        <x:v>0</x:v>
      </x:c>
      <x:c r="F1182" s="16" t="n">
        <x:v>0</x:v>
      </x:c>
      <x:c r="G1182" s="16" t="n">
        <x:v>0</x:v>
      </x:c>
      <x:c r="H1182" s="16" t="n">
        <x:v>0</x:v>
      </x:c>
      <x:c r="I1182" s="16" t="n">
        <x:v>1102330.1393794722</x:v>
      </x:c>
      <x:c r="J1182" s="16" t="n">
        <x:v>1107097.8038379035</x:v>
      </x:c>
      <x:c r="K1182" s="16" t="n">
        <x:v>-4767.664458431304</x:v>
      </x:c>
      <x:c r="L1182" s="18" t="n">
        <x:v>-0.0043064528191669</x:v>
      </x:c>
      <x:c r="M1182" s="18" t="n">
        <x:v>0</x:v>
      </x:c>
      <x:c r="O1182" t="str">
        <x:v>2025-11-19</x:v>
      </x:c>
      <x:c r="P1182" t="n">
        <x:v>1102330.1393794722</x:v>
      </x:c>
    </x:row>
    <x:row r="1183" ht="15" hidden="0" customHeight="1">
      <x:c r="A1183" s="13" t="str">
        <x:v>2025-11-20</x:v>
      </x:c>
      <x:c r="B1183" s="13" t="n">
        <x:v>0</x:v>
      </x:c>
      <x:c r="C1183" s="13" t="n">
        <x:v>0</x:v>
      </x:c>
      <x:c r="D1183" s="16" t="n">
        <x:v>0</x:v>
      </x:c>
      <x:c r="E1183" s="16" t="n">
        <x:v>0</x:v>
      </x:c>
      <x:c r="F1183" s="16" t="n">
        <x:v>0</x:v>
      </x:c>
      <x:c r="G1183" s="16" t="n">
        <x:v>0</x:v>
      </x:c>
      <x:c r="H1183" s="16" t="n">
        <x:v>0</x:v>
      </x:c>
      <x:c r="I1183" s="16" t="n">
        <x:v>1102330.1393794722</x:v>
      </x:c>
      <x:c r="J1183" s="16" t="n">
        <x:v>1107097.8038379035</x:v>
      </x:c>
      <x:c r="K1183" s="16" t="n">
        <x:v>-4767.664458431304</x:v>
      </x:c>
      <x:c r="L1183" s="18" t="n">
        <x:v>-0.0043064528191669</x:v>
      </x:c>
      <x:c r="M1183" s="18" t="n">
        <x:v>0</x:v>
      </x:c>
      <x:c r="O1183" t="str">
        <x:v>2025-11-20</x:v>
      </x:c>
      <x:c r="P1183" t="n">
        <x:v>1102330.1393794722</x:v>
      </x:c>
    </x:row>
    <x:row r="1184" ht="15" hidden="0" customHeight="1">
      <x:c r="A1184" s="13" t="str">
        <x:v>2025-11-21</x:v>
      </x:c>
      <x:c r="B1184" s="13" t="n">
        <x:v>0</x:v>
      </x:c>
      <x:c r="C1184" s="13" t="n">
        <x:v>0</x:v>
      </x:c>
      <x:c r="D1184" s="16" t="n">
        <x:v>0</x:v>
      </x:c>
      <x:c r="E1184" s="16" t="n">
        <x:v>0</x:v>
      </x:c>
      <x:c r="F1184" s="16" t="n">
        <x:v>0</x:v>
      </x:c>
      <x:c r="G1184" s="16" t="n">
        <x:v>0</x:v>
      </x:c>
      <x:c r="H1184" s="16" t="n">
        <x:v>0</x:v>
      </x:c>
      <x:c r="I1184" s="16" t="n">
        <x:v>1102330.1393794722</x:v>
      </x:c>
      <x:c r="J1184" s="16" t="n">
        <x:v>1107097.8038379035</x:v>
      </x:c>
      <x:c r="K1184" s="16" t="n">
        <x:v>-4767.664458431304</x:v>
      </x:c>
      <x:c r="L1184" s="18" t="n">
        <x:v>-0.0043064528191669</x:v>
      </x:c>
      <x:c r="M1184" s="18" t="n">
        <x:v>0</x:v>
      </x:c>
      <x:c r="O1184" t="str">
        <x:v>2025-11-21</x:v>
      </x:c>
      <x:c r="P1184" t="n">
        <x:v>1102330.1393794722</x:v>
      </x:c>
    </x:row>
    <x:row r="1185" ht="15" hidden="0" customHeight="1">
      <x:c r="A1185" s="13" t="str">
        <x:v>2025-11-24</x:v>
      </x:c>
      <x:c r="B1185" s="13" t="n">
        <x:v>0</x:v>
      </x:c>
      <x:c r="C1185" s="13" t="n">
        <x:v>0</x:v>
      </x:c>
      <x:c r="D1185" s="16" t="n">
        <x:v>0</x:v>
      </x:c>
      <x:c r="E1185" s="16" t="n">
        <x:v>0</x:v>
      </x:c>
      <x:c r="F1185" s="16" t="n">
        <x:v>0</x:v>
      </x:c>
      <x:c r="G1185" s="16" t="n">
        <x:v>0</x:v>
      </x:c>
      <x:c r="H1185" s="16" t="n">
        <x:v>0</x:v>
      </x:c>
      <x:c r="I1185" s="16" t="n">
        <x:v>1102330.1393794722</x:v>
      </x:c>
      <x:c r="J1185" s="16" t="n">
        <x:v>1107097.8038379035</x:v>
      </x:c>
      <x:c r="K1185" s="16" t="n">
        <x:v>-4767.664458431304</x:v>
      </x:c>
      <x:c r="L1185" s="18" t="n">
        <x:v>-0.0043064528191669</x:v>
      </x:c>
      <x:c r="M1185" s="18" t="n">
        <x:v>0</x:v>
      </x:c>
      <x:c r="O1185" t="str">
        <x:v>2025-11-24</x:v>
      </x:c>
      <x:c r="P1185" t="n">
        <x:v>1102330.1393794722</x:v>
      </x:c>
    </x:row>
    <x:row r="1186" ht="15" hidden="0" customHeight="1">
      <x:c r="A1186" s="13" t="str">
        <x:v>2025-11-25</x:v>
      </x:c>
      <x:c r="B1186" s="13" t="n">
        <x:v>1</x:v>
      </x:c>
      <x:c r="C1186" s="13" t="n">
        <x:v>4</x:v>
      </x:c>
      <x:c r="D1186" s="16" t="n">
        <x:v>2459.999999999999</x:v>
      </x:c>
      <x:c r="E1186" s="16" t="n">
        <x:v>377.3352212713016</x:v>
      </x:c>
      <x:c r="F1186" s="16" t="n">
        <x:v>2082.664778728697</x:v>
      </x:c>
      <x:c r="G1186" s="16" t="n">
        <x:v>50488.994917716205</x:v>
      </x:c>
      <x:c r="H1186" s="16" t="n">
        <x:v>361271.7940934526</x:v>
      </x:c>
      <x:c r="I1186" s="16" t="n">
        <x:v>1104412.804158201</x:v>
      </x:c>
      <x:c r="J1186" s="16" t="n">
        <x:v>1107097.8038379035</x:v>
      </x:c>
      <x:c r="K1186" s="16" t="n">
        <x:v>-2684.999679702567</x:v>
      </x:c>
      <x:c r="L1186" s="18" t="n">
        <x:v>-0.0024252596928605</x:v>
      </x:c>
      <x:c r="M1186" s="18" t="n">
        <x:v>0.0018893294343753</x:v>
      </x:c>
      <x:c r="O1186" t="str">
        <x:v>2025-11-25</x:v>
      </x:c>
      <x:c r="P1186" t="n">
        <x:v>1104412.804158201</x:v>
      </x:c>
    </x:row>
    <x:row r="1187" ht="15" hidden="0" customHeight="1">
      <x:c r="A1187" s="13" t="str">
        <x:v>2025-11-26</x:v>
      </x:c>
      <x:c r="B1187" s="13" t="n">
        <x:v>0</x:v>
      </x:c>
      <x:c r="C1187" s="13" t="n">
        <x:v>0</x:v>
      </x:c>
      <x:c r="D1187" s="16" t="n">
        <x:v>0</x:v>
      </x:c>
      <x:c r="E1187" s="16" t="n">
        <x:v>0</x:v>
      </x:c>
      <x:c r="F1187" s="16" t="n">
        <x:v>0</x:v>
      </x:c>
      <x:c r="G1187" s="16" t="n">
        <x:v>0</x:v>
      </x:c>
      <x:c r="H1187" s="16" t="n">
        <x:v>0</x:v>
      </x:c>
      <x:c r="I1187" s="16" t="n">
        <x:v>1104412.804158201</x:v>
      </x:c>
      <x:c r="J1187" s="16" t="n">
        <x:v>1107097.8038379035</x:v>
      </x:c>
      <x:c r="K1187" s="16" t="n">
        <x:v>-2684.999679702567</x:v>
      </x:c>
      <x:c r="L1187" s="18" t="n">
        <x:v>-0.0024252596928605</x:v>
      </x:c>
      <x:c r="M1187" s="18" t="n">
        <x:v>0</x:v>
      </x:c>
      <x:c r="O1187" t="str">
        <x:v>2025-11-26</x:v>
      </x:c>
      <x:c r="P1187" t="n">
        <x:v>1104412.804158201</x:v>
      </x:c>
    </x:row>
    <x:row r="1188" ht="15" hidden="0" customHeight="1">
      <x:c r="A1188" s="13" t="str">
        <x:v>2025-11-27</x:v>
      </x:c>
      <x:c r="B1188" s="13" t="n">
        <x:v>0</x:v>
      </x:c>
      <x:c r="C1188" s="13" t="n">
        <x:v>0</x:v>
      </x:c>
      <x:c r="D1188" s="16" t="n">
        <x:v>0</x:v>
      </x:c>
      <x:c r="E1188" s="16" t="n">
        <x:v>0</x:v>
      </x:c>
      <x:c r="F1188" s="16" t="n">
        <x:v>0</x:v>
      </x:c>
      <x:c r="G1188" s="16" t="n">
        <x:v>0</x:v>
      </x:c>
      <x:c r="H1188" s="16" t="n">
        <x:v>0</x:v>
      </x:c>
      <x:c r="I1188" s="16" t="n">
        <x:v>1104412.804158201</x:v>
      </x:c>
      <x:c r="J1188" s="16" t="n">
        <x:v>1107097.8038379035</x:v>
      </x:c>
      <x:c r="K1188" s="16" t="n">
        <x:v>-2684.999679702567</x:v>
      </x:c>
      <x:c r="L1188" s="18" t="n">
        <x:v>-0.0024252596928605</x:v>
      </x:c>
      <x:c r="M1188" s="18" t="n">
        <x:v>0</x:v>
      </x:c>
      <x:c r="O1188" t="str">
        <x:v>2025-11-27</x:v>
      </x:c>
      <x:c r="P1188" t="n">
        <x:v>1104412.804158201</x:v>
      </x:c>
    </x:row>
    <x:row r="1189" ht="15" hidden="0" customHeight="1">
      <x:c r="A1189" s="13" t="str">
        <x:v>2025-11-28</x:v>
      </x:c>
      <x:c r="B1189" s="13" t="n">
        <x:v>0</x:v>
      </x:c>
      <x:c r="C1189" s="13" t="n">
        <x:v>0</x:v>
      </x:c>
      <x:c r="D1189" s="16" t="n">
        <x:v>0</x:v>
      </x:c>
      <x:c r="E1189" s="16" t="n">
        <x:v>0</x:v>
      </x:c>
      <x:c r="F1189" s="16" t="n">
        <x:v>0</x:v>
      </x:c>
      <x:c r="G1189" s="16" t="n">
        <x:v>0</x:v>
      </x:c>
      <x:c r="H1189" s="16" t="n">
        <x:v>0</x:v>
      </x:c>
      <x:c r="I1189" s="16" t="n">
        <x:v>1104412.804158201</x:v>
      </x:c>
      <x:c r="J1189" s="16" t="n">
        <x:v>1107097.8038379035</x:v>
      </x:c>
      <x:c r="K1189" s="16" t="n">
        <x:v>-2684.999679702567</x:v>
      </x:c>
      <x:c r="L1189" s="18" t="n">
        <x:v>-0.0024252596928605</x:v>
      </x:c>
      <x:c r="M1189" s="18" t="n">
        <x:v>0</x:v>
      </x:c>
      <x:c r="O1189" t="str">
        <x:v>2025-11-28</x:v>
      </x:c>
      <x:c r="P1189" t="n">
        <x:v>1104412.804158201</x:v>
      </x:c>
    </x:row>
    <x:row r="1190" ht="15" hidden="0" customHeight="1">
      <x:c r="A1190" s="13" t="str">
        <x:v>2025-12-01</x:v>
      </x:c>
      <x:c r="B1190" s="13" t="n">
        <x:v>0</x:v>
      </x:c>
      <x:c r="C1190" s="13" t="n">
        <x:v>0</x:v>
      </x:c>
      <x:c r="D1190" s="16" t="n">
        <x:v>0</x:v>
      </x:c>
      <x:c r="E1190" s="16" t="n">
        <x:v>0</x:v>
      </x:c>
      <x:c r="F1190" s="16" t="n">
        <x:v>0</x:v>
      </x:c>
      <x:c r="G1190" s="16" t="n">
        <x:v>0</x:v>
      </x:c>
      <x:c r="H1190" s="16" t="n">
        <x:v>0</x:v>
      </x:c>
      <x:c r="I1190" s="16" t="n">
        <x:v>1104412.804158201</x:v>
      </x:c>
      <x:c r="J1190" s="16" t="n">
        <x:v>1107097.8038379035</x:v>
      </x:c>
      <x:c r="K1190" s="16" t="n">
        <x:v>-2684.999679702567</x:v>
      </x:c>
      <x:c r="L1190" s="18" t="n">
        <x:v>-0.0024252596928605</x:v>
      </x:c>
      <x:c r="M1190" s="18" t="n">
        <x:v>0</x:v>
      </x:c>
      <x:c r="O1190" t="str">
        <x:v>2025-12-01</x:v>
      </x:c>
      <x:c r="P1190" t="n">
        <x:v>1104412.804158201</x:v>
      </x:c>
    </x:row>
    <x:row r="1191" ht="15" hidden="0" customHeight="1">
      <x:c r="A1191" s="13" t="str">
        <x:v>2025-12-02</x:v>
      </x:c>
      <x:c r="B1191" s="13" t="n">
        <x:v>1</x:v>
      </x:c>
      <x:c r="C1191" s="13" t="n">
        <x:v>4</x:v>
      </x:c>
      <x:c r="D1191" s="16" t="n">
        <x:v>2054.999999999998</x:v>
      </x:c>
      <x:c r="E1191" s="16" t="n">
        <x:v>380.6815158348354</x:v>
      </x:c>
      <x:c r="F1191" s="16" t="n">
        <x:v>1674.3184841651628</x:v>
      </x:c>
      <x:c r="G1191" s="16" t="n">
        <x:v>50563.429934110194</x:v>
      </x:c>
      <x:c r="H1191" s="16" t="n">
        <x:v>362644.5669634365</x:v>
      </x:c>
      <x:c r="I1191" s="16" t="n">
        <x:v>1106087.122642366</x:v>
      </x:c>
      <x:c r="J1191" s="16" t="n">
        <x:v>1107097.8038379035</x:v>
      </x:c>
      <x:c r="K1191" s="16" t="n">
        <x:v>-1010.6811955375596</x:v>
      </x:c>
      <x:c r="L1191" s="18" t="n">
        <x:v>-0.0009129104872522</x:v>
      </x:c>
      <x:c r="M1191" s="18" t="n">
        <x:v>0.0015160259622679</x:v>
      </x:c>
      <x:c r="O1191" t="str">
        <x:v>2025-12-02</x:v>
      </x:c>
      <x:c r="P1191" t="n">
        <x:v>1106087.122642366</x:v>
      </x:c>
    </x:row>
    <x:row r="1192" ht="15" hidden="0" customHeight="1">
      <x:c r="A1192" s="13" t="str">
        <x:v>2025-12-03</x:v>
      </x:c>
      <x:c r="B1192" s="13" t="n">
        <x:v>0</x:v>
      </x:c>
      <x:c r="C1192" s="13" t="n">
        <x:v>0</x:v>
      </x:c>
      <x:c r="D1192" s="16" t="n">
        <x:v>0</x:v>
      </x:c>
      <x:c r="E1192" s="16" t="n">
        <x:v>0</x:v>
      </x:c>
      <x:c r="F1192" s="16" t="n">
        <x:v>0</x:v>
      </x:c>
      <x:c r="G1192" s="16" t="n">
        <x:v>0</x:v>
      </x:c>
      <x:c r="H1192" s="16" t="n">
        <x:v>0</x:v>
      </x:c>
      <x:c r="I1192" s="16" t="n">
        <x:v>1106087.122642366</x:v>
      </x:c>
      <x:c r="J1192" s="16" t="n">
        <x:v>1107097.8038379035</x:v>
      </x:c>
      <x:c r="K1192" s="16" t="n">
        <x:v>-1010.6811955375596</x:v>
      </x:c>
      <x:c r="L1192" s="18" t="n">
        <x:v>-0.0009129104872522</x:v>
      </x:c>
      <x:c r="M1192" s="18" t="n">
        <x:v>0</x:v>
      </x:c>
      <x:c r="O1192" t="str">
        <x:v>2025-12-03</x:v>
      </x:c>
      <x:c r="P1192" t="n">
        <x:v>1106087.122642366</x:v>
      </x:c>
    </x:row>
    <x:row r="1193" ht="15" hidden="0" customHeight="1">
      <x:c r="A1193" s="13" t="str">
        <x:v>2025-12-04</x:v>
      </x:c>
      <x:c r="B1193" s="13" t="n">
        <x:v>0</x:v>
      </x:c>
      <x:c r="C1193" s="13" t="n">
        <x:v>0</x:v>
      </x:c>
      <x:c r="D1193" s="16" t="n">
        <x:v>0</x:v>
      </x:c>
      <x:c r="E1193" s="16" t="n">
        <x:v>0</x:v>
      </x:c>
      <x:c r="F1193" s="16" t="n">
        <x:v>0</x:v>
      </x:c>
      <x:c r="G1193" s="16" t="n">
        <x:v>0</x:v>
      </x:c>
      <x:c r="H1193" s="16" t="n">
        <x:v>0</x:v>
      </x:c>
      <x:c r="I1193" s="16" t="n">
        <x:v>1106087.122642366</x:v>
      </x:c>
      <x:c r="J1193" s="16" t="n">
        <x:v>1107097.8038379035</x:v>
      </x:c>
      <x:c r="K1193" s="16" t="n">
        <x:v>-1010.6811955375596</x:v>
      </x:c>
      <x:c r="L1193" s="18" t="n">
        <x:v>-0.0009129104872522</x:v>
      </x:c>
      <x:c r="M1193" s="18" t="n">
        <x:v>0</x:v>
      </x:c>
      <x:c r="O1193" t="str">
        <x:v>2025-12-04</x:v>
      </x:c>
      <x:c r="P1193" t="n">
        <x:v>1106087.122642366</x:v>
      </x:c>
    </x:row>
    <x:row r="1194" ht="15" hidden="0" customHeight="1">
      <x:c r="A1194" s="13" t="str">
        <x:v>2025-12-05</x:v>
      </x:c>
      <x:c r="B1194" s="13" t="n">
        <x:v>0</x:v>
      </x:c>
      <x:c r="C1194" s="13" t="n">
        <x:v>0</x:v>
      </x:c>
      <x:c r="D1194" s="16" t="n">
        <x:v>0</x:v>
      </x:c>
      <x:c r="E1194" s="16" t="n">
        <x:v>0</x:v>
      </x:c>
      <x:c r="F1194" s="16" t="n">
        <x:v>0</x:v>
      </x:c>
      <x:c r="G1194" s="16" t="n">
        <x:v>0</x:v>
      </x:c>
      <x:c r="H1194" s="16" t="n">
        <x:v>0</x:v>
      </x:c>
      <x:c r="I1194" s="16" t="n">
        <x:v>1106087.122642366</x:v>
      </x:c>
      <x:c r="J1194" s="16" t="n">
        <x:v>1107097.8038379035</x:v>
      </x:c>
      <x:c r="K1194" s="16" t="n">
        <x:v>-1010.6811955375596</x:v>
      </x:c>
      <x:c r="L1194" s="18" t="n">
        <x:v>-0.0009129104872522</x:v>
      </x:c>
      <x:c r="M1194" s="18" t="n">
        <x:v>0</x:v>
      </x:c>
      <x:c r="O1194" t="str">
        <x:v>2025-12-05</x:v>
      </x:c>
      <x:c r="P1194" t="n">
        <x:v>1106087.122642366</x:v>
      </x:c>
    </x:row>
    <x:row r="1195" ht="15" hidden="0" customHeight="1">
      <x:c r="A1195" s="13" t="str">
        <x:v>2025-12-08</x:v>
      </x:c>
      <x:c r="B1195" s="13" t="n">
        <x:v>0</x:v>
      </x:c>
      <x:c r="C1195" s="13" t="n">
        <x:v>0</x:v>
      </x:c>
      <x:c r="D1195" s="16" t="n">
        <x:v>0</x:v>
      </x:c>
      <x:c r="E1195" s="16" t="n">
        <x:v>0</x:v>
      </x:c>
      <x:c r="F1195" s="16" t="n">
        <x:v>0</x:v>
      </x:c>
      <x:c r="G1195" s="16" t="n">
        <x:v>0</x:v>
      </x:c>
      <x:c r="H1195" s="16" t="n">
        <x:v>0</x:v>
      </x:c>
      <x:c r="I1195" s="16" t="n">
        <x:v>1106087.122642366</x:v>
      </x:c>
      <x:c r="J1195" s="16" t="n">
        <x:v>1107097.8038379035</x:v>
      </x:c>
      <x:c r="K1195" s="16" t="n">
        <x:v>-1010.6811955375596</x:v>
      </x:c>
      <x:c r="L1195" s="18" t="n">
        <x:v>-0.0009129104872522</x:v>
      </x:c>
      <x:c r="M1195" s="18" t="n">
        <x:v>0</x:v>
      </x:c>
      <x:c r="O1195" t="str">
        <x:v>2025-12-08</x:v>
      </x:c>
      <x:c r="P1195" t="n">
        <x:v>1106087.122642366</x:v>
      </x:c>
    </x:row>
    <x:row r="1196" ht="15" hidden="0" customHeight="1">
      <x:c r="A1196" s="13" t="str">
        <x:v>2025-12-09</x:v>
      </x:c>
      <x:c r="B1196" s="13" t="n">
        <x:v>1</x:v>
      </x:c>
      <x:c r="C1196" s="13" t="n">
        <x:v>4</x:v>
      </x:c>
      <x:c r="D1196" s="16" t="n">
        <x:v>-1575.0000000000002</x:v>
      </x:c>
      <x:c r="E1196" s="16" t="n">
        <x:v>416.3023151408406</x:v>
      </x:c>
      <x:c r="F1196" s="16" t="n">
        <x:v>-1991.3023151408408</x:v>
      </x:c>
      <x:c r="G1196" s="16" t="n">
        <x:v>74847.04907565974</x:v>
      </x:c>
      <x:c r="H1196" s="16" t="n">
        <x:v>362566.63757645927</x:v>
      </x:c>
      <x:c r="I1196" s="16" t="n">
        <x:v>1104095.8203272251</x:v>
      </x:c>
      <x:c r="J1196" s="16" t="n">
        <x:v>1107097.8038379035</x:v>
      </x:c>
      <x:c r="K1196" s="16" t="n">
        <x:v>-3001.983510678401</x:v>
      </x:c>
      <x:c r="L1196" s="18" t="n">
        <x:v>-0.0027115793205185</x:v>
      </x:c>
      <x:c r="M1196" s="18" t="n">
        <x:v>-0.0018003123572976</x:v>
      </x:c>
      <x:c r="O1196" t="str">
        <x:v>2025-12-09</x:v>
      </x:c>
      <x:c r="P1196" t="n">
        <x:v>1104095.8203272251</x:v>
      </x:c>
    </x:row>
    <x:row r="1197" ht="15" hidden="0" customHeight="1">
      <x:c r="A1197" s="13" t="str">
        <x:v>2025-12-10</x:v>
      </x:c>
      <x:c r="B1197" s="13" t="n">
        <x:v>0</x:v>
      </x:c>
      <x:c r="C1197" s="13" t="n">
        <x:v>0</x:v>
      </x:c>
      <x:c r="D1197" s="16" t="n">
        <x:v>0</x:v>
      </x:c>
      <x:c r="E1197" s="16" t="n">
        <x:v>0</x:v>
      </x:c>
      <x:c r="F1197" s="16" t="n">
        <x:v>0</x:v>
      </x:c>
      <x:c r="G1197" s="16" t="n">
        <x:v>0</x:v>
      </x:c>
      <x:c r="H1197" s="16" t="n">
        <x:v>0</x:v>
      </x:c>
      <x:c r="I1197" s="16" t="n">
        <x:v>1104095.8203272251</x:v>
      </x:c>
      <x:c r="J1197" s="16" t="n">
        <x:v>1107097.8038379035</x:v>
      </x:c>
      <x:c r="K1197" s="16" t="n">
        <x:v>-3001.983510678401</x:v>
      </x:c>
      <x:c r="L1197" s="18" t="n">
        <x:v>-0.0027115793205185</x:v>
      </x:c>
      <x:c r="M1197" s="18" t="n">
        <x:v>0</x:v>
      </x:c>
      <x:c r="O1197" t="str">
        <x:v>2025-12-10</x:v>
      </x:c>
      <x:c r="P1197" t="n">
        <x:v>1104095.8203272251</x:v>
      </x:c>
    </x:row>
    <x:row r="1198" ht="15" hidden="0" customHeight="1">
      <x:c r="A1198" s="13" t="str">
        <x:v>2025-12-11</x:v>
      </x:c>
      <x:c r="B1198" s="13" t="n">
        <x:v>0</x:v>
      </x:c>
      <x:c r="C1198" s="13" t="n">
        <x:v>0</x:v>
      </x:c>
      <x:c r="D1198" s="16" t="n">
        <x:v>0</x:v>
      </x:c>
      <x:c r="E1198" s="16" t="n">
        <x:v>0</x:v>
      </x:c>
      <x:c r="F1198" s="16" t="n">
        <x:v>0</x:v>
      </x:c>
      <x:c r="G1198" s="16" t="n">
        <x:v>0</x:v>
      </x:c>
      <x:c r="H1198" s="16" t="n">
        <x:v>0</x:v>
      </x:c>
      <x:c r="I1198" s="16" t="n">
        <x:v>1104095.8203272251</x:v>
      </x:c>
      <x:c r="J1198" s="16" t="n">
        <x:v>1107097.8038379035</x:v>
      </x:c>
      <x:c r="K1198" s="16" t="n">
        <x:v>-3001.983510678401</x:v>
      </x:c>
      <x:c r="L1198" s="18" t="n">
        <x:v>-0.0027115793205185</x:v>
      </x:c>
      <x:c r="M1198" s="18" t="n">
        <x:v>0</x:v>
      </x:c>
      <x:c r="O1198" t="str">
        <x:v>2025-12-11</x:v>
      </x:c>
      <x:c r="P1198" t="n">
        <x:v>1104095.8203272251</x:v>
      </x:c>
    </x:row>
    <x:row r="1199" ht="15" hidden="0" customHeight="1">
      <x:c r="A1199" s="13" t="str">
        <x:v>2025-12-12</x:v>
      </x:c>
      <x:c r="B1199" s="13" t="n">
        <x:v>0</x:v>
      </x:c>
      <x:c r="C1199" s="13" t="n">
        <x:v>0</x:v>
      </x:c>
      <x:c r="D1199" s="16" t="n">
        <x:v>0</x:v>
      </x:c>
      <x:c r="E1199" s="16" t="n">
        <x:v>0</x:v>
      </x:c>
      <x:c r="F1199" s="16" t="n">
        <x:v>0</x:v>
      </x:c>
      <x:c r="G1199" s="16" t="n">
        <x:v>0</x:v>
      </x:c>
      <x:c r="H1199" s="16" t="n">
        <x:v>0</x:v>
      </x:c>
      <x:c r="I1199" s="16" t="n">
        <x:v>1104095.8203272251</x:v>
      </x:c>
      <x:c r="J1199" s="16" t="n">
        <x:v>1107097.8038379035</x:v>
      </x:c>
      <x:c r="K1199" s="16" t="n">
        <x:v>-3001.983510678401</x:v>
      </x:c>
      <x:c r="L1199" s="18" t="n">
        <x:v>-0.0027115793205185</x:v>
      </x:c>
      <x:c r="M1199" s="18" t="n">
        <x:v>0</x:v>
      </x:c>
      <x:c r="O1199" t="str">
        <x:v>2025-12-12</x:v>
      </x:c>
      <x:c r="P1199" t="n">
        <x:v>1104095.8203272251</x:v>
      </x:c>
    </x:row>
    <x:row r="1200" ht="15" hidden="0" customHeight="1">
      <x:c r="A1200" s="13" t="str">
        <x:v>2025-12-15</x:v>
      </x:c>
      <x:c r="B1200" s="13" t="n">
        <x:v>0</x:v>
      </x:c>
      <x:c r="C1200" s="13" t="n">
        <x:v>0</x:v>
      </x:c>
      <x:c r="D1200" s="16" t="n">
        <x:v>0</x:v>
      </x:c>
      <x:c r="E1200" s="16" t="n">
        <x:v>0</x:v>
      </x:c>
      <x:c r="F1200" s="16" t="n">
        <x:v>0</x:v>
      </x:c>
      <x:c r="G1200" s="16" t="n">
        <x:v>0</x:v>
      </x:c>
      <x:c r="H1200" s="16" t="n">
        <x:v>0</x:v>
      </x:c>
      <x:c r="I1200" s="16" t="n">
        <x:v>1104095.8203272251</x:v>
      </x:c>
      <x:c r="J1200" s="16" t="n">
        <x:v>1107097.8038379035</x:v>
      </x:c>
      <x:c r="K1200" s="16" t="n">
        <x:v>-3001.983510678401</x:v>
      </x:c>
      <x:c r="L1200" s="18" t="n">
        <x:v>-0.0027115793205185</x:v>
      </x:c>
      <x:c r="M1200" s="18" t="n">
        <x:v>0</x:v>
      </x:c>
      <x:c r="O1200" t="str">
        <x:v>2025-12-15</x:v>
      </x:c>
      <x:c r="P1200" t="n">
        <x:v>1104095.8203272251</x:v>
      </x:c>
    </x:row>
    <x:row r="1201" ht="15" hidden="0" customHeight="1">
      <x:c r="A1201" s="13" t="str">
        <x:v>2025-12-16</x:v>
      </x:c>
      <x:c r="B1201" s="13" t="n">
        <x:v>0</x:v>
      </x:c>
      <x:c r="C1201" s="13" t="n">
        <x:v>0</x:v>
      </x:c>
      <x:c r="D1201" s="16" t="n">
        <x:v>0</x:v>
      </x:c>
      <x:c r="E1201" s="16" t="n">
        <x:v>0</x:v>
      </x:c>
      <x:c r="F1201" s="16" t="n">
        <x:v>0</x:v>
      </x:c>
      <x:c r="G1201" s="16" t="n">
        <x:v>0</x:v>
      </x:c>
      <x:c r="H1201" s="16" t="n">
        <x:v>0</x:v>
      </x:c>
      <x:c r="I1201" s="16" t="n">
        <x:v>1104095.8203272251</x:v>
      </x:c>
      <x:c r="J1201" s="16" t="n">
        <x:v>1107097.8038379035</x:v>
      </x:c>
      <x:c r="K1201" s="16" t="n">
        <x:v>-3001.983510678401</x:v>
      </x:c>
      <x:c r="L1201" s="18" t="n">
        <x:v>-0.0027115793205185</x:v>
      </x:c>
      <x:c r="M1201" s="18" t="n">
        <x:v>0</x:v>
      </x:c>
      <x:c r="O1201" t="str">
        <x:v>2025-12-16</x:v>
      </x:c>
      <x:c r="P1201" t="n">
        <x:v>1104095.8203272251</x:v>
      </x:c>
    </x:row>
    <x:row r="1202" ht="15" hidden="0" customHeight="1">
      <x:c r="A1202" s="13" t="str">
        <x:v>2025-12-17</x:v>
      </x:c>
      <x:c r="B1202" s="13" t="n">
        <x:v>0</x:v>
      </x:c>
      <x:c r="C1202" s="13" t="n">
        <x:v>0</x:v>
      </x:c>
      <x:c r="D1202" s="16" t="n">
        <x:v>0</x:v>
      </x:c>
      <x:c r="E1202" s="16" t="n">
        <x:v>0</x:v>
      </x:c>
      <x:c r="F1202" s="16" t="n">
        <x:v>0</x:v>
      </x:c>
      <x:c r="G1202" s="16" t="n">
        <x:v>0</x:v>
      </x:c>
      <x:c r="H1202" s="16" t="n">
        <x:v>0</x:v>
      </x:c>
      <x:c r="I1202" s="16" t="n">
        <x:v>1104095.8203272251</x:v>
      </x:c>
      <x:c r="J1202" s="16" t="n">
        <x:v>1107097.8038379035</x:v>
      </x:c>
      <x:c r="K1202" s="16" t="n">
        <x:v>-3001.983510678401</x:v>
      </x:c>
      <x:c r="L1202" s="18" t="n">
        <x:v>-0.0027115793205185</x:v>
      </x:c>
      <x:c r="M1202" s="18" t="n">
        <x:v>0</x:v>
      </x:c>
      <x:c r="O1202" t="str">
        <x:v>2025-12-17</x:v>
      </x:c>
      <x:c r="P1202" t="n">
        <x:v>1104095.8203272251</x:v>
      </x:c>
    </x:row>
    <x:row r="1203" ht="15" hidden="0" customHeight="1">
      <x:c r="A1203" s="13" t="str">
        <x:v>2025-12-18</x:v>
      </x:c>
      <x:c r="B1203" s="13" t="n">
        <x:v>0</x:v>
      </x:c>
      <x:c r="C1203" s="13" t="n">
        <x:v>0</x:v>
      </x:c>
      <x:c r="D1203" s="16" t="n">
        <x:v>0</x:v>
      </x:c>
      <x:c r="E1203" s="16" t="n">
        <x:v>0</x:v>
      </x:c>
      <x:c r="F1203" s="16" t="n">
        <x:v>0</x:v>
      </x:c>
      <x:c r="G1203" s="16" t="n">
        <x:v>0</x:v>
      </x:c>
      <x:c r="H1203" s="16" t="n">
        <x:v>0</x:v>
      </x:c>
      <x:c r="I1203" s="16" t="n">
        <x:v>1104095.8203272251</x:v>
      </x:c>
      <x:c r="J1203" s="16" t="n">
        <x:v>1107097.8038379035</x:v>
      </x:c>
      <x:c r="K1203" s="16" t="n">
        <x:v>-3001.983510678401</x:v>
      </x:c>
      <x:c r="L1203" s="18" t="n">
        <x:v>-0.0027115793205185</x:v>
      </x:c>
      <x:c r="M1203" s="18" t="n">
        <x:v>0</x:v>
      </x:c>
      <x:c r="O1203" t="str">
        <x:v>2025-12-18</x:v>
      </x:c>
      <x:c r="P1203" t="n">
        <x:v>1104095.8203272251</x:v>
      </x:c>
    </x:row>
    <x:row r="1204" ht="15" hidden="0" customHeight="1">
      <x:c r="A1204" s="13" t="str">
        <x:v>2025-12-19</x:v>
      </x:c>
      <x:c r="B1204" s="13" t="n">
        <x:v>0</x:v>
      </x:c>
      <x:c r="C1204" s="13" t="n">
        <x:v>0</x:v>
      </x:c>
      <x:c r="D1204" s="16" t="n">
        <x:v>0</x:v>
      </x:c>
      <x:c r="E1204" s="16" t="n">
        <x:v>0</x:v>
      </x:c>
      <x:c r="F1204" s="16" t="n">
        <x:v>0</x:v>
      </x:c>
      <x:c r="G1204" s="16" t="n">
        <x:v>0</x:v>
      </x:c>
      <x:c r="H1204" s="16" t="n">
        <x:v>0</x:v>
      </x:c>
      <x:c r="I1204" s="16" t="n">
        <x:v>1104095.8203272251</x:v>
      </x:c>
      <x:c r="J1204" s="16" t="n">
        <x:v>1107097.8038379035</x:v>
      </x:c>
      <x:c r="K1204" s="16" t="n">
        <x:v>-3001.983510678401</x:v>
      </x:c>
      <x:c r="L1204" s="18" t="n">
        <x:v>-0.0027115793205185</x:v>
      </x:c>
      <x:c r="M1204" s="18" t="n">
        <x:v>0</x:v>
      </x:c>
      <x:c r="O1204" t="str">
        <x:v>2025-12-19</x:v>
      </x:c>
      <x:c r="P1204" t="n">
        <x:v>1104095.8203272251</x:v>
      </x:c>
    </x:row>
    <x:row r="1205" ht="15" hidden="0" customHeight="1">
      <x:c r="A1205" s="13" t="str">
        <x:v>2025-12-22</x:v>
      </x:c>
      <x:c r="B1205" s="13" t="n">
        <x:v>0</x:v>
      </x:c>
      <x:c r="C1205" s="13" t="n">
        <x:v>0</x:v>
      </x:c>
      <x:c r="D1205" s="16" t="n">
        <x:v>0</x:v>
      </x:c>
      <x:c r="E1205" s="16" t="n">
        <x:v>0</x:v>
      </x:c>
      <x:c r="F1205" s="16" t="n">
        <x:v>0</x:v>
      </x:c>
      <x:c r="G1205" s="16" t="n">
        <x:v>0</x:v>
      </x:c>
      <x:c r="H1205" s="16" t="n">
        <x:v>0</x:v>
      </x:c>
      <x:c r="I1205" s="16" t="n">
        <x:v>1104095.8203272251</x:v>
      </x:c>
      <x:c r="J1205" s="16" t="n">
        <x:v>1107097.8038379035</x:v>
      </x:c>
      <x:c r="K1205" s="16" t="n">
        <x:v>-3001.983510678401</x:v>
      </x:c>
      <x:c r="L1205" s="18" t="n">
        <x:v>-0.0027115793205185</x:v>
      </x:c>
      <x:c r="M1205" s="18" t="n">
        <x:v>0</x:v>
      </x:c>
      <x:c r="O1205" t="str">
        <x:v>2025-12-22</x:v>
      </x:c>
      <x:c r="P1205" t="n">
        <x:v>1104095.8203272251</x:v>
      </x:c>
    </x:row>
    <x:row r="1206" ht="15" hidden="0" customHeight="1">
      <x:c r="A1206" s="13" t="str">
        <x:v>2025-12-23</x:v>
      </x:c>
      <x:c r="B1206" s="13" t="n">
        <x:v>0</x:v>
      </x:c>
      <x:c r="C1206" s="13" t="n">
        <x:v>0</x:v>
      </x:c>
      <x:c r="D1206" s="16" t="n">
        <x:v>0</x:v>
      </x:c>
      <x:c r="E1206" s="16" t="n">
        <x:v>0</x:v>
      </x:c>
      <x:c r="F1206" s="16" t="n">
        <x:v>0</x:v>
      </x:c>
      <x:c r="G1206" s="16" t="n">
        <x:v>0</x:v>
      </x:c>
      <x:c r="H1206" s="16" t="n">
        <x:v>0</x:v>
      </x:c>
      <x:c r="I1206" s="16" t="n">
        <x:v>1104095.8203272251</x:v>
      </x:c>
      <x:c r="J1206" s="16" t="n">
        <x:v>1107097.8038379035</x:v>
      </x:c>
      <x:c r="K1206" s="16" t="n">
        <x:v>-3001.983510678401</x:v>
      </x:c>
      <x:c r="L1206" s="18" t="n">
        <x:v>-0.0027115793205185</x:v>
      </x:c>
      <x:c r="M1206" s="18" t="n">
        <x:v>0</x:v>
      </x:c>
      <x:c r="O1206" t="str">
        <x:v>2025-12-23</x:v>
      </x:c>
      <x:c r="P1206" t="n">
        <x:v>1104095.8203272251</x:v>
      </x:c>
    </x:row>
    <x:row r="1207" ht="15" hidden="0" customHeight="1">
      <x:c r="A1207" s="13" t="str">
        <x:v>2025-12-24</x:v>
      </x:c>
      <x:c r="B1207" s="13" t="n">
        <x:v>0</x:v>
      </x:c>
      <x:c r="C1207" s="13" t="n">
        <x:v>0</x:v>
      </x:c>
      <x:c r="D1207" s="16" t="n">
        <x:v>0</x:v>
      </x:c>
      <x:c r="E1207" s="16" t="n">
        <x:v>0</x:v>
      </x:c>
      <x:c r="F1207" s="16" t="n">
        <x:v>0</x:v>
      </x:c>
      <x:c r="G1207" s="16" t="n">
        <x:v>0</x:v>
      </x:c>
      <x:c r="H1207" s="16" t="n">
        <x:v>0</x:v>
      </x:c>
      <x:c r="I1207" s="16" t="n">
        <x:v>1104095.8203272251</x:v>
      </x:c>
      <x:c r="J1207" s="16" t="n">
        <x:v>1107097.8038379035</x:v>
      </x:c>
      <x:c r="K1207" s="16" t="n">
        <x:v>-3001.983510678401</x:v>
      </x:c>
      <x:c r="L1207" s="18" t="n">
        <x:v>-0.0027115793205185</x:v>
      </x:c>
      <x:c r="M1207" s="18" t="n">
        <x:v>0</x:v>
      </x:c>
      <x:c r="O1207" t="str">
        <x:v>2025-12-24</x:v>
      </x:c>
      <x:c r="P1207" t="n">
        <x:v>1104095.8203272251</x:v>
      </x:c>
    </x:row>
    <x:row r="1208" ht="15" hidden="0" customHeight="1">
      <x:c r="A1208" s="13" t="str">
        <x:v>2025-12-25</x:v>
      </x:c>
      <x:c r="B1208" s="13" t="n">
        <x:v>0</x:v>
      </x:c>
      <x:c r="C1208" s="13" t="n">
        <x:v>0</x:v>
      </x:c>
      <x:c r="D1208" s="16" t="n">
        <x:v>0</x:v>
      </x:c>
      <x:c r="E1208" s="16" t="n">
        <x:v>0</x:v>
      </x:c>
      <x:c r="F1208" s="16" t="n">
        <x:v>0</x:v>
      </x:c>
      <x:c r="G1208" s="16" t="n">
        <x:v>0</x:v>
      </x:c>
      <x:c r="H1208" s="16" t="n">
        <x:v>0</x:v>
      </x:c>
      <x:c r="I1208" s="16" t="n">
        <x:v>1104095.8203272251</x:v>
      </x:c>
      <x:c r="J1208" s="16" t="n">
        <x:v>1107097.8038379035</x:v>
      </x:c>
      <x:c r="K1208" s="16" t="n">
        <x:v>-3001.983510678401</x:v>
      </x:c>
      <x:c r="L1208" s="18" t="n">
        <x:v>-0.0027115793205185</x:v>
      </x:c>
      <x:c r="M1208" s="18" t="n">
        <x:v>0</x:v>
      </x:c>
      <x:c r="O1208" t="str">
        <x:v>2025-12-25</x:v>
      </x:c>
      <x:c r="P1208" t="n">
        <x:v>1104095.8203272251</x:v>
      </x:c>
    </x:row>
    <x:row r="1209" ht="15" hidden="0" customHeight="1">
      <x:c r="A1209" s="13" t="str">
        <x:v>2025-12-26</x:v>
      </x:c>
      <x:c r="B1209" s="13" t="n">
        <x:v>0</x:v>
      </x:c>
      <x:c r="C1209" s="13" t="n">
        <x:v>0</x:v>
      </x:c>
      <x:c r="D1209" s="16" t="n">
        <x:v>0</x:v>
      </x:c>
      <x:c r="E1209" s="16" t="n">
        <x:v>0</x:v>
      </x:c>
      <x:c r="F1209" s="16" t="n">
        <x:v>0</x:v>
      </x:c>
      <x:c r="G1209" s="16" t="n">
        <x:v>0</x:v>
      </x:c>
      <x:c r="H1209" s="16" t="n">
        <x:v>0</x:v>
      </x:c>
      <x:c r="I1209" s="16" t="n">
        <x:v>1104095.8203272251</x:v>
      </x:c>
      <x:c r="J1209" s="16" t="n">
        <x:v>1107097.8038379035</x:v>
      </x:c>
      <x:c r="K1209" s="16" t="n">
        <x:v>-3001.983510678401</x:v>
      </x:c>
      <x:c r="L1209" s="18" t="n">
        <x:v>-0.0027115793205185</x:v>
      </x:c>
      <x:c r="M1209" s="18" t="n">
        <x:v>0</x:v>
      </x:c>
      <x:c r="O1209" t="str">
        <x:v>2025-12-26</x:v>
      </x:c>
      <x:c r="P1209" t="n">
        <x:v>1104095.8203272251</x:v>
      </x:c>
    </x:row>
    <x:row r="1210" ht="15" hidden="0" customHeight="1">
      <x:c r="A1210" s="13" t="str">
        <x:v>2025-12-29</x:v>
      </x:c>
      <x:c r="B1210" s="13" t="n">
        <x:v>0</x:v>
      </x:c>
      <x:c r="C1210" s="13" t="n">
        <x:v>0</x:v>
      </x:c>
      <x:c r="D1210" s="16" t="n">
        <x:v>0</x:v>
      </x:c>
      <x:c r="E1210" s="16" t="n">
        <x:v>0</x:v>
      </x:c>
      <x:c r="F1210" s="16" t="n">
        <x:v>0</x:v>
      </x:c>
      <x:c r="G1210" s="16" t="n">
        <x:v>0</x:v>
      </x:c>
      <x:c r="H1210" s="16" t="n">
        <x:v>0</x:v>
      </x:c>
      <x:c r="I1210" s="16" t="n">
        <x:v>1104095.8203272251</x:v>
      </x:c>
      <x:c r="J1210" s="16" t="n">
        <x:v>1107097.8038379035</x:v>
      </x:c>
      <x:c r="K1210" s="16" t="n">
        <x:v>-3001.983510678401</x:v>
      </x:c>
      <x:c r="L1210" s="18" t="n">
        <x:v>-0.0027115793205185</x:v>
      </x:c>
      <x:c r="M1210" s="18" t="n">
        <x:v>0</x:v>
      </x:c>
      <x:c r="O1210" t="str">
        <x:v>2025-12-29</x:v>
      </x:c>
      <x:c r="P1210" t="n">
        <x:v>1104095.8203272251</x:v>
      </x:c>
    </x:row>
    <x:row r="1211" ht="15" hidden="0" customHeight="1">
      <x:c r="A1211" s="13" t="str">
        <x:v>2025-12-30</x:v>
      </x:c>
      <x:c r="B1211" s="13" t="n">
        <x:v>0</x:v>
      </x:c>
      <x:c r="C1211" s="13" t="n">
        <x:v>0</x:v>
      </x:c>
      <x:c r="D1211" s="16" t="n">
        <x:v>0</x:v>
      </x:c>
      <x:c r="E1211" s="16" t="n">
        <x:v>0</x:v>
      </x:c>
      <x:c r="F1211" s="16" t="n">
        <x:v>0</x:v>
      </x:c>
      <x:c r="G1211" s="16" t="n">
        <x:v>0</x:v>
      </x:c>
      <x:c r="H1211" s="16" t="n">
        <x:v>0</x:v>
      </x:c>
      <x:c r="I1211" s="16" t="n">
        <x:v>1104095.8203272251</x:v>
      </x:c>
      <x:c r="J1211" s="16" t="n">
        <x:v>1107097.8038379035</x:v>
      </x:c>
      <x:c r="K1211" s="16" t="n">
        <x:v>-3001.983510678401</x:v>
      </x:c>
      <x:c r="L1211" s="18" t="n">
        <x:v>-0.0027115793205185</x:v>
      </x:c>
      <x:c r="M1211" s="18" t="n">
        <x:v>0</x:v>
      </x:c>
      <x:c r="O1211" t="str">
        <x:v>2025-12-30</x:v>
      </x:c>
      <x:c r="P1211" t="n">
        <x:v>1104095.8203272251</x:v>
      </x:c>
    </x:row>
    <x:row r="1212" ht="15" hidden="0" customHeight="1">
      <x:c r="A1212" s="13" t="str">
        <x:v>2025-12-31</x:v>
      </x:c>
      <x:c r="B1212" s="13" t="n">
        <x:v>0</x:v>
      </x:c>
      <x:c r="C1212" s="13" t="n">
        <x:v>0</x:v>
      </x:c>
      <x:c r="D1212" s="16" t="n">
        <x:v>0</x:v>
      </x:c>
      <x:c r="E1212" s="16" t="n">
        <x:v>0</x:v>
      </x:c>
      <x:c r="F1212" s="16" t="n">
        <x:v>0</x:v>
      </x:c>
      <x:c r="G1212" s="16" t="n">
        <x:v>0</x:v>
      </x:c>
      <x:c r="H1212" s="16" t="n">
        <x:v>0</x:v>
      </x:c>
      <x:c r="I1212" s="16" t="n">
        <x:v>1104095.8203272251</x:v>
      </x:c>
      <x:c r="J1212" s="16" t="n">
        <x:v>1107097.8038379035</x:v>
      </x:c>
      <x:c r="K1212" s="16" t="n">
        <x:v>-3001.983510678401</x:v>
      </x:c>
      <x:c r="L1212" s="18" t="n">
        <x:v>-0.0027115793205185</x:v>
      </x:c>
      <x:c r="M1212" s="18" t="n">
        <x:v>0</x:v>
      </x:c>
      <x:c r="O1212" t="str">
        <x:v>2025-12-31</x:v>
      </x:c>
      <x:c r="P1212" t="n">
        <x:v>1104095.8203272251</x:v>
      </x:c>
    </x:row>
    <x:row r="1213" ht="15" hidden="0" customHeight="1">
      <x:c r="A1213" s="13" t="str">
        <x:v>2026-01-01</x:v>
      </x:c>
      <x:c r="B1213" s="13" t="n">
        <x:v>0</x:v>
      </x:c>
      <x:c r="C1213" s="13" t="n">
        <x:v>0</x:v>
      </x:c>
      <x:c r="D1213" s="16" t="n">
        <x:v>0</x:v>
      </x:c>
      <x:c r="E1213" s="16" t="n">
        <x:v>0</x:v>
      </x:c>
      <x:c r="F1213" s="16" t="n">
        <x:v>0</x:v>
      </x:c>
      <x:c r="G1213" s="16" t="n">
        <x:v>0</x:v>
      </x:c>
      <x:c r="H1213" s="16" t="n">
        <x:v>0</x:v>
      </x:c>
      <x:c r="I1213" s="16" t="n">
        <x:v>1104095.8203272251</x:v>
      </x:c>
      <x:c r="J1213" s="16" t="n">
        <x:v>1107097.8038379035</x:v>
      </x:c>
      <x:c r="K1213" s="16" t="n">
        <x:v>-3001.983510678401</x:v>
      </x:c>
      <x:c r="L1213" s="18" t="n">
        <x:v>-0.0027115793205185</x:v>
      </x:c>
      <x:c r="M1213" s="18" t="n">
        <x:v>0</x:v>
      </x:c>
      <x:c r="O1213" t="str">
        <x:v>2026-01-01</x:v>
      </x:c>
      <x:c r="P1213" t="n">
        <x:v>1104095.8203272251</x:v>
      </x:c>
    </x:row>
    <x:row r="1214" ht="15" hidden="0" customHeight="1">
      <x:c r="A1214" s="13" t="str">
        <x:v>2026-01-02</x:v>
      </x:c>
      <x:c r="B1214" s="13" t="n">
        <x:v>0</x:v>
      </x:c>
      <x:c r="C1214" s="13" t="n">
        <x:v>0</x:v>
      </x:c>
      <x:c r="D1214" s="16" t="n">
        <x:v>0</x:v>
      </x:c>
      <x:c r="E1214" s="16" t="n">
        <x:v>0</x:v>
      </x:c>
      <x:c r="F1214" s="16" t="n">
        <x:v>0</x:v>
      </x:c>
      <x:c r="G1214" s="16" t="n">
        <x:v>0</x:v>
      </x:c>
      <x:c r="H1214" s="16" t="n">
        <x:v>0</x:v>
      </x:c>
      <x:c r="I1214" s="16" t="n">
        <x:v>1104095.8203272251</x:v>
      </x:c>
      <x:c r="J1214" s="16" t="n">
        <x:v>1107097.8038379035</x:v>
      </x:c>
      <x:c r="K1214" s="16" t="n">
        <x:v>-3001.983510678401</x:v>
      </x:c>
      <x:c r="L1214" s="18" t="n">
        <x:v>-0.0027115793205185</x:v>
      </x:c>
      <x:c r="M1214" s="18" t="n">
        <x:v>0</x:v>
      </x:c>
      <x:c r="O1214" t="str">
        <x:v>2026-01-02</x:v>
      </x:c>
      <x:c r="P1214" t="n">
        <x:v>1104095.8203272251</x:v>
      </x:c>
    </x:row>
    <x:row r="1215" ht="15" hidden="0" customHeight="1">
      <x:c r="A1215" s="13" t="str">
        <x:v>2026-01-05</x:v>
      </x:c>
      <x:c r="B1215" s="13" t="n">
        <x:v>0</x:v>
      </x:c>
      <x:c r="C1215" s="13" t="n">
        <x:v>0</x:v>
      </x:c>
      <x:c r="D1215" s="16" t="n">
        <x:v>0</x:v>
      </x:c>
      <x:c r="E1215" s="16" t="n">
        <x:v>0</x:v>
      </x:c>
      <x:c r="F1215" s="16" t="n">
        <x:v>0</x:v>
      </x:c>
      <x:c r="G1215" s="16" t="n">
        <x:v>0</x:v>
      </x:c>
      <x:c r="H1215" s="16" t="n">
        <x:v>0</x:v>
      </x:c>
      <x:c r="I1215" s="16" t="n">
        <x:v>1104095.8203272251</x:v>
      </x:c>
      <x:c r="J1215" s="16" t="n">
        <x:v>1107097.8038379035</x:v>
      </x:c>
      <x:c r="K1215" s="16" t="n">
        <x:v>-3001.983510678401</x:v>
      </x:c>
      <x:c r="L1215" s="18" t="n">
        <x:v>-0.0027115793205185</x:v>
      </x:c>
      <x:c r="M1215" s="18" t="n">
        <x:v>0</x:v>
      </x:c>
      <x:c r="O1215" t="str">
        <x:v>2026-01-05</x:v>
      </x:c>
      <x:c r="P1215" t="n">
        <x:v>1104095.8203272251</x:v>
      </x:c>
    </x:row>
    <x:row r="1216" ht="15" hidden="0" customHeight="1">
      <x:c r="A1216" s="13" t="str">
        <x:v>2026-01-06</x:v>
      </x:c>
      <x:c r="B1216" s="13" t="n">
        <x:v>0</x:v>
      </x:c>
      <x:c r="C1216" s="13" t="n">
        <x:v>0</x:v>
      </x:c>
      <x:c r="D1216" s="16" t="n">
        <x:v>0</x:v>
      </x:c>
      <x:c r="E1216" s="16" t="n">
        <x:v>0</x:v>
      </x:c>
      <x:c r="F1216" s="16" t="n">
        <x:v>0</x:v>
      </x:c>
      <x:c r="G1216" s="16" t="n">
        <x:v>0</x:v>
      </x:c>
      <x:c r="H1216" s="16" t="n">
        <x:v>0</x:v>
      </x:c>
      <x:c r="I1216" s="16" t="n">
        <x:v>1104095.8203272251</x:v>
      </x:c>
      <x:c r="J1216" s="16" t="n">
        <x:v>1107097.8038379035</x:v>
      </x:c>
      <x:c r="K1216" s="16" t="n">
        <x:v>-3001.983510678401</x:v>
      </x:c>
      <x:c r="L1216" s="18" t="n">
        <x:v>-0.0027115793205185</x:v>
      </x:c>
      <x:c r="M1216" s="18" t="n">
        <x:v>0</x:v>
      </x:c>
      <x:c r="O1216" t="str">
        <x:v>2026-01-06</x:v>
      </x:c>
      <x:c r="P1216" t="n">
        <x:v>1104095.8203272251</x:v>
      </x:c>
    </x:row>
    <x:row r="1217" ht="15" hidden="0" customHeight="1">
      <x:c r="A1217" s="13" t="str">
        <x:v>2026-01-07</x:v>
      </x:c>
      <x:c r="B1217" s="13" t="n">
        <x:v>0</x:v>
      </x:c>
      <x:c r="C1217" s="13" t="n">
        <x:v>0</x:v>
      </x:c>
      <x:c r="D1217" s="16" t="n">
        <x:v>0</x:v>
      </x:c>
      <x:c r="E1217" s="16" t="n">
        <x:v>0</x:v>
      </x:c>
      <x:c r="F1217" s="16" t="n">
        <x:v>0</x:v>
      </x:c>
      <x:c r="G1217" s="16" t="n">
        <x:v>0</x:v>
      </x:c>
      <x:c r="H1217" s="16" t="n">
        <x:v>0</x:v>
      </x:c>
      <x:c r="I1217" s="16" t="n">
        <x:v>1104095.8203272251</x:v>
      </x:c>
      <x:c r="J1217" s="16" t="n">
        <x:v>1107097.8038379035</x:v>
      </x:c>
      <x:c r="K1217" s="16" t="n">
        <x:v>-3001.983510678401</x:v>
      </x:c>
      <x:c r="L1217" s="18" t="n">
        <x:v>-0.0027115793205185</x:v>
      </x:c>
      <x:c r="M1217" s="18" t="n">
        <x:v>0</x:v>
      </x:c>
      <x:c r="O1217" t="str">
        <x:v>2026-01-07</x:v>
      </x:c>
      <x:c r="P1217" t="n">
        <x:v>1104095.8203272251</x:v>
      </x:c>
    </x:row>
    <x:row r="1218" ht="15" hidden="0" customHeight="1">
      <x:c r="A1218" s="13" t="str">
        <x:v>2026-01-08</x:v>
      </x:c>
      <x:c r="B1218" s="13" t="n">
        <x:v>0</x:v>
      </x:c>
      <x:c r="C1218" s="13" t="n">
        <x:v>0</x:v>
      </x:c>
      <x:c r="D1218" s="16" t="n">
        <x:v>0</x:v>
      </x:c>
      <x:c r="E1218" s="16" t="n">
        <x:v>0</x:v>
      </x:c>
      <x:c r="F1218" s="16" t="n">
        <x:v>0</x:v>
      </x:c>
      <x:c r="G1218" s="16" t="n">
        <x:v>0</x:v>
      </x:c>
      <x:c r="H1218" s="16" t="n">
        <x:v>0</x:v>
      </x:c>
      <x:c r="I1218" s="16" t="n">
        <x:v>1104095.8203272251</x:v>
      </x:c>
      <x:c r="J1218" s="16" t="n">
        <x:v>1107097.8038379035</x:v>
      </x:c>
      <x:c r="K1218" s="16" t="n">
        <x:v>-3001.983510678401</x:v>
      </x:c>
      <x:c r="L1218" s="18" t="n">
        <x:v>-0.0027115793205185</x:v>
      </x:c>
      <x:c r="M1218" s="18" t="n">
        <x:v>0</x:v>
      </x:c>
      <x:c r="O1218" t="str">
        <x:v>2026-01-08</x:v>
      </x:c>
      <x:c r="P1218" t="n">
        <x:v>1104095.8203272251</x:v>
      </x:c>
    </x:row>
    <x:row r="1219" ht="15" hidden="0" customHeight="1">
      <x:c r="A1219" s="13" t="str">
        <x:v>2026-01-09</x:v>
      </x:c>
      <x:c r="B1219" s="13" t="n">
        <x:v>0</x:v>
      </x:c>
      <x:c r="C1219" s="13" t="n">
        <x:v>0</x:v>
      </x:c>
      <x:c r="D1219" s="16" t="n">
        <x:v>0</x:v>
      </x:c>
      <x:c r="E1219" s="16" t="n">
        <x:v>0</x:v>
      </x:c>
      <x:c r="F1219" s="16" t="n">
        <x:v>0</x:v>
      </x:c>
      <x:c r="G1219" s="16" t="n">
        <x:v>0</x:v>
      </x:c>
      <x:c r="H1219" s="16" t="n">
        <x:v>0</x:v>
      </x:c>
      <x:c r="I1219" s="16" t="n">
        <x:v>1104095.8203272251</x:v>
      </x:c>
      <x:c r="J1219" s="16" t="n">
        <x:v>1107097.8038379035</x:v>
      </x:c>
      <x:c r="K1219" s="16" t="n">
        <x:v>-3001.983510678401</x:v>
      </x:c>
      <x:c r="L1219" s="18" t="n">
        <x:v>-0.0027115793205185</x:v>
      </x:c>
      <x:c r="M1219" s="18" t="n">
        <x:v>0</x:v>
      </x:c>
      <x:c r="O1219" t="str">
        <x:v>2026-01-09</x:v>
      </x:c>
      <x:c r="P1219" t="n">
        <x:v>1104095.8203272251</x:v>
      </x:c>
    </x:row>
    <x:row r="1220" ht="15" hidden="0" customHeight="1">
      <x:c r="A1220" s="13" t="str">
        <x:v>2026-01-12</x:v>
      </x:c>
      <x:c r="B1220" s="13" t="n">
        <x:v>0</x:v>
      </x:c>
      <x:c r="C1220" s="13" t="n">
        <x:v>0</x:v>
      </x:c>
      <x:c r="D1220" s="16" t="n">
        <x:v>0</x:v>
      </x:c>
      <x:c r="E1220" s="16" t="n">
        <x:v>0</x:v>
      </x:c>
      <x:c r="F1220" s="16" t="n">
        <x:v>0</x:v>
      </x:c>
      <x:c r="G1220" s="16" t="n">
        <x:v>0</x:v>
      </x:c>
      <x:c r="H1220" s="16" t="n">
        <x:v>0</x:v>
      </x:c>
      <x:c r="I1220" s="16" t="n">
        <x:v>1104095.8203272251</x:v>
      </x:c>
      <x:c r="J1220" s="16" t="n">
        <x:v>1107097.8038379035</x:v>
      </x:c>
      <x:c r="K1220" s="16" t="n">
        <x:v>-3001.983510678401</x:v>
      </x:c>
      <x:c r="L1220" s="18" t="n">
        <x:v>-0.0027115793205185</x:v>
      </x:c>
      <x:c r="M1220" s="18" t="n">
        <x:v>0</x:v>
      </x:c>
      <x:c r="O1220" t="str">
        <x:v>2026-01-12</x:v>
      </x:c>
      <x:c r="P1220" t="n">
        <x:v>1104095.8203272251</x:v>
      </x:c>
    </x:row>
    <x:row r="1221" ht="15" hidden="0" customHeight="1">
      <x:c r="A1221" s="13" t="str">
        <x:v>2026-01-13</x:v>
      </x:c>
      <x:c r="B1221" s="13" t="n">
        <x:v>0</x:v>
      </x:c>
      <x:c r="C1221" s="13" t="n">
        <x:v>0</x:v>
      </x:c>
      <x:c r="D1221" s="16" t="n">
        <x:v>0</x:v>
      </x:c>
      <x:c r="E1221" s="16" t="n">
        <x:v>0</x:v>
      </x:c>
      <x:c r="F1221" s="16" t="n">
        <x:v>0</x:v>
      </x:c>
      <x:c r="G1221" s="16" t="n">
        <x:v>0</x:v>
      </x:c>
      <x:c r="H1221" s="16" t="n">
        <x:v>0</x:v>
      </x:c>
      <x:c r="I1221" s="16" t="n">
        <x:v>1104095.8203272251</x:v>
      </x:c>
      <x:c r="J1221" s="16" t="n">
        <x:v>1107097.8038379035</x:v>
      </x:c>
      <x:c r="K1221" s="16" t="n">
        <x:v>-3001.983510678401</x:v>
      </x:c>
      <x:c r="L1221" s="18" t="n">
        <x:v>-0.0027115793205185</x:v>
      </x:c>
      <x:c r="M1221" s="18" t="n">
        <x:v>0</x:v>
      </x:c>
      <x:c r="O1221" t="str">
        <x:v>2026-01-13</x:v>
      </x:c>
      <x:c r="P1221" t="n">
        <x:v>1104095.8203272251</x:v>
      </x:c>
    </x:row>
    <x:row r="1222" ht="15" hidden="0" customHeight="1">
      <x:c r="A1222" s="13" t="str">
        <x:v>2026-01-14</x:v>
      </x:c>
      <x:c r="B1222" s="13" t="n">
        <x:v>0</x:v>
      </x:c>
      <x:c r="C1222" s="13" t="n">
        <x:v>0</x:v>
      </x:c>
      <x:c r="D1222" s="16" t="n">
        <x:v>0</x:v>
      </x:c>
      <x:c r="E1222" s="16" t="n">
        <x:v>0</x:v>
      </x:c>
      <x:c r="F1222" s="16" t="n">
        <x:v>0</x:v>
      </x:c>
      <x:c r="G1222" s="16" t="n">
        <x:v>0</x:v>
      </x:c>
      <x:c r="H1222" s="16" t="n">
        <x:v>0</x:v>
      </x:c>
      <x:c r="I1222" s="16" t="n">
        <x:v>1104095.8203272251</x:v>
      </x:c>
      <x:c r="J1222" s="16" t="n">
        <x:v>1107097.8038379035</x:v>
      </x:c>
      <x:c r="K1222" s="16" t="n">
        <x:v>-3001.983510678401</x:v>
      </x:c>
      <x:c r="L1222" s="18" t="n">
        <x:v>-0.0027115793205185</x:v>
      </x:c>
      <x:c r="M1222" s="18" t="n">
        <x:v>0</x:v>
      </x:c>
      <x:c r="O1222" t="str">
        <x:v>2026-01-14</x:v>
      </x:c>
      <x:c r="P1222" t="n">
        <x:v>1104095.8203272251</x:v>
      </x:c>
    </x:row>
    <x:row r="1223" ht="15" hidden="0" customHeight="1">
      <x:c r="A1223" s="13" t="str">
        <x:v>2026-01-15</x:v>
      </x:c>
      <x:c r="B1223" s="13" t="n">
        <x:v>0</x:v>
      </x:c>
      <x:c r="C1223" s="13" t="n">
        <x:v>0</x:v>
      </x:c>
      <x:c r="D1223" s="16" t="n">
        <x:v>0</x:v>
      </x:c>
      <x:c r="E1223" s="16" t="n">
        <x:v>0</x:v>
      </x:c>
      <x:c r="F1223" s="16" t="n">
        <x:v>0</x:v>
      </x:c>
      <x:c r="G1223" s="16" t="n">
        <x:v>0</x:v>
      </x:c>
      <x:c r="H1223" s="16" t="n">
        <x:v>0</x:v>
      </x:c>
      <x:c r="I1223" s="16" t="n">
        <x:v>1104095.8203272251</x:v>
      </x:c>
      <x:c r="J1223" s="16" t="n">
        <x:v>1107097.8038379035</x:v>
      </x:c>
      <x:c r="K1223" s="16" t="n">
        <x:v>-3001.983510678401</x:v>
      </x:c>
      <x:c r="L1223" s="18" t="n">
        <x:v>-0.0027115793205185</x:v>
      </x:c>
      <x:c r="M1223" s="18" t="n">
        <x:v>0</x:v>
      </x:c>
      <x:c r="O1223" t="str">
        <x:v>2026-01-15</x:v>
      </x:c>
      <x:c r="P1223" t="n">
        <x:v>1104095.8203272251</x:v>
      </x:c>
    </x:row>
    <x:row r="1224" ht="15" hidden="0" customHeight="1">
      <x:c r="A1224" s="13" t="str">
        <x:v>2026-01-16</x:v>
      </x:c>
      <x:c r="B1224" s="13" t="n">
        <x:v>0</x:v>
      </x:c>
      <x:c r="C1224" s="13" t="n">
        <x:v>0</x:v>
      </x:c>
      <x:c r="D1224" s="16" t="n">
        <x:v>0</x:v>
      </x:c>
      <x:c r="E1224" s="16" t="n">
        <x:v>0</x:v>
      </x:c>
      <x:c r="F1224" s="16" t="n">
        <x:v>0</x:v>
      </x:c>
      <x:c r="G1224" s="16" t="n">
        <x:v>0</x:v>
      </x:c>
      <x:c r="H1224" s="16" t="n">
        <x:v>0</x:v>
      </x:c>
      <x:c r="I1224" s="16" t="n">
        <x:v>1104095.8203272251</x:v>
      </x:c>
      <x:c r="J1224" s="16" t="n">
        <x:v>1107097.8038379035</x:v>
      </x:c>
      <x:c r="K1224" s="16" t="n">
        <x:v>-3001.983510678401</x:v>
      </x:c>
      <x:c r="L1224" s="18" t="n">
        <x:v>-0.0027115793205185</x:v>
      </x:c>
      <x:c r="M1224" s="18" t="n">
        <x:v>0</x:v>
      </x:c>
      <x:c r="O1224" t="str">
        <x:v>2026-01-16</x:v>
      </x:c>
      <x:c r="P1224" t="n">
        <x:v>1104095.8203272251</x:v>
      </x:c>
    </x:row>
    <x:row r="1225" ht="15" hidden="0" customHeight="1">
      <x:c r="A1225" s="13" t="str">
        <x:v>2026-01-19</x:v>
      </x:c>
      <x:c r="B1225" s="13" t="n">
        <x:v>0</x:v>
      </x:c>
      <x:c r="C1225" s="13" t="n">
        <x:v>0</x:v>
      </x:c>
      <x:c r="D1225" s="16" t="n">
        <x:v>0</x:v>
      </x:c>
      <x:c r="E1225" s="16" t="n">
        <x:v>0</x:v>
      </x:c>
      <x:c r="F1225" s="16" t="n">
        <x:v>0</x:v>
      </x:c>
      <x:c r="G1225" s="16" t="n">
        <x:v>0</x:v>
      </x:c>
      <x:c r="H1225" s="16" t="n">
        <x:v>0</x:v>
      </x:c>
      <x:c r="I1225" s="16" t="n">
        <x:v>1104095.8203272251</x:v>
      </x:c>
      <x:c r="J1225" s="16" t="n">
        <x:v>1107097.8038379035</x:v>
      </x:c>
      <x:c r="K1225" s="16" t="n">
        <x:v>-3001.983510678401</x:v>
      </x:c>
      <x:c r="L1225" s="18" t="n">
        <x:v>-0.0027115793205185</x:v>
      </x:c>
      <x:c r="M1225" s="18" t="n">
        <x:v>0</x:v>
      </x:c>
      <x:c r="O1225" t="str">
        <x:v>2026-01-19</x:v>
      </x:c>
      <x:c r="P1225" t="n">
        <x:v>1104095.8203272251</x:v>
      </x:c>
    </x:row>
    <x:row r="1226" ht="15" hidden="0" customHeight="1">
      <x:c r="A1226" s="13" t="str">
        <x:v>2026-01-20</x:v>
      </x:c>
      <x:c r="B1226" s="13" t="n">
        <x:v>1</x:v>
      </x:c>
      <x:c r="C1226" s="13" t="n">
        <x:v>5</x:v>
      </x:c>
      <x:c r="D1226" s="16" t="n">
        <x:v>3753.75</x:v>
      </x:c>
      <x:c r="E1226" s="16" t="n">
        <x:v>393.8769226494585</x:v>
      </x:c>
      <x:c r="F1226" s="16" t="n">
        <x:v>3359.8730773505413</x:v>
      </x:c>
      <x:c r="G1226" s="16" t="n">
        <x:v>48469.15241885475</x:v>
      </x:c>
      <x:c r="H1226" s="16" t="n">
        <x:v>382050.2775257579</x:v>
      </x:c>
      <x:c r="I1226" s="16" t="n">
        <x:v>1107455.6934045758</x:v>
      </x:c>
      <x:c r="J1226" s="16" t="n">
        <x:v>1107455.6934045758</x:v>
      </x:c>
      <x:c r="K1226" s="16" t="n">
        <x:v>0</x:v>
      </x:c>
      <x:c r="L1226" s="18" t="n">
        <x:v>0</x:v>
      </x:c>
      <x:c r="M1226" s="18" t="n">
        <x:v>0.0030430991726377</x:v>
      </x:c>
      <x:c r="O1226" t="str">
        <x:v>2026-01-20</x:v>
      </x:c>
      <x:c r="P1226" t="n">
        <x:v>1107455.6934045758</x:v>
      </x:c>
    </x:row>
    <x:row r="1227" ht="15" hidden="0" customHeight="1">
      <x:c r="A1227" s="13" t="str">
        <x:v>2026-01-21</x:v>
      </x:c>
      <x:c r="B1227" s="13" t="n">
        <x:v>0</x:v>
      </x:c>
      <x:c r="C1227" s="13" t="n">
        <x:v>0</x:v>
      </x:c>
      <x:c r="D1227" s="16" t="n">
        <x:v>0</x:v>
      </x:c>
      <x:c r="E1227" s="16" t="n">
        <x:v>0</x:v>
      </x:c>
      <x:c r="F1227" s="16" t="n">
        <x:v>0</x:v>
      </x:c>
      <x:c r="G1227" s="16" t="n">
        <x:v>0</x:v>
      </x:c>
      <x:c r="H1227" s="16" t="n">
        <x:v>0</x:v>
      </x:c>
      <x:c r="I1227" s="16" t="n">
        <x:v>1107455.6934045758</x:v>
      </x:c>
      <x:c r="J1227" s="16" t="n">
        <x:v>1107455.6934045758</x:v>
      </x:c>
      <x:c r="K1227" s="16" t="n">
        <x:v>0</x:v>
      </x:c>
      <x:c r="L1227" s="18" t="n">
        <x:v>0</x:v>
      </x:c>
      <x:c r="M1227" s="18" t="n">
        <x:v>0</x:v>
      </x:c>
      <x:c r="O1227" t="str">
        <x:v>2026-01-21</x:v>
      </x:c>
      <x:c r="P1227" t="n">
        <x:v>1107455.6934045758</x:v>
      </x:c>
    </x:row>
    <x:row r="1228" ht="15" hidden="0" customHeight="1">
      <x:c r="A1228" s="13" t="str">
        <x:v>2026-01-22</x:v>
      </x:c>
      <x:c r="B1228" s="13" t="n">
        <x:v>0</x:v>
      </x:c>
      <x:c r="C1228" s="13" t="n">
        <x:v>0</x:v>
      </x:c>
      <x:c r="D1228" s="16" t="n">
        <x:v>0</x:v>
      </x:c>
      <x:c r="E1228" s="16" t="n">
        <x:v>0</x:v>
      </x:c>
      <x:c r="F1228" s="16" t="n">
        <x:v>0</x:v>
      </x:c>
      <x:c r="G1228" s="16" t="n">
        <x:v>0</x:v>
      </x:c>
      <x:c r="H1228" s="16" t="n">
        <x:v>0</x:v>
      </x:c>
      <x:c r="I1228" s="16" t="n">
        <x:v>1107455.6934045758</x:v>
      </x:c>
      <x:c r="J1228" s="16" t="n">
        <x:v>1107455.6934045758</x:v>
      </x:c>
      <x:c r="K1228" s="16" t="n">
        <x:v>0</x:v>
      </x:c>
      <x:c r="L1228" s="18" t="n">
        <x:v>0</x:v>
      </x:c>
      <x:c r="M1228" s="18" t="n">
        <x:v>0</x:v>
      </x:c>
      <x:c r="O1228" t="str">
        <x:v>2026-01-22</x:v>
      </x:c>
      <x:c r="P1228" t="n">
        <x:v>1107455.6934045758</x:v>
      </x:c>
    </x:row>
    <x:row r="1229" ht="15" hidden="0" customHeight="1">
      <x:c r="A1229" s="13" t="str">
        <x:v>2026-01-23</x:v>
      </x:c>
      <x:c r="B1229" s="13" t="n">
        <x:v>0</x:v>
      </x:c>
      <x:c r="C1229" s="13" t="n">
        <x:v>0</x:v>
      </x:c>
      <x:c r="D1229" s="16" t="n">
        <x:v>0</x:v>
      </x:c>
      <x:c r="E1229" s="16" t="n">
        <x:v>0</x:v>
      </x:c>
      <x:c r="F1229" s="16" t="n">
        <x:v>0</x:v>
      </x:c>
      <x:c r="G1229" s="16" t="n">
        <x:v>0</x:v>
      </x:c>
      <x:c r="H1229" s="16" t="n">
        <x:v>0</x:v>
      </x:c>
      <x:c r="I1229" s="16" t="n">
        <x:v>1107455.6934045758</x:v>
      </x:c>
      <x:c r="J1229" s="16" t="n">
        <x:v>1107455.6934045758</x:v>
      </x:c>
      <x:c r="K1229" s="16" t="n">
        <x:v>0</x:v>
      </x:c>
      <x:c r="L1229" s="18" t="n">
        <x:v>0</x:v>
      </x:c>
      <x:c r="M1229" s="18" t="n">
        <x:v>0</x:v>
      </x:c>
      <x:c r="O1229" t="str">
        <x:v>2026-01-23</x:v>
      </x:c>
      <x:c r="P1229" t="n">
        <x:v>1107455.6934045758</x:v>
      </x:c>
    </x:row>
    <x:row r="1230" ht="15" hidden="0" customHeight="1">
      <x:c r="A1230" s="13" t="str">
        <x:v>2026-01-26</x:v>
      </x:c>
      <x:c r="B1230" s="13" t="n">
        <x:v>0</x:v>
      </x:c>
      <x:c r="C1230" s="13" t="n">
        <x:v>0</x:v>
      </x:c>
      <x:c r="D1230" s="16" t="n">
        <x:v>0</x:v>
      </x:c>
      <x:c r="E1230" s="16" t="n">
        <x:v>0</x:v>
      </x:c>
      <x:c r="F1230" s="16" t="n">
        <x:v>0</x:v>
      </x:c>
      <x:c r="G1230" s="16" t="n">
        <x:v>0</x:v>
      </x:c>
      <x:c r="H1230" s="16" t="n">
        <x:v>0</x:v>
      </x:c>
      <x:c r="I1230" s="16" t="n">
        <x:v>1107455.6934045758</x:v>
      </x:c>
      <x:c r="J1230" s="16" t="n">
        <x:v>1107455.6934045758</x:v>
      </x:c>
      <x:c r="K1230" s="16" t="n">
        <x:v>0</x:v>
      </x:c>
      <x:c r="L1230" s="18" t="n">
        <x:v>0</x:v>
      </x:c>
      <x:c r="M1230" s="18" t="n">
        <x:v>0</x:v>
      </x:c>
      <x:c r="O1230" t="str">
        <x:v>2026-01-26</x:v>
      </x:c>
      <x:c r="P1230" t="n">
        <x:v>1107455.6934045758</x:v>
      </x:c>
    </x:row>
    <x:row r="1231" ht="15" hidden="0" customHeight="1">
      <x:c r="A1231" s="13" t="str">
        <x:v>2026-01-27</x:v>
      </x:c>
      <x:c r="B1231" s="13" t="n">
        <x:v>0</x:v>
      </x:c>
      <x:c r="C1231" s="13" t="n">
        <x:v>0</x:v>
      </x:c>
      <x:c r="D1231" s="16" t="n">
        <x:v>0</x:v>
      </x:c>
      <x:c r="E1231" s="16" t="n">
        <x:v>0</x:v>
      </x:c>
      <x:c r="F1231" s="16" t="n">
        <x:v>0</x:v>
      </x:c>
      <x:c r="G1231" s="16" t="n">
        <x:v>0</x:v>
      </x:c>
      <x:c r="H1231" s="16" t="n">
        <x:v>0</x:v>
      </x:c>
      <x:c r="I1231" s="16" t="n">
        <x:v>1107455.6934045758</x:v>
      </x:c>
      <x:c r="J1231" s="16" t="n">
        <x:v>1107455.6934045758</x:v>
      </x:c>
      <x:c r="K1231" s="16" t="n">
        <x:v>0</x:v>
      </x:c>
      <x:c r="L1231" s="18" t="n">
        <x:v>0</x:v>
      </x:c>
      <x:c r="M1231" s="18" t="n">
        <x:v>0</x:v>
      </x:c>
      <x:c r="O1231" t="str">
        <x:v>2026-01-27</x:v>
      </x:c>
      <x:c r="P1231" t="n">
        <x:v>1107455.6934045758</x:v>
      </x:c>
    </x:row>
    <x:row r="1232" ht="15" hidden="0" customHeight="1">
      <x:c r="A1232" s="13" t="str">
        <x:v>2026-01-28</x:v>
      </x:c>
      <x:c r="B1232" s="13" t="n">
        <x:v>0</x:v>
      </x:c>
      <x:c r="C1232" s="13" t="n">
        <x:v>0</x:v>
      </x:c>
      <x:c r="D1232" s="16" t="n">
        <x:v>0</x:v>
      </x:c>
      <x:c r="E1232" s="16" t="n">
        <x:v>0</x:v>
      </x:c>
      <x:c r="F1232" s="16" t="n">
        <x:v>0</x:v>
      </x:c>
      <x:c r="G1232" s="16" t="n">
        <x:v>0</x:v>
      </x:c>
      <x:c r="H1232" s="16" t="n">
        <x:v>0</x:v>
      </x:c>
      <x:c r="I1232" s="16" t="n">
        <x:v>1107455.6934045758</x:v>
      </x:c>
      <x:c r="J1232" s="16" t="n">
        <x:v>1107455.6934045758</x:v>
      </x:c>
      <x:c r="K1232" s="16" t="n">
        <x:v>0</x:v>
      </x:c>
      <x:c r="L1232" s="18" t="n">
        <x:v>0</x:v>
      </x:c>
      <x:c r="M1232" s="18" t="n">
        <x:v>0</x:v>
      </x:c>
      <x:c r="O1232" t="str">
        <x:v>2026-01-28</x:v>
      </x:c>
      <x:c r="P1232" t="n">
        <x:v>1107455.6934045758</x:v>
      </x:c>
    </x:row>
    <x:row r="1233" ht="15" hidden="0" customHeight="1">
      <x:c r="A1233" s="13" t="str">
        <x:v>2026-01-29</x:v>
      </x:c>
      <x:c r="B1233" s="13" t="n">
        <x:v>0</x:v>
      </x:c>
      <x:c r="C1233" s="13" t="n">
        <x:v>0</x:v>
      </x:c>
      <x:c r="D1233" s="16" t="n">
        <x:v>0</x:v>
      </x:c>
      <x:c r="E1233" s="16" t="n">
        <x:v>0</x:v>
      </x:c>
      <x:c r="F1233" s="16" t="n">
        <x:v>0</x:v>
      </x:c>
      <x:c r="G1233" s="16" t="n">
        <x:v>0</x:v>
      </x:c>
      <x:c r="H1233" s="16" t="n">
        <x:v>0</x:v>
      </x:c>
      <x:c r="I1233" s="16" t="n">
        <x:v>1107455.6934045758</x:v>
      </x:c>
      <x:c r="J1233" s="16" t="n">
        <x:v>1107455.6934045758</x:v>
      </x:c>
      <x:c r="K1233" s="16" t="n">
        <x:v>0</x:v>
      </x:c>
      <x:c r="L1233" s="18" t="n">
        <x:v>0</x:v>
      </x:c>
      <x:c r="M1233" s="18" t="n">
        <x:v>0</x:v>
      </x:c>
      <x:c r="O1233" t="str">
        <x:v>2026-01-29</x:v>
      </x:c>
      <x:c r="P1233" t="n">
        <x:v>1107455.6934045758</x:v>
      </x:c>
    </x:row>
    <x:row r="1234" ht="15" hidden="0" customHeight="1">
      <x:c r="A1234" s="13" t="str">
        <x:v>2026-01-30</x:v>
      </x:c>
      <x:c r="B1234" s="13" t="n">
        <x:v>0</x:v>
      </x:c>
      <x:c r="C1234" s="13" t="n">
        <x:v>0</x:v>
      </x:c>
      <x:c r="D1234" s="16" t="n">
        <x:v>0</x:v>
      </x:c>
      <x:c r="E1234" s="16" t="n">
        <x:v>0</x:v>
      </x:c>
      <x:c r="F1234" s="16" t="n">
        <x:v>0</x:v>
      </x:c>
      <x:c r="G1234" s="16" t="n">
        <x:v>0</x:v>
      </x:c>
      <x:c r="H1234" s="16" t="n">
        <x:v>0</x:v>
      </x:c>
      <x:c r="I1234" s="16" t="n">
        <x:v>1107455.6934045758</x:v>
      </x:c>
      <x:c r="J1234" s="16" t="n">
        <x:v>1107455.6934045758</x:v>
      </x:c>
      <x:c r="K1234" s="16" t="n">
        <x:v>0</x:v>
      </x:c>
      <x:c r="L1234" s="18" t="n">
        <x:v>0</x:v>
      </x:c>
      <x:c r="M1234" s="18" t="n">
        <x:v>0</x:v>
      </x:c>
      <x:c r="O1234" t="str">
        <x:v>2026-01-30</x:v>
      </x:c>
      <x:c r="P1234" t="n">
        <x:v>1107455.6934045758</x:v>
      </x:c>
    </x:row>
    <x:row r="1235" ht="15" hidden="0" customHeight="1">
      <x:c r="A1235" s="13" t="str">
        <x:v>2026-02-02</x:v>
      </x:c>
      <x:c r="B1235" s="13" t="n">
        <x:v>0</x:v>
      </x:c>
      <x:c r="C1235" s="13" t="n">
        <x:v>0</x:v>
      </x:c>
      <x:c r="D1235" s="16" t="n">
        <x:v>0</x:v>
      </x:c>
      <x:c r="E1235" s="16" t="n">
        <x:v>0</x:v>
      </x:c>
      <x:c r="F1235" s="16" t="n">
        <x:v>0</x:v>
      </x:c>
      <x:c r="G1235" s="16" t="n">
        <x:v>0</x:v>
      </x:c>
      <x:c r="H1235" s="16" t="n">
        <x:v>0</x:v>
      </x:c>
      <x:c r="I1235" s="16" t="n">
        <x:v>1107455.6934045758</x:v>
      </x:c>
      <x:c r="J1235" s="16" t="n">
        <x:v>1107455.6934045758</x:v>
      </x:c>
      <x:c r="K1235" s="16" t="n">
        <x:v>0</x:v>
      </x:c>
      <x:c r="L1235" s="18" t="n">
        <x:v>0</x:v>
      </x:c>
      <x:c r="M1235" s="18" t="n">
        <x:v>0</x:v>
      </x:c>
      <x:c r="O1235" t="str">
        <x:v>2026-02-02</x:v>
      </x:c>
      <x:c r="P1235" t="n">
        <x:v>1107455.6934045758</x:v>
      </x:c>
    </x:row>
    <x:row r="1236" ht="15" hidden="0" customHeight="1">
      <x:c r="A1236" s="13" t="str">
        <x:v>2026-02-03</x:v>
      </x:c>
      <x:c r="B1236" s="13" t="n">
        <x:v>0</x:v>
      </x:c>
      <x:c r="C1236" s="13" t="n">
        <x:v>0</x:v>
      </x:c>
      <x:c r="D1236" s="16" t="n">
        <x:v>0</x:v>
      </x:c>
      <x:c r="E1236" s="16" t="n">
        <x:v>0</x:v>
      </x:c>
      <x:c r="F1236" s="16" t="n">
        <x:v>0</x:v>
      </x:c>
      <x:c r="G1236" s="16" t="n">
        <x:v>0</x:v>
      </x:c>
      <x:c r="H1236" s="16" t="n">
        <x:v>0</x:v>
      </x:c>
      <x:c r="I1236" s="16" t="n">
        <x:v>1107455.6934045758</x:v>
      </x:c>
      <x:c r="J1236" s="16" t="n">
        <x:v>1107455.6934045758</x:v>
      </x:c>
      <x:c r="K1236" s="16" t="n">
        <x:v>0</x:v>
      </x:c>
      <x:c r="L1236" s="18" t="n">
        <x:v>0</x:v>
      </x:c>
      <x:c r="M1236" s="18" t="n">
        <x:v>0</x:v>
      </x:c>
      <x:c r="O1236" t="str">
        <x:v>2026-02-03</x:v>
      </x:c>
      <x:c r="P1236" t="n">
        <x:v>1107455.6934045758</x:v>
      </x:c>
    </x:row>
    <x:row r="1237" ht="15" hidden="0" customHeight="1">
      <x:c r="A1237" s="13" t="str">
        <x:v>2026-02-04</x:v>
      </x:c>
      <x:c r="B1237" s="13" t="n">
        <x:v>0</x:v>
      </x:c>
      <x:c r="C1237" s="13" t="n">
        <x:v>0</x:v>
      </x:c>
      <x:c r="D1237" s="16" t="n">
        <x:v>0</x:v>
      </x:c>
      <x:c r="E1237" s="16" t="n">
        <x:v>0</x:v>
      </x:c>
      <x:c r="F1237" s="16" t="n">
        <x:v>0</x:v>
      </x:c>
      <x:c r="G1237" s="16" t="n">
        <x:v>0</x:v>
      </x:c>
      <x:c r="H1237" s="16" t="n">
        <x:v>0</x:v>
      </x:c>
      <x:c r="I1237" s="16" t="n">
        <x:v>1107455.6934045758</x:v>
      </x:c>
      <x:c r="J1237" s="16" t="n">
        <x:v>1107455.6934045758</x:v>
      </x:c>
      <x:c r="K1237" s="16" t="n">
        <x:v>0</x:v>
      </x:c>
      <x:c r="L1237" s="18" t="n">
        <x:v>0</x:v>
      </x:c>
      <x:c r="M1237" s="18" t="n">
        <x:v>0</x:v>
      </x:c>
      <x:c r="O1237" t="str">
        <x:v>2026-02-04</x:v>
      </x:c>
      <x:c r="P1237" t="n">
        <x:v>1107455.6934045758</x:v>
      </x:c>
    </x:row>
    <x:row r="1238" ht="15" hidden="0" customHeight="1">
      <x:c r="A1238" s="13" t="str">
        <x:v>2026-02-05</x:v>
      </x:c>
      <x:c r="B1238" s="13" t="n">
        <x:v>0</x:v>
      </x:c>
      <x:c r="C1238" s="13" t="n">
        <x:v>0</x:v>
      </x:c>
      <x:c r="D1238" s="16" t="n">
        <x:v>0</x:v>
      </x:c>
      <x:c r="E1238" s="16" t="n">
        <x:v>0</x:v>
      </x:c>
      <x:c r="F1238" s="16" t="n">
        <x:v>0</x:v>
      </x:c>
      <x:c r="G1238" s="16" t="n">
        <x:v>0</x:v>
      </x:c>
      <x:c r="H1238" s="16" t="n">
        <x:v>0</x:v>
      </x:c>
      <x:c r="I1238" s="16" t="n">
        <x:v>1107455.6934045758</x:v>
      </x:c>
      <x:c r="J1238" s="16" t="n">
        <x:v>1107455.6934045758</x:v>
      </x:c>
      <x:c r="K1238" s="16" t="n">
        <x:v>0</x:v>
      </x:c>
      <x:c r="L1238" s="18" t="n">
        <x:v>0</x:v>
      </x:c>
      <x:c r="M1238" s="18" t="n">
        <x:v>0</x:v>
      </x:c>
      <x:c r="O1238" t="str">
        <x:v>2026-02-05</x:v>
      </x:c>
      <x:c r="P1238" t="n">
        <x:v>1107455.6934045758</x:v>
      </x:c>
    </x:row>
    <x:row r="1239" ht="15" hidden="0" customHeight="1">
      <x:c r="A1239" s="13" t="str">
        <x:v>2026-02-06</x:v>
      </x:c>
      <x:c r="B1239" s="13" t="n">
        <x:v>0</x:v>
      </x:c>
      <x:c r="C1239" s="13" t="n">
        <x:v>0</x:v>
      </x:c>
      <x:c r="D1239" s="16" t="n">
        <x:v>0</x:v>
      </x:c>
      <x:c r="E1239" s="16" t="n">
        <x:v>0</x:v>
      </x:c>
      <x:c r="F1239" s="16" t="n">
        <x:v>0</x:v>
      </x:c>
      <x:c r="G1239" s="16" t="n">
        <x:v>0</x:v>
      </x:c>
      <x:c r="H1239" s="16" t="n">
        <x:v>0</x:v>
      </x:c>
      <x:c r="I1239" s="16" t="n">
        <x:v>1107455.6934045758</x:v>
      </x:c>
      <x:c r="J1239" s="16" t="n">
        <x:v>1107455.6934045758</x:v>
      </x:c>
      <x:c r="K1239" s="16" t="n">
        <x:v>0</x:v>
      </x:c>
      <x:c r="L1239" s="18" t="n">
        <x:v>0</x:v>
      </x:c>
      <x:c r="M1239" s="18" t="n">
        <x:v>0</x:v>
      </x:c>
      <x:c r="O1239" t="str">
        <x:v>2026-02-06</x:v>
      </x:c>
      <x:c r="P1239" t="n">
        <x:v>1107455.6934045758</x:v>
      </x:c>
    </x:row>
    <x:row r="1240" ht="15" hidden="0" customHeight="1">
      <x:c r="A1240" s="13" t="str">
        <x:v>2026-02-09</x:v>
      </x:c>
      <x:c r="B1240" s="13" t="n">
        <x:v>0</x:v>
      </x:c>
      <x:c r="C1240" s="13" t="n">
        <x:v>0</x:v>
      </x:c>
      <x:c r="D1240" s="16" t="n">
        <x:v>0</x:v>
      </x:c>
      <x:c r="E1240" s="16" t="n">
        <x:v>0</x:v>
      </x:c>
      <x:c r="F1240" s="16" t="n">
        <x:v>0</x:v>
      </x:c>
      <x:c r="G1240" s="16" t="n">
        <x:v>0</x:v>
      </x:c>
      <x:c r="H1240" s="16" t="n">
        <x:v>0</x:v>
      </x:c>
      <x:c r="I1240" s="16" t="n">
        <x:v>1107455.6934045758</x:v>
      </x:c>
      <x:c r="J1240" s="16" t="n">
        <x:v>1107455.6934045758</x:v>
      </x:c>
      <x:c r="K1240" s="16" t="n">
        <x:v>0</x:v>
      </x:c>
      <x:c r="L1240" s="18" t="n">
        <x:v>0</x:v>
      </x:c>
      <x:c r="M1240" s="18" t="n">
        <x:v>0</x:v>
      </x:c>
      <x:c r="O1240" t="str">
        <x:v>2026-02-09</x:v>
      </x:c>
      <x:c r="P1240" t="n">
        <x:v>1107455.6934045758</x:v>
      </x:c>
    </x:row>
    <x:row r="1241" ht="15" hidden="0" customHeight="1">
      <x:c r="A1241" s="13" t="str">
        <x:v>2026-02-10</x:v>
      </x:c>
      <x:c r="B1241" s="13" t="n">
        <x:v>1</x:v>
      </x:c>
      <x:c r="C1241" s="13" t="n">
        <x:v>4</x:v>
      </x:c>
      <x:c r="D1241" s="16" t="n">
        <x:v>2859.999999999999</x:v>
      </x:c>
      <x:c r="E1241" s="16" t="n">
        <x:v>348.21856635996846</x:v>
      </x:c>
      <x:c r="F1241" s="16" t="n">
        <x:v>2511.78143364003</x:v>
      </x:c>
      <x:c r="G1241" s="16" t="n">
        <x:v>39727.9681232072</x:v>
      </x:c>
      <x:c r="H1241" s="16" t="n">
        <x:v>312135.5269277083</x:v>
      </x:c>
      <x:c r="I1241" s="16" t="n">
        <x:v>1109967.474838216</x:v>
      </x:c>
      <x:c r="J1241" s="16" t="n">
        <x:v>1109967.474838216</x:v>
      </x:c>
      <x:c r="K1241" s="16" t="n">
        <x:v>0</x:v>
      </x:c>
      <x:c r="L1241" s="18" t="n">
        <x:v>0</x:v>
      </x:c>
      <x:c r="M1241" s="18" t="n">
        <x:v>0.0022680649425514</x:v>
      </x:c>
      <x:c r="O1241" t="str">
        <x:v>2026-02-10</x:v>
      </x:c>
      <x:c r="P1241" t="n">
        <x:v>1109967.474838216</x:v>
      </x:c>
    </x:row>
    <x:row r="1242" ht="15" hidden="0" customHeight="1">
      <x:c r="A1242" s="13" t="str">
        <x:v>2026-02-11</x:v>
      </x:c>
      <x:c r="B1242" s="13" t="n">
        <x:v>0</x:v>
      </x:c>
      <x:c r="C1242" s="13" t="n">
        <x:v>0</x:v>
      </x:c>
      <x:c r="D1242" s="16" t="n">
        <x:v>0</x:v>
      </x:c>
      <x:c r="E1242" s="16" t="n">
        <x:v>0</x:v>
      </x:c>
      <x:c r="F1242" s="16" t="n">
        <x:v>0</x:v>
      </x:c>
      <x:c r="G1242" s="16" t="n">
        <x:v>0</x:v>
      </x:c>
      <x:c r="H1242" s="16" t="n">
        <x:v>0</x:v>
      </x:c>
      <x:c r="I1242" s="16" t="n">
        <x:v>1109967.474838216</x:v>
      </x:c>
      <x:c r="J1242" s="16" t="n">
        <x:v>1109967.474838216</x:v>
      </x:c>
      <x:c r="K1242" s="16" t="n">
        <x:v>0</x:v>
      </x:c>
      <x:c r="L1242" s="18" t="n">
        <x:v>0</x:v>
      </x:c>
      <x:c r="M1242" s="18" t="n">
        <x:v>0</x:v>
      </x:c>
      <x:c r="O1242" t="str">
        <x:v>2026-02-11</x:v>
      </x:c>
      <x:c r="P1242" t="n">
        <x:v>1109967.474838216</x:v>
      </x:c>
    </x:row>
    <x:row r="1243" ht="15" hidden="0" customHeight="1">
      <x:c r="A1243" s="13" t="str">
        <x:v>2026-02-12</x:v>
      </x:c>
      <x:c r="B1243" s="13" t="n">
        <x:v>0</x:v>
      </x:c>
      <x:c r="C1243" s="13" t="n">
        <x:v>0</x:v>
      </x:c>
      <x:c r="D1243" s="16" t="n">
        <x:v>0</x:v>
      </x:c>
      <x:c r="E1243" s="16" t="n">
        <x:v>0</x:v>
      </x:c>
      <x:c r="F1243" s="16" t="n">
        <x:v>0</x:v>
      </x:c>
      <x:c r="G1243" s="16" t="n">
        <x:v>0</x:v>
      </x:c>
      <x:c r="H1243" s="16" t="n">
        <x:v>0</x:v>
      </x:c>
      <x:c r="I1243" s="16" t="n">
        <x:v>1109967.474838216</x:v>
      </x:c>
      <x:c r="J1243" s="16" t="n">
        <x:v>1109967.474838216</x:v>
      </x:c>
      <x:c r="K1243" s="16" t="n">
        <x:v>0</x:v>
      </x:c>
      <x:c r="L1243" s="18" t="n">
        <x:v>0</x:v>
      </x:c>
      <x:c r="M1243" s="18" t="n">
        <x:v>0</x:v>
      </x:c>
      <x:c r="O1243" t="str">
        <x:v>2026-02-12</x:v>
      </x:c>
      <x:c r="P1243" t="n">
        <x:v>1109967.474838216</x:v>
      </x:c>
    </x:row>
    <x:row r="1244" ht="15" hidden="0" customHeight="1">
      <x:c r="A1244" s="13" t="str">
        <x:v>2026-02-13</x:v>
      </x:c>
      <x:c r="B1244" s="13" t="n">
        <x:v>0</x:v>
      </x:c>
      <x:c r="C1244" s="13" t="n">
        <x:v>0</x:v>
      </x:c>
      <x:c r="D1244" s="16" t="n">
        <x:v>0</x:v>
      </x:c>
      <x:c r="E1244" s="16" t="n">
        <x:v>0</x:v>
      </x:c>
      <x:c r="F1244" s="16" t="n">
        <x:v>0</x:v>
      </x:c>
      <x:c r="G1244" s="16" t="n">
        <x:v>0</x:v>
      </x:c>
      <x:c r="H1244" s="16" t="n">
        <x:v>0</x:v>
      </x:c>
      <x:c r="I1244" s="16" t="n">
        <x:v>1109967.474838216</x:v>
      </x:c>
      <x:c r="J1244" s="16" t="n">
        <x:v>1109967.474838216</x:v>
      </x:c>
      <x:c r="K1244" s="16" t="n">
        <x:v>0</x:v>
      </x:c>
      <x:c r="L1244" s="18" t="n">
        <x:v>0</x:v>
      </x:c>
      <x:c r="M1244" s="18" t="n">
        <x:v>0</x:v>
      </x:c>
      <x:c r="O1244" t="str">
        <x:v>2026-02-13</x:v>
      </x:c>
      <x:c r="P1244" t="n">
        <x:v>1109967.474838216</x:v>
      </x:c>
    </x:row>
    <x:row r="1245" ht="15" hidden="0" customHeight="1">
      <x:c r="A1245" s="13" t="str">
        <x:v>2026-02-16</x:v>
      </x:c>
      <x:c r="B1245" s="13" t="n">
        <x:v>0</x:v>
      </x:c>
      <x:c r="C1245" s="13" t="n">
        <x:v>0</x:v>
      </x:c>
      <x:c r="D1245" s="16" t="n">
        <x:v>0</x:v>
      </x:c>
      <x:c r="E1245" s="16" t="n">
        <x:v>0</x:v>
      </x:c>
      <x:c r="F1245" s="16" t="n">
        <x:v>0</x:v>
      </x:c>
      <x:c r="G1245" s="16" t="n">
        <x:v>0</x:v>
      </x:c>
      <x:c r="H1245" s="16" t="n">
        <x:v>0</x:v>
      </x:c>
      <x:c r="I1245" s="16" t="n">
        <x:v>1109967.474838216</x:v>
      </x:c>
      <x:c r="J1245" s="16" t="n">
        <x:v>1109967.474838216</x:v>
      </x:c>
      <x:c r="K1245" s="16" t="n">
        <x:v>0</x:v>
      </x:c>
      <x:c r="L1245" s="18" t="n">
        <x:v>0</x:v>
      </x:c>
      <x:c r="M1245" s="18" t="n">
        <x:v>0</x:v>
      </x:c>
      <x:c r="O1245" t="str">
        <x:v>2026-02-16</x:v>
      </x:c>
      <x:c r="P1245" t="n">
        <x:v>1109967.474838216</x:v>
      </x:c>
    </x:row>
    <x:row r="1246" ht="15" hidden="0" customHeight="1">
      <x:c r="A1246" s="13" t="str">
        <x:v>2026-02-17</x:v>
      </x:c>
      <x:c r="B1246" s="13" t="n">
        <x:v>0</x:v>
      </x:c>
      <x:c r="C1246" s="13" t="n">
        <x:v>0</x:v>
      </x:c>
      <x:c r="D1246" s="16" t="n">
        <x:v>0</x:v>
      </x:c>
      <x:c r="E1246" s="16" t="n">
        <x:v>0</x:v>
      </x:c>
      <x:c r="F1246" s="16" t="n">
        <x:v>0</x:v>
      </x:c>
      <x:c r="G1246" s="16" t="n">
        <x:v>0</x:v>
      </x:c>
      <x:c r="H1246" s="16" t="n">
        <x:v>0</x:v>
      </x:c>
      <x:c r="I1246" s="16" t="n">
        <x:v>1109967.474838216</x:v>
      </x:c>
      <x:c r="J1246" s="16" t="n">
        <x:v>1109967.474838216</x:v>
      </x:c>
      <x:c r="K1246" s="16" t="n">
        <x:v>0</x:v>
      </x:c>
      <x:c r="L1246" s="18" t="n">
        <x:v>0</x:v>
      </x:c>
      <x:c r="M1246" s="18" t="n">
        <x:v>0</x:v>
      </x:c>
      <x:c r="O1246" t="str">
        <x:v>2026-02-17</x:v>
      </x:c>
      <x:c r="P1246" t="n">
        <x:v>1109967.474838216</x:v>
      </x:c>
    </x:row>
    <x:row r="1247" ht="15" hidden="0" customHeight="1">
      <x:c r="A1247" s="13" t="str">
        <x:v>2026-02-18</x:v>
      </x:c>
      <x:c r="B1247" s="13" t="n">
        <x:v>0</x:v>
      </x:c>
      <x:c r="C1247" s="13" t="n">
        <x:v>0</x:v>
      </x:c>
      <x:c r="D1247" s="16" t="n">
        <x:v>0</x:v>
      </x:c>
      <x:c r="E1247" s="16" t="n">
        <x:v>0</x:v>
      </x:c>
      <x:c r="F1247" s="16" t="n">
        <x:v>0</x:v>
      </x:c>
      <x:c r="G1247" s="16" t="n">
        <x:v>0</x:v>
      </x:c>
      <x:c r="H1247" s="16" t="n">
        <x:v>0</x:v>
      </x:c>
      <x:c r="I1247" s="16" t="n">
        <x:v>1109967.474838216</x:v>
      </x:c>
      <x:c r="J1247" s="16" t="n">
        <x:v>1109967.474838216</x:v>
      </x:c>
      <x:c r="K1247" s="16" t="n">
        <x:v>0</x:v>
      </x:c>
      <x:c r="L1247" s="18" t="n">
        <x:v>0</x:v>
      </x:c>
      <x:c r="M1247" s="18" t="n">
        <x:v>0</x:v>
      </x:c>
      <x:c r="O1247" t="str">
        <x:v>2026-02-18</x:v>
      </x:c>
      <x:c r="P1247" t="n">
        <x:v>1109967.474838216</x:v>
      </x:c>
    </x:row>
    <x:row r="1248" ht="15" hidden="0" customHeight="1">
      <x:c r="A1248" s="13" t="str">
        <x:v>2026-02-19</x:v>
      </x:c>
      <x:c r="B1248" s="13" t="n">
        <x:v>0</x:v>
      </x:c>
      <x:c r="C1248" s="13" t="n">
        <x:v>0</x:v>
      </x:c>
      <x:c r="D1248" s="16" t="n">
        <x:v>0</x:v>
      </x:c>
      <x:c r="E1248" s="16" t="n">
        <x:v>0</x:v>
      </x:c>
      <x:c r="F1248" s="16" t="n">
        <x:v>0</x:v>
      </x:c>
      <x:c r="G1248" s="16" t="n">
        <x:v>0</x:v>
      </x:c>
      <x:c r="H1248" s="16" t="n">
        <x:v>0</x:v>
      </x:c>
      <x:c r="I1248" s="16" t="n">
        <x:v>1109967.474838216</x:v>
      </x:c>
      <x:c r="J1248" s="16" t="n">
        <x:v>1109967.474838216</x:v>
      </x:c>
      <x:c r="K1248" s="16" t="n">
        <x:v>0</x:v>
      </x:c>
      <x:c r="L1248" s="18" t="n">
        <x:v>0</x:v>
      </x:c>
      <x:c r="M1248" s="18" t="n">
        <x:v>0</x:v>
      </x:c>
      <x:c r="O1248" t="str">
        <x:v>2026-02-19</x:v>
      </x:c>
      <x:c r="P1248" t="n">
        <x:v>1109967.474838216</x:v>
      </x:c>
    </x:row>
    <x:row r="1249" ht="15" hidden="0" customHeight="1">
      <x:c r="A1249" s="13" t="str">
        <x:v>2026-02-20</x:v>
      </x:c>
      <x:c r="B1249" s="13" t="n">
        <x:v>0</x:v>
      </x:c>
      <x:c r="C1249" s="13" t="n">
        <x:v>0</x:v>
      </x:c>
      <x:c r="D1249" s="16" t="n">
        <x:v>0</x:v>
      </x:c>
      <x:c r="E1249" s="16" t="n">
        <x:v>0</x:v>
      </x:c>
      <x:c r="F1249" s="16" t="n">
        <x:v>0</x:v>
      </x:c>
      <x:c r="G1249" s="16" t="n">
        <x:v>0</x:v>
      </x:c>
      <x:c r="H1249" s="16" t="n">
        <x:v>0</x:v>
      </x:c>
      <x:c r="I1249" s="16" t="n">
        <x:v>1109967.474838216</x:v>
      </x:c>
      <x:c r="J1249" s="16" t="n">
        <x:v>1109967.474838216</x:v>
      </x:c>
      <x:c r="K1249" s="16" t="n">
        <x:v>0</x:v>
      </x:c>
      <x:c r="L1249" s="18" t="n">
        <x:v>0</x:v>
      </x:c>
      <x:c r="M1249" s="18" t="n">
        <x:v>0</x:v>
      </x:c>
      <x:c r="O1249" t="str">
        <x:v>2026-02-20</x:v>
      </x:c>
      <x:c r="P1249" t="n">
        <x:v>1109967.474838216</x:v>
      </x:c>
    </x:row>
    <x:row r="1250" ht="15" hidden="0" customHeight="1">
      <x:c r="A1250" s="13" t="str">
        <x:v>2026-02-23</x:v>
      </x:c>
      <x:c r="B1250" s="13" t="n">
        <x:v>0</x:v>
      </x:c>
      <x:c r="C1250" s="13" t="n">
        <x:v>0</x:v>
      </x:c>
      <x:c r="D1250" s="16" t="n">
        <x:v>0</x:v>
      </x:c>
      <x:c r="E1250" s="16" t="n">
        <x:v>0</x:v>
      </x:c>
      <x:c r="F1250" s="16" t="n">
        <x:v>0</x:v>
      </x:c>
      <x:c r="G1250" s="16" t="n">
        <x:v>0</x:v>
      </x:c>
      <x:c r="H1250" s="16" t="n">
        <x:v>0</x:v>
      </x:c>
      <x:c r="I1250" s="16" t="n">
        <x:v>1109967.474838216</x:v>
      </x:c>
      <x:c r="J1250" s="16" t="n">
        <x:v>1109967.474838216</x:v>
      </x:c>
      <x:c r="K1250" s="16" t="n">
        <x:v>0</x:v>
      </x:c>
      <x:c r="L1250" s="18" t="n">
        <x:v>0</x:v>
      </x:c>
      <x:c r="M1250" s="18" t="n">
        <x:v>0</x:v>
      </x:c>
      <x:c r="O1250" t="str">
        <x:v>2026-02-23</x:v>
      </x:c>
      <x:c r="P1250" t="n">
        <x:v>1109967.474838216</x:v>
      </x:c>
    </x:row>
    <x:row r="1251" ht="15" hidden="0" customHeight="1">
      <x:c r="A1251" s="13" t="str">
        <x:v>2026-02-24</x:v>
      </x:c>
      <x:c r="B1251" s="13" t="n">
        <x:v>0</x:v>
      </x:c>
      <x:c r="C1251" s="13" t="n">
        <x:v>0</x:v>
      </x:c>
      <x:c r="D1251" s="16" t="n">
        <x:v>0</x:v>
      </x:c>
      <x:c r="E1251" s="16" t="n">
        <x:v>0</x:v>
      </x:c>
      <x:c r="F1251" s="16" t="n">
        <x:v>0</x:v>
      </x:c>
      <x:c r="G1251" s="16" t="n">
        <x:v>0</x:v>
      </x:c>
      <x:c r="H1251" s="16" t="n">
        <x:v>0</x:v>
      </x:c>
      <x:c r="I1251" s="16" t="n">
        <x:v>1109967.474838216</x:v>
      </x:c>
      <x:c r="J1251" s="16" t="n">
        <x:v>1109967.474838216</x:v>
      </x:c>
      <x:c r="K1251" s="16" t="n">
        <x:v>0</x:v>
      </x:c>
      <x:c r="L1251" s="18" t="n">
        <x:v>0</x:v>
      </x:c>
      <x:c r="M1251" s="18" t="n">
        <x:v>0</x:v>
      </x:c>
      <x:c r="O1251" t="str">
        <x:v>2026-02-24</x:v>
      </x:c>
      <x:c r="P1251" t="n">
        <x:v>1109967.474838216</x:v>
      </x:c>
    </x:row>
    <x:row r="1252" ht="15" hidden="0" customHeight="1">
      <x:c r="A1252" s="13" t="str">
        <x:v>2026-02-25</x:v>
      </x:c>
      <x:c r="B1252" s="13" t="n">
        <x:v>0</x:v>
      </x:c>
      <x:c r="C1252" s="13" t="n">
        <x:v>0</x:v>
      </x:c>
      <x:c r="D1252" s="16" t="n">
        <x:v>0</x:v>
      </x:c>
      <x:c r="E1252" s="16" t="n">
        <x:v>0</x:v>
      </x:c>
      <x:c r="F1252" s="16" t="n">
        <x:v>0</x:v>
      </x:c>
      <x:c r="G1252" s="16" t="n">
        <x:v>0</x:v>
      </x:c>
      <x:c r="H1252" s="16" t="n">
        <x:v>0</x:v>
      </x:c>
      <x:c r="I1252" s="16" t="n">
        <x:v>1109967.474838216</x:v>
      </x:c>
      <x:c r="J1252" s="16" t="n">
        <x:v>1109967.474838216</x:v>
      </x:c>
      <x:c r="K1252" s="16" t="n">
        <x:v>0</x:v>
      </x:c>
      <x:c r="L1252" s="18" t="n">
        <x:v>0</x:v>
      </x:c>
      <x:c r="M1252" s="18" t="n">
        <x:v>0</x:v>
      </x:c>
      <x:c r="O1252" t="str">
        <x:v>2026-02-25</x:v>
      </x:c>
      <x:c r="P1252" t="n">
        <x:v>1109967.474838216</x:v>
      </x:c>
    </x:row>
    <x:row r="1253" ht="15" hidden="0" customHeight="1">
      <x:c r="A1253" s="13" t="str">
        <x:v>2026-02-26</x:v>
      </x:c>
      <x:c r="B1253" s="13" t="n">
        <x:v>0</x:v>
      </x:c>
      <x:c r="C1253" s="13" t="n">
        <x:v>0</x:v>
      </x:c>
      <x:c r="D1253" s="16" t="n">
        <x:v>0</x:v>
      </x:c>
      <x:c r="E1253" s="16" t="n">
        <x:v>0</x:v>
      </x:c>
      <x:c r="F1253" s="16" t="n">
        <x:v>0</x:v>
      </x:c>
      <x:c r="G1253" s="16" t="n">
        <x:v>0</x:v>
      </x:c>
      <x:c r="H1253" s="16" t="n">
        <x:v>0</x:v>
      </x:c>
      <x:c r="I1253" s="16" t="n">
        <x:v>1109967.474838216</x:v>
      </x:c>
      <x:c r="J1253" s="16" t="n">
        <x:v>1109967.474838216</x:v>
      </x:c>
      <x:c r="K1253" s="16" t="n">
        <x:v>0</x:v>
      </x:c>
      <x:c r="L1253" s="18" t="n">
        <x:v>0</x:v>
      </x:c>
      <x:c r="M1253" s="18" t="n">
        <x:v>0</x:v>
      </x:c>
      <x:c r="O1253" t="str">
        <x:v>2026-02-26</x:v>
      </x:c>
      <x:c r="P1253" t="n">
        <x:v>1109967.474838216</x:v>
      </x:c>
    </x:row>
    <x:row r="1254" ht="15" hidden="0" customHeight="1">
      <x:c r="A1254" s="13" t="str">
        <x:v>2026-02-27</x:v>
      </x:c>
      <x:c r="B1254" s="13" t="n">
        <x:v>0</x:v>
      </x:c>
      <x:c r="C1254" s="13" t="n">
        <x:v>0</x:v>
      </x:c>
      <x:c r="D1254" s="16" t="n">
        <x:v>0</x:v>
      </x:c>
      <x:c r="E1254" s="16" t="n">
        <x:v>0</x:v>
      </x:c>
      <x:c r="F1254" s="16" t="n">
        <x:v>0</x:v>
      </x:c>
      <x:c r="G1254" s="16" t="n">
        <x:v>0</x:v>
      </x:c>
      <x:c r="H1254" s="16" t="n">
        <x:v>0</x:v>
      </x:c>
      <x:c r="I1254" s="16" t="n">
        <x:v>1109967.474838216</x:v>
      </x:c>
      <x:c r="J1254" s="16" t="n">
        <x:v>1109967.474838216</x:v>
      </x:c>
      <x:c r="K1254" s="16" t="n">
        <x:v>0</x:v>
      </x:c>
      <x:c r="L1254" s="18" t="n">
        <x:v>0</x:v>
      </x:c>
      <x:c r="M1254" s="18" t="n">
        <x:v>0</x:v>
      </x:c>
      <x:c r="O1254" t="str">
        <x:v>2026-02-27</x:v>
      </x:c>
      <x:c r="P1254" t="n">
        <x:v>1109967.474838216</x:v>
      </x:c>
    </x:row>
    <x:row r="1255" ht="15" hidden="0" customHeight="1">
      <x:c r="A1255" s="13" t="str">
        <x:v>2026-03-02</x:v>
      </x:c>
      <x:c r="B1255" s="13" t="n">
        <x:v>0</x:v>
      </x:c>
      <x:c r="C1255" s="13" t="n">
        <x:v>0</x:v>
      </x:c>
      <x:c r="D1255" s="16" t="n">
        <x:v>0</x:v>
      </x:c>
      <x:c r="E1255" s="16" t="n">
        <x:v>0</x:v>
      </x:c>
      <x:c r="F1255" s="16" t="n">
        <x:v>0</x:v>
      </x:c>
      <x:c r="G1255" s="16" t="n">
        <x:v>0</x:v>
      </x:c>
      <x:c r="H1255" s="16" t="n">
        <x:v>0</x:v>
      </x:c>
      <x:c r="I1255" s="16" t="n">
        <x:v>1109967.474838216</x:v>
      </x:c>
      <x:c r="J1255" s="16" t="n">
        <x:v>1109967.474838216</x:v>
      </x:c>
      <x:c r="K1255" s="16" t="n">
        <x:v>0</x:v>
      </x:c>
      <x:c r="L1255" s="18" t="n">
        <x:v>0</x:v>
      </x:c>
      <x:c r="M1255" s="18" t="n">
        <x:v>0</x:v>
      </x:c>
      <x:c r="O1255" t="str">
        <x:v>2026-03-02</x:v>
      </x:c>
      <x:c r="P1255" t="n">
        <x:v>1109967.474838216</x:v>
      </x:c>
    </x:row>
    <x:row r="1256" ht="15" hidden="0" customHeight="1">
      <x:c r="A1256" s="13" t="str">
        <x:v>2026-03-03</x:v>
      </x:c>
      <x:c r="B1256" s="13" t="n">
        <x:v>0</x:v>
      </x:c>
      <x:c r="C1256" s="13" t="n">
        <x:v>0</x:v>
      </x:c>
      <x:c r="D1256" s="16" t="n">
        <x:v>0</x:v>
      </x:c>
      <x:c r="E1256" s="16" t="n">
        <x:v>0</x:v>
      </x:c>
      <x:c r="F1256" s="16" t="n">
        <x:v>0</x:v>
      </x:c>
      <x:c r="G1256" s="16" t="n">
        <x:v>0</x:v>
      </x:c>
      <x:c r="H1256" s="16" t="n">
        <x:v>0</x:v>
      </x:c>
      <x:c r="I1256" s="16" t="n">
        <x:v>1109967.474838216</x:v>
      </x:c>
      <x:c r="J1256" s="16" t="n">
        <x:v>1109967.474838216</x:v>
      </x:c>
      <x:c r="K1256" s="16" t="n">
        <x:v>0</x:v>
      </x:c>
      <x:c r="L1256" s="18" t="n">
        <x:v>0</x:v>
      </x:c>
      <x:c r="M1256" s="18" t="n">
        <x:v>0</x:v>
      </x:c>
      <x:c r="O1256" t="str">
        <x:v>2026-03-03</x:v>
      </x:c>
      <x:c r="P1256" t="n">
        <x:v>1109967.474838216</x:v>
      </x:c>
    </x:row>
    <x:row r="1257" ht="15" hidden="0" customHeight="1">
      <x:c r="A1257" s="13" t="str">
        <x:v>2026-03-04</x:v>
      </x:c>
      <x:c r="B1257" s="13" t="n">
        <x:v>0</x:v>
      </x:c>
      <x:c r="C1257" s="13" t="n">
        <x:v>0</x:v>
      </x:c>
      <x:c r="D1257" s="16" t="n">
        <x:v>0</x:v>
      </x:c>
      <x:c r="E1257" s="16" t="n">
        <x:v>0</x:v>
      </x:c>
      <x:c r="F1257" s="16" t="n">
        <x:v>0</x:v>
      </x:c>
      <x:c r="G1257" s="16" t="n">
        <x:v>0</x:v>
      </x:c>
      <x:c r="H1257" s="16" t="n">
        <x:v>0</x:v>
      </x:c>
      <x:c r="I1257" s="16" t="n">
        <x:v>1109967.474838216</x:v>
      </x:c>
      <x:c r="J1257" s="16" t="n">
        <x:v>1109967.474838216</x:v>
      </x:c>
      <x:c r="K1257" s="16" t="n">
        <x:v>0</x:v>
      </x:c>
      <x:c r="L1257" s="18" t="n">
        <x:v>0</x:v>
      </x:c>
      <x:c r="M1257" s="18" t="n">
        <x:v>0</x:v>
      </x:c>
      <x:c r="O1257" t="str">
        <x:v>2026-03-04</x:v>
      </x:c>
      <x:c r="P1257" t="n">
        <x:v>1109967.474838216</x:v>
      </x:c>
    </x:row>
    <x:row r="1258" ht="15" hidden="0" customHeight="1">
      <x:c r="A1258" s="13" t="str">
        <x:v>2026-03-05</x:v>
      </x:c>
      <x:c r="B1258" s="13" t="n">
        <x:v>0</x:v>
      </x:c>
      <x:c r="C1258" s="13" t="n">
        <x:v>0</x:v>
      </x:c>
      <x:c r="D1258" s="16" t="n">
        <x:v>0</x:v>
      </x:c>
      <x:c r="E1258" s="16" t="n">
        <x:v>0</x:v>
      </x:c>
      <x:c r="F1258" s="16" t="n">
        <x:v>0</x:v>
      </x:c>
      <x:c r="G1258" s="16" t="n">
        <x:v>0</x:v>
      </x:c>
      <x:c r="H1258" s="16" t="n">
        <x:v>0</x:v>
      </x:c>
      <x:c r="I1258" s="16" t="n">
        <x:v>1109967.474838216</x:v>
      </x:c>
      <x:c r="J1258" s="16" t="n">
        <x:v>1109967.474838216</x:v>
      </x:c>
      <x:c r="K1258" s="16" t="n">
        <x:v>0</x:v>
      </x:c>
      <x:c r="L1258" s="18" t="n">
        <x:v>0</x:v>
      </x:c>
      <x:c r="M1258" s="18" t="n">
        <x:v>0</x:v>
      </x:c>
      <x:c r="O1258" t="str">
        <x:v>2026-03-05</x:v>
      </x:c>
      <x:c r="P1258" t="n">
        <x:v>1109967.474838216</x:v>
      </x:c>
    </x:row>
    <x:row r="1259" ht="15" hidden="0" customHeight="1">
      <x:c r="A1259" s="13" t="str">
        <x:v>2026-03-06</x:v>
      </x:c>
      <x:c r="B1259" s="13" t="n">
        <x:v>1</x:v>
      </x:c>
      <x:c r="C1259" s="13" t="n">
        <x:v>4</x:v>
      </x:c>
      <x:c r="D1259" s="16" t="n">
        <x:v>-260</x:v>
      </x:c>
      <x:c r="E1259" s="16" t="n">
        <x:v>1544.0361761331228</x:v>
      </x:c>
      <x:c r="F1259" s="16" t="n">
        <x:v>-1804.0361761331228</x:v>
      </x:c>
      <x:c r="G1259" s="16" t="n">
        <x:v>373594.77185369807</x:v>
      </x:c>
      <x:c r="H1259" s="16" t="n">
        <x:v>370313.0096192407</x:v>
      </x:c>
      <x:c r="I1259" s="16" t="n">
        <x:v>1108163.438662083</x:v>
      </x:c>
      <x:c r="J1259" s="16" t="n">
        <x:v>1109967.474838216</x:v>
      </x:c>
      <x:c r="K1259" s="16" t="n">
        <x:v>-1804.0361761332024</x:v>
      </x:c>
      <x:c r="L1259" s="18" t="n">
        <x:v>-0.0016253054409509</x:v>
      </x:c>
      <x:c r="M1259" s="18" t="n">
        <x:v>-0.0016253054409509</x:v>
      </x:c>
      <x:c r="O1259" t="str">
        <x:v>2026-03-06</x:v>
      </x:c>
      <x:c r="P1259" t="n">
        <x:v>1108163.438662083</x:v>
      </x:c>
    </x:row>
    <x:row r="1260" ht="15" hidden="0" customHeight="1">
      <x:c r="A1260" s="13" t="str">
        <x:v>2026-03-09</x:v>
      </x:c>
      <x:c r="B1260" s="13" t="n">
        <x:v>0</x:v>
      </x:c>
      <x:c r="C1260" s="13" t="n">
        <x:v>0</x:v>
      </x:c>
      <x:c r="D1260" s="16" t="n">
        <x:v>0</x:v>
      </x:c>
      <x:c r="E1260" s="16" t="n">
        <x:v>0</x:v>
      </x:c>
      <x:c r="F1260" s="16" t="n">
        <x:v>0</x:v>
      </x:c>
      <x:c r="G1260" s="16" t="n">
        <x:v>0</x:v>
      </x:c>
      <x:c r="H1260" s="16" t="n">
        <x:v>0</x:v>
      </x:c>
      <x:c r="I1260" s="16" t="n">
        <x:v>1108163.438662083</x:v>
      </x:c>
      <x:c r="J1260" s="16" t="n">
        <x:v>1109967.474838216</x:v>
      </x:c>
      <x:c r="K1260" s="16" t="n">
        <x:v>-1804.0361761332024</x:v>
      </x:c>
      <x:c r="L1260" s="18" t="n">
        <x:v>-0.0016253054409509</x:v>
      </x:c>
      <x:c r="M1260" s="18" t="n">
        <x:v>0</x:v>
      </x:c>
      <x:c r="O1260" t="str">
        <x:v>2026-03-09</x:v>
      </x:c>
      <x:c r="P1260" t="n">
        <x:v>1108163.438662083</x:v>
      </x:c>
    </x:row>
    <x:row r="1261" ht="15" hidden="0" customHeight="1">
      <x:c r="A1261" s="13" t="str">
        <x:v>2026-03-10</x:v>
      </x:c>
      <x:c r="B1261" s="13" t="n">
        <x:v>0</x:v>
      </x:c>
      <x:c r="C1261" s="13" t="n">
        <x:v>0</x:v>
      </x:c>
      <x:c r="D1261" s="16" t="n">
        <x:v>0</x:v>
      </x:c>
      <x:c r="E1261" s="16" t="n">
        <x:v>0</x:v>
      </x:c>
      <x:c r="F1261" s="16" t="n">
        <x:v>0</x:v>
      </x:c>
      <x:c r="G1261" s="16" t="n">
        <x:v>0</x:v>
      </x:c>
      <x:c r="H1261" s="16" t="n">
        <x:v>0</x:v>
      </x:c>
      <x:c r="I1261" s="16" t="n">
        <x:v>1108163.438662083</x:v>
      </x:c>
      <x:c r="J1261" s="16" t="n">
        <x:v>1109967.474838216</x:v>
      </x:c>
      <x:c r="K1261" s="16" t="n">
        <x:v>-1804.0361761332024</x:v>
      </x:c>
      <x:c r="L1261" s="18" t="n">
        <x:v>-0.0016253054409509</x:v>
      </x:c>
      <x:c r="M1261" s="18" t="n">
        <x:v>0</x:v>
      </x:c>
      <x:c r="O1261" t="str">
        <x:v>2026-03-10</x:v>
      </x:c>
      <x:c r="P1261" t="n">
        <x:v>1108163.438662083</x:v>
      </x:c>
    </x:row>
    <x:row r="1262" ht="15" hidden="0" customHeight="1">
      <x:c r="A1262" s="13" t="str">
        <x:v>2026-03-11</x:v>
      </x:c>
      <x:c r="B1262" s="13" t="n">
        <x:v>0</x:v>
      </x:c>
      <x:c r="C1262" s="13" t="n">
        <x:v>0</x:v>
      </x:c>
      <x:c r="D1262" s="16" t="n">
        <x:v>0</x:v>
      </x:c>
      <x:c r="E1262" s="16" t="n">
        <x:v>0</x:v>
      </x:c>
      <x:c r="F1262" s="16" t="n">
        <x:v>0</x:v>
      </x:c>
      <x:c r="G1262" s="16" t="n">
        <x:v>0</x:v>
      </x:c>
      <x:c r="H1262" s="16" t="n">
        <x:v>0</x:v>
      </x:c>
      <x:c r="I1262" s="16" t="n">
        <x:v>1108163.438662083</x:v>
      </x:c>
      <x:c r="J1262" s="16" t="n">
        <x:v>1109967.474838216</x:v>
      </x:c>
      <x:c r="K1262" s="16" t="n">
        <x:v>-1804.0361761332024</x:v>
      </x:c>
      <x:c r="L1262" s="18" t="n">
        <x:v>-0.0016253054409509</x:v>
      </x:c>
      <x:c r="M1262" s="18" t="n">
        <x:v>0</x:v>
      </x:c>
      <x:c r="O1262" t="str">
        <x:v>2026-03-11</x:v>
      </x:c>
      <x:c r="P1262" t="n">
        <x:v>1108163.438662083</x:v>
      </x:c>
    </x:row>
    <x:row r="1263" ht="15" hidden="0" customHeight="1">
      <x:c r="A1263" s="13" t="str">
        <x:v>2026-03-12</x:v>
      </x:c>
      <x:c r="B1263" s="13" t="n">
        <x:v>0</x:v>
      </x:c>
      <x:c r="C1263" s="13" t="n">
        <x:v>0</x:v>
      </x:c>
      <x:c r="D1263" s="16" t="n">
        <x:v>0</x:v>
      </x:c>
      <x:c r="E1263" s="16" t="n">
        <x:v>0</x:v>
      </x:c>
      <x:c r="F1263" s="16" t="n">
        <x:v>0</x:v>
      </x:c>
      <x:c r="G1263" s="16" t="n">
        <x:v>0</x:v>
      </x:c>
      <x:c r="H1263" s="16" t="n">
        <x:v>0</x:v>
      </x:c>
      <x:c r="I1263" s="16" t="n">
        <x:v>1108163.438662083</x:v>
      </x:c>
      <x:c r="J1263" s="16" t="n">
        <x:v>1109967.474838216</x:v>
      </x:c>
      <x:c r="K1263" s="16" t="n">
        <x:v>-1804.0361761332024</x:v>
      </x:c>
      <x:c r="L1263" s="18" t="n">
        <x:v>-0.0016253054409509</x:v>
      </x:c>
      <x:c r="M1263" s="18" t="n">
        <x:v>0</x:v>
      </x:c>
      <x:c r="O1263" t="str">
        <x:v>2026-03-12</x:v>
      </x:c>
      <x:c r="P1263" t="n">
        <x:v>1108163.438662083</x:v>
      </x:c>
    </x:row>
    <x:row r="1264" ht="15" hidden="0" customHeight="1">
      <x:c r="A1264" s="13" t="str">
        <x:v>2026-03-13</x:v>
      </x:c>
      <x:c r="B1264" s="13" t="n">
        <x:v>0</x:v>
      </x:c>
      <x:c r="C1264" s="13" t="n">
        <x:v>0</x:v>
      </x:c>
      <x:c r="D1264" s="16" t="n">
        <x:v>0</x:v>
      </x:c>
      <x:c r="E1264" s="16" t="n">
        <x:v>0</x:v>
      </x:c>
      <x:c r="F1264" s="16" t="n">
        <x:v>0</x:v>
      </x:c>
      <x:c r="G1264" s="16" t="n">
        <x:v>0</x:v>
      </x:c>
      <x:c r="H1264" s="16" t="n">
        <x:v>0</x:v>
      </x:c>
      <x:c r="I1264" s="16" t="n">
        <x:v>1108163.438662083</x:v>
      </x:c>
      <x:c r="J1264" s="16" t="n">
        <x:v>1109967.474838216</x:v>
      </x:c>
      <x:c r="K1264" s="16" t="n">
        <x:v>-1804.0361761332024</x:v>
      </x:c>
      <x:c r="L1264" s="18" t="n">
        <x:v>-0.0016253054409509</x:v>
      </x:c>
      <x:c r="M1264" s="18" t="n">
        <x:v>0</x:v>
      </x:c>
      <x:c r="O1264" t="str">
        <x:v>2026-03-13</x:v>
      </x:c>
      <x:c r="P1264" t="n">
        <x:v>1108163.438662083</x:v>
      </x:c>
    </x:row>
    <x:row r="1265" ht="15" hidden="0" customHeight="1">
      <x:c r="A1265" s="13" t="str">
        <x:v>2026-03-16</x:v>
      </x:c>
      <x:c r="B1265" s="13" t="n">
        <x:v>0</x:v>
      </x:c>
      <x:c r="C1265" s="13" t="n">
        <x:v>0</x:v>
      </x:c>
      <x:c r="D1265" s="16" t="n">
        <x:v>0</x:v>
      </x:c>
      <x:c r="E1265" s="16" t="n">
        <x:v>0</x:v>
      </x:c>
      <x:c r="F1265" s="16" t="n">
        <x:v>0</x:v>
      </x:c>
      <x:c r="G1265" s="16" t="n">
        <x:v>0</x:v>
      </x:c>
      <x:c r="H1265" s="16" t="n">
        <x:v>0</x:v>
      </x:c>
      <x:c r="I1265" s="16" t="n">
        <x:v>1108163.438662083</x:v>
      </x:c>
      <x:c r="J1265" s="16" t="n">
        <x:v>1109967.474838216</x:v>
      </x:c>
      <x:c r="K1265" s="16" t="n">
        <x:v>-1804.0361761332024</x:v>
      </x:c>
      <x:c r="L1265" s="18" t="n">
        <x:v>-0.0016253054409509</x:v>
      </x:c>
      <x:c r="M1265" s="18" t="n">
        <x:v>0</x:v>
      </x:c>
      <x:c r="O1265" t="str">
        <x:v>2026-03-16</x:v>
      </x:c>
      <x:c r="P1265" t="n">
        <x:v>1108163.438662083</x:v>
      </x:c>
    </x:row>
    <x:row r="1266" ht="15" hidden="0" customHeight="1">
      <x:c r="A1266" s="13" t="str">
        <x:v>2026-03-17</x:v>
      </x:c>
      <x:c r="B1266" s="13" t="n">
        <x:v>0</x:v>
      </x:c>
      <x:c r="C1266" s="13" t="n">
        <x:v>0</x:v>
      </x:c>
      <x:c r="D1266" s="16" t="n">
        <x:v>0</x:v>
      </x:c>
      <x:c r="E1266" s="16" t="n">
        <x:v>0</x:v>
      </x:c>
      <x:c r="F1266" s="16" t="n">
        <x:v>0</x:v>
      </x:c>
      <x:c r="G1266" s="16" t="n">
        <x:v>0</x:v>
      </x:c>
      <x:c r="H1266" s="16" t="n">
        <x:v>0</x:v>
      </x:c>
      <x:c r="I1266" s="16" t="n">
        <x:v>1108163.438662083</x:v>
      </x:c>
      <x:c r="J1266" s="16" t="n">
        <x:v>1109967.474838216</x:v>
      </x:c>
      <x:c r="K1266" s="16" t="n">
        <x:v>-1804.0361761332024</x:v>
      </x:c>
      <x:c r="L1266" s="18" t="n">
        <x:v>-0.0016253054409509</x:v>
      </x:c>
      <x:c r="M1266" s="18" t="n">
        <x:v>0</x:v>
      </x:c>
      <x:c r="O1266" t="str">
        <x:v>2026-03-17</x:v>
      </x:c>
      <x:c r="P1266" t="n">
        <x:v>1108163.438662083</x:v>
      </x:c>
    </x:row>
    <x:row r="1267" ht="15" hidden="0" customHeight="1">
      <x:c r="A1267" s="13" t="str">
        <x:v>2026-03-18</x:v>
      </x:c>
      <x:c r="B1267" s="13" t="n">
        <x:v>0</x:v>
      </x:c>
      <x:c r="C1267" s="13" t="n">
        <x:v>0</x:v>
      </x:c>
      <x:c r="D1267" s="16" t="n">
        <x:v>0</x:v>
      </x:c>
      <x:c r="E1267" s="16" t="n">
        <x:v>0</x:v>
      </x:c>
      <x:c r="F1267" s="16" t="n">
        <x:v>0</x:v>
      </x:c>
      <x:c r="G1267" s="16" t="n">
        <x:v>0</x:v>
      </x:c>
      <x:c r="H1267" s="16" t="n">
        <x:v>0</x:v>
      </x:c>
      <x:c r="I1267" s="16" t="n">
        <x:v>1108163.438662083</x:v>
      </x:c>
      <x:c r="J1267" s="16" t="n">
        <x:v>1109967.474838216</x:v>
      </x:c>
      <x:c r="K1267" s="16" t="n">
        <x:v>-1804.0361761332024</x:v>
      </x:c>
      <x:c r="L1267" s="18" t="n">
        <x:v>-0.0016253054409509</x:v>
      </x:c>
      <x:c r="M1267" s="18" t="n">
        <x:v>0</x:v>
      </x:c>
      <x:c r="O1267" t="str">
        <x:v>2026-03-18</x:v>
      </x:c>
      <x:c r="P1267" t="n">
        <x:v>1108163.438662083</x:v>
      </x:c>
    </x:row>
    <x:row r="1268" ht="15" hidden="0" customHeight="1">
      <x:c r="A1268" s="13" t="str">
        <x:v>2026-03-19</x:v>
      </x:c>
      <x:c r="B1268" s="13" t="n">
        <x:v>0</x:v>
      </x:c>
      <x:c r="C1268" s="13" t="n">
        <x:v>0</x:v>
      </x:c>
      <x:c r="D1268" s="16" t="n">
        <x:v>0</x:v>
      </x:c>
      <x:c r="E1268" s="16" t="n">
        <x:v>0</x:v>
      </x:c>
      <x:c r="F1268" s="16" t="n">
        <x:v>0</x:v>
      </x:c>
      <x:c r="G1268" s="16" t="n">
        <x:v>0</x:v>
      </x:c>
      <x:c r="H1268" s="16" t="n">
        <x:v>0</x:v>
      </x:c>
      <x:c r="I1268" s="16" t="n">
        <x:v>1108163.438662083</x:v>
      </x:c>
      <x:c r="J1268" s="16" t="n">
        <x:v>1109967.474838216</x:v>
      </x:c>
      <x:c r="K1268" s="16" t="n">
        <x:v>-1804.0361761332024</x:v>
      </x:c>
      <x:c r="L1268" s="18" t="n">
        <x:v>-0.0016253054409509</x:v>
      </x:c>
      <x:c r="M1268" s="18" t="n">
        <x:v>0</x:v>
      </x:c>
      <x:c r="O1268" t="str">
        <x:v>2026-03-19</x:v>
      </x:c>
      <x:c r="P1268" t="n">
        <x:v>1108163.438662083</x:v>
      </x:c>
    </x:row>
    <x:row r="1269" ht="15" hidden="0" customHeight="1">
      <x:c r="A1269" s="13" t="str">
        <x:v>2026-03-20</x:v>
      </x:c>
      <x:c r="B1269" s="13" t="n">
        <x:v>0</x:v>
      </x:c>
      <x:c r="C1269" s="13" t="n">
        <x:v>0</x:v>
      </x:c>
      <x:c r="D1269" s="16" t="n">
        <x:v>0</x:v>
      </x:c>
      <x:c r="E1269" s="16" t="n">
        <x:v>0</x:v>
      </x:c>
      <x:c r="F1269" s="16" t="n">
        <x:v>0</x:v>
      </x:c>
      <x:c r="G1269" s="16" t="n">
        <x:v>0</x:v>
      </x:c>
      <x:c r="H1269" s="16" t="n">
        <x:v>0</x:v>
      </x:c>
      <x:c r="I1269" s="16" t="n">
        <x:v>1108163.438662083</x:v>
      </x:c>
      <x:c r="J1269" s="16" t="n">
        <x:v>1109967.474838216</x:v>
      </x:c>
      <x:c r="K1269" s="16" t="n">
        <x:v>-1804.0361761332024</x:v>
      </x:c>
      <x:c r="L1269" s="18" t="n">
        <x:v>-0.0016253054409509</x:v>
      </x:c>
      <x:c r="M1269" s="18" t="n">
        <x:v>0</x:v>
      </x:c>
      <x:c r="O1269" t="str">
        <x:v>2026-03-20</x:v>
      </x:c>
      <x:c r="P1269" t="n">
        <x:v>1108163.438662083</x:v>
      </x:c>
    </x:row>
    <x:row r="1270" ht="15" hidden="0" customHeight="1">
      <x:c r="A1270" s="13" t="str">
        <x:v>2026-03-23</x:v>
      </x:c>
      <x:c r="B1270" s="13" t="n">
        <x:v>0</x:v>
      </x:c>
      <x:c r="C1270" s="13" t="n">
        <x:v>0</x:v>
      </x:c>
      <x:c r="D1270" s="16" t="n">
        <x:v>0</x:v>
      </x:c>
      <x:c r="E1270" s="16" t="n">
        <x:v>0</x:v>
      </x:c>
      <x:c r="F1270" s="16" t="n">
        <x:v>0</x:v>
      </x:c>
      <x:c r="G1270" s="16" t="n">
        <x:v>0</x:v>
      </x:c>
      <x:c r="H1270" s="16" t="n">
        <x:v>0</x:v>
      </x:c>
      <x:c r="I1270" s="16" t="n">
        <x:v>1108163.438662083</x:v>
      </x:c>
      <x:c r="J1270" s="16" t="n">
        <x:v>1109967.474838216</x:v>
      </x:c>
      <x:c r="K1270" s="16" t="n">
        <x:v>-1804.0361761332024</x:v>
      </x:c>
      <x:c r="L1270" s="18" t="n">
        <x:v>-0.0016253054409509</x:v>
      </x:c>
      <x:c r="M1270" s="18" t="n">
        <x:v>0</x:v>
      </x:c>
      <x:c r="O1270" t="str">
        <x:v>2026-03-23</x:v>
      </x:c>
      <x:c r="P1270" t="n">
        <x:v>1108163.438662083</x:v>
      </x:c>
    </x:row>
    <x:row r="1271" ht="15" hidden="0" customHeight="1">
      <x:c r="A1271" s="13" t="str">
        <x:v>2026-03-24</x:v>
      </x:c>
      <x:c r="B1271" s="13" t="n">
        <x:v>0</x:v>
      </x:c>
      <x:c r="C1271" s="13" t="n">
        <x:v>0</x:v>
      </x:c>
      <x:c r="D1271" s="16" t="n">
        <x:v>0</x:v>
      </x:c>
      <x:c r="E1271" s="16" t="n">
        <x:v>0</x:v>
      </x:c>
      <x:c r="F1271" s="16" t="n">
        <x:v>0</x:v>
      </x:c>
      <x:c r="G1271" s="16" t="n">
        <x:v>0</x:v>
      </x:c>
      <x:c r="H1271" s="16" t="n">
        <x:v>0</x:v>
      </x:c>
      <x:c r="I1271" s="16" t="n">
        <x:v>1108163.438662083</x:v>
      </x:c>
      <x:c r="J1271" s="16" t="n">
        <x:v>1109967.474838216</x:v>
      </x:c>
      <x:c r="K1271" s="16" t="n">
        <x:v>-1804.0361761332024</x:v>
      </x:c>
      <x:c r="L1271" s="18" t="n">
        <x:v>-0.0016253054409509</x:v>
      </x:c>
      <x:c r="M1271" s="18" t="n">
        <x:v>0</x:v>
      </x:c>
      <x:c r="O1271" t="str">
        <x:v>2026-03-24</x:v>
      </x:c>
      <x:c r="P1271" t="n">
        <x:v>1108163.438662083</x:v>
      </x:c>
    </x:row>
    <x:row r="1272" ht="15" hidden="0" customHeight="1">
      <x:c r="A1272" s="13" t="str">
        <x:v>2026-03-25</x:v>
      </x:c>
      <x:c r="B1272" s="13" t="n">
        <x:v>0</x:v>
      </x:c>
      <x:c r="C1272" s="13" t="n">
        <x:v>0</x:v>
      </x:c>
      <x:c r="D1272" s="16" t="n">
        <x:v>0</x:v>
      </x:c>
      <x:c r="E1272" s="16" t="n">
        <x:v>0</x:v>
      </x:c>
      <x:c r="F1272" s="16" t="n">
        <x:v>0</x:v>
      </x:c>
      <x:c r="G1272" s="16" t="n">
        <x:v>0</x:v>
      </x:c>
      <x:c r="H1272" s="16" t="n">
        <x:v>0</x:v>
      </x:c>
      <x:c r="I1272" s="16" t="n">
        <x:v>1108163.438662083</x:v>
      </x:c>
      <x:c r="J1272" s="16" t="n">
        <x:v>1109967.474838216</x:v>
      </x:c>
      <x:c r="K1272" s="16" t="n">
        <x:v>-1804.0361761332024</x:v>
      </x:c>
      <x:c r="L1272" s="18" t="n">
        <x:v>-0.0016253054409509</x:v>
      </x:c>
      <x:c r="M1272" s="18" t="n">
        <x:v>0</x:v>
      </x:c>
      <x:c r="O1272" t="str">
        <x:v>2026-03-25</x:v>
      </x:c>
      <x:c r="P1272" t="n">
        <x:v>1108163.438662083</x:v>
      </x:c>
    </x:row>
    <x:row r="1273" ht="15" hidden="0" customHeight="1">
      <x:c r="A1273" s="13" t="str">
        <x:v>2026-03-26</x:v>
      </x:c>
      <x:c r="B1273" s="13" t="n">
        <x:v>0</x:v>
      </x:c>
      <x:c r="C1273" s="13" t="n">
        <x:v>0</x:v>
      </x:c>
      <x:c r="D1273" s="16" t="n">
        <x:v>0</x:v>
      </x:c>
      <x:c r="E1273" s="16" t="n">
        <x:v>0</x:v>
      </x:c>
      <x:c r="F1273" s="16" t="n">
        <x:v>0</x:v>
      </x:c>
      <x:c r="G1273" s="16" t="n">
        <x:v>0</x:v>
      </x:c>
      <x:c r="H1273" s="16" t="n">
        <x:v>0</x:v>
      </x:c>
      <x:c r="I1273" s="16" t="n">
        <x:v>1108163.438662083</x:v>
      </x:c>
      <x:c r="J1273" s="16" t="n">
        <x:v>1109967.474838216</x:v>
      </x:c>
      <x:c r="K1273" s="16" t="n">
        <x:v>-1804.0361761332024</x:v>
      </x:c>
      <x:c r="L1273" s="18" t="n">
        <x:v>-0.0016253054409509</x:v>
      </x:c>
      <x:c r="M1273" s="18" t="n">
        <x:v>0</x:v>
      </x:c>
      <x:c r="O1273" t="str">
        <x:v>2026-03-26</x:v>
      </x:c>
      <x:c r="P1273" t="n">
        <x:v>1108163.438662083</x:v>
      </x:c>
    </x:row>
    <x:row r="1274" ht="15" hidden="0" customHeight="1">
      <x:c r="A1274" s="13" t="str">
        <x:v>2026-03-27</x:v>
      </x:c>
      <x:c r="B1274" s="13" t="n">
        <x:v>0</x:v>
      </x:c>
      <x:c r="C1274" s="13" t="n">
        <x:v>0</x:v>
      </x:c>
      <x:c r="D1274" s="16" t="n">
        <x:v>0</x:v>
      </x:c>
      <x:c r="E1274" s="16" t="n">
        <x:v>0</x:v>
      </x:c>
      <x:c r="F1274" s="16" t="n">
        <x:v>0</x:v>
      </x:c>
      <x:c r="G1274" s="16" t="n">
        <x:v>0</x:v>
      </x:c>
      <x:c r="H1274" s="16" t="n">
        <x:v>0</x:v>
      </x:c>
      <x:c r="I1274" s="16" t="n">
        <x:v>1108163.438662083</x:v>
      </x:c>
      <x:c r="J1274" s="16" t="n">
        <x:v>1109967.474838216</x:v>
      </x:c>
      <x:c r="K1274" s="16" t="n">
        <x:v>-1804.0361761332024</x:v>
      </x:c>
      <x:c r="L1274" s="18" t="n">
        <x:v>-0.0016253054409509</x:v>
      </x:c>
      <x:c r="M1274" s="18" t="n">
        <x:v>0</x:v>
      </x:c>
      <x:c r="O1274" t="str">
        <x:v>2026-03-27</x:v>
      </x:c>
      <x:c r="P1274" t="n">
        <x:v>1108163.438662083</x:v>
      </x:c>
    </x:row>
    <x:row r="1275" ht="15" hidden="0" customHeight="1">
      <x:c r="A1275" s="13" t="str">
        <x:v>2026-03-30</x:v>
      </x:c>
      <x:c r="B1275" s="13" t="n">
        <x:v>0</x:v>
      </x:c>
      <x:c r="C1275" s="13" t="n">
        <x:v>0</x:v>
      </x:c>
      <x:c r="D1275" s="16" t="n">
        <x:v>0</x:v>
      </x:c>
      <x:c r="E1275" s="16" t="n">
        <x:v>0</x:v>
      </x:c>
      <x:c r="F1275" s="16" t="n">
        <x:v>0</x:v>
      </x:c>
      <x:c r="G1275" s="16" t="n">
        <x:v>0</x:v>
      </x:c>
      <x:c r="H1275" s="16" t="n">
        <x:v>0</x:v>
      </x:c>
      <x:c r="I1275" s="16" t="n">
        <x:v>1108163.438662083</x:v>
      </x:c>
      <x:c r="J1275" s="16" t="n">
        <x:v>1109967.474838216</x:v>
      </x:c>
      <x:c r="K1275" s="16" t="n">
        <x:v>-1804.0361761332024</x:v>
      </x:c>
      <x:c r="L1275" s="18" t="n">
        <x:v>-0.0016253054409509</x:v>
      </x:c>
      <x:c r="M1275" s="18" t="n">
        <x:v>0</x:v>
      </x:c>
      <x:c r="O1275" t="str">
        <x:v>2026-03-30</x:v>
      </x:c>
      <x:c r="P1275" t="n">
        <x:v>1108163.438662083</x:v>
      </x:c>
    </x:row>
    <x:row r="1276" ht="15" hidden="0" customHeight="1">
      <x:c r="A1276" s="13" t="str">
        <x:v>2026-03-31</x:v>
      </x:c>
      <x:c r="B1276" s="13" t="n">
        <x:v>0</x:v>
      </x:c>
      <x:c r="C1276" s="13" t="n">
        <x:v>0</x:v>
      </x:c>
      <x:c r="D1276" s="16" t="n">
        <x:v>0</x:v>
      </x:c>
      <x:c r="E1276" s="16" t="n">
        <x:v>0</x:v>
      </x:c>
      <x:c r="F1276" s="16" t="n">
        <x:v>0</x:v>
      </x:c>
      <x:c r="G1276" s="16" t="n">
        <x:v>0</x:v>
      </x:c>
      <x:c r="H1276" s="16" t="n">
        <x:v>0</x:v>
      </x:c>
      <x:c r="I1276" s="16" t="n">
        <x:v>1108163.438662083</x:v>
      </x:c>
      <x:c r="J1276" s="16" t="n">
        <x:v>1109967.474838216</x:v>
      </x:c>
      <x:c r="K1276" s="16" t="n">
        <x:v>-1804.0361761332024</x:v>
      </x:c>
      <x:c r="L1276" s="18" t="n">
        <x:v>-0.0016253054409509</x:v>
      </x:c>
      <x:c r="M1276" s="18" t="n">
        <x:v>0</x:v>
      </x:c>
      <x:c r="O1276" t="str">
        <x:v>2026-03-31</x:v>
      </x:c>
      <x:c r="P1276" t="n">
        <x:v>1108163.438662083</x:v>
      </x:c>
    </x:row>
    <x:row r="1277" ht="15" hidden="0" customHeight="1">
      <x:c r="A1277" s="13" t="str">
        <x:v>2026-04-01</x:v>
      </x:c>
      <x:c r="B1277" s="13" t="n">
        <x:v>0</x:v>
      </x:c>
      <x:c r="C1277" s="13" t="n">
        <x:v>0</x:v>
      </x:c>
      <x:c r="D1277" s="16" t="n">
        <x:v>0</x:v>
      </x:c>
      <x:c r="E1277" s="16" t="n">
        <x:v>0</x:v>
      </x:c>
      <x:c r="F1277" s="16" t="n">
        <x:v>0</x:v>
      </x:c>
      <x:c r="G1277" s="16" t="n">
        <x:v>0</x:v>
      </x:c>
      <x:c r="H1277" s="16" t="n">
        <x:v>0</x:v>
      </x:c>
      <x:c r="I1277" s="16" t="n">
        <x:v>1108163.438662083</x:v>
      </x:c>
      <x:c r="J1277" s="16" t="n">
        <x:v>1109967.474838216</x:v>
      </x:c>
      <x:c r="K1277" s="16" t="n">
        <x:v>-1804.0361761332024</x:v>
      </x:c>
      <x:c r="L1277" s="18" t="n">
        <x:v>-0.0016253054409509</x:v>
      </x:c>
      <x:c r="M1277" s="18" t="n">
        <x:v>0</x:v>
      </x:c>
      <x:c r="O1277" t="str">
        <x:v>2026-04-01</x:v>
      </x:c>
      <x:c r="P1277" t="n">
        <x:v>1108163.438662083</x:v>
      </x:c>
    </x:row>
    <x:row r="1278" ht="15" hidden="0" customHeight="1">
      <x:c r="A1278" s="13" t="str">
        <x:v>2026-04-02</x:v>
      </x:c>
      <x:c r="B1278" s="13" t="n">
        <x:v>0</x:v>
      </x:c>
      <x:c r="C1278" s="13" t="n">
        <x:v>0</x:v>
      </x:c>
      <x:c r="D1278" s="16" t="n">
        <x:v>0</x:v>
      </x:c>
      <x:c r="E1278" s="16" t="n">
        <x:v>0</x:v>
      </x:c>
      <x:c r="F1278" s="16" t="n">
        <x:v>0</x:v>
      </x:c>
      <x:c r="G1278" s="16" t="n">
        <x:v>0</x:v>
      </x:c>
      <x:c r="H1278" s="16" t="n">
        <x:v>0</x:v>
      </x:c>
      <x:c r="I1278" s="16" t="n">
        <x:v>1108163.438662083</x:v>
      </x:c>
      <x:c r="J1278" s="16" t="n">
        <x:v>1109967.474838216</x:v>
      </x:c>
      <x:c r="K1278" s="16" t="n">
        <x:v>-1804.0361761332024</x:v>
      </x:c>
      <x:c r="L1278" s="18" t="n">
        <x:v>-0.0016253054409509</x:v>
      </x:c>
      <x:c r="M1278" s="18" t="n">
        <x:v>0</x:v>
      </x:c>
      <x:c r="O1278" t="str">
        <x:v>2026-04-02</x:v>
      </x:c>
      <x:c r="P1278" t="n">
        <x:v>1108163.438662083</x:v>
      </x:c>
    </x:row>
    <x:row r="1279" ht="15" hidden="0" customHeight="1">
      <x:c r="A1279" s="13" t="str">
        <x:v>2026-04-03</x:v>
      </x:c>
      <x:c r="B1279" s="13" t="n">
        <x:v>0</x:v>
      </x:c>
      <x:c r="C1279" s="13" t="n">
        <x:v>0</x:v>
      </x:c>
      <x:c r="D1279" s="16" t="n">
        <x:v>0</x:v>
      </x:c>
      <x:c r="E1279" s="16" t="n">
        <x:v>0</x:v>
      </x:c>
      <x:c r="F1279" s="16" t="n">
        <x:v>0</x:v>
      </x:c>
      <x:c r="G1279" s="16" t="n">
        <x:v>0</x:v>
      </x:c>
      <x:c r="H1279" s="16" t="n">
        <x:v>0</x:v>
      </x:c>
      <x:c r="I1279" s="16" t="n">
        <x:v>1108163.438662083</x:v>
      </x:c>
      <x:c r="J1279" s="16" t="n">
        <x:v>1109967.474838216</x:v>
      </x:c>
      <x:c r="K1279" s="16" t="n">
        <x:v>-1804.0361761332024</x:v>
      </x:c>
      <x:c r="L1279" s="18" t="n">
        <x:v>-0.0016253054409509</x:v>
      </x:c>
      <x:c r="M1279" s="18" t="n">
        <x:v>0</x:v>
      </x:c>
      <x:c r="O1279" t="str">
        <x:v>2026-04-03</x:v>
      </x:c>
      <x:c r="P1279" t="n">
        <x:v>1108163.438662083</x:v>
      </x:c>
    </x:row>
    <x:row r="1280" ht="15" hidden="0" customHeight="1">
      <x:c r="A1280" s="13" t="str">
        <x:v>2026-04-06</x:v>
      </x:c>
      <x:c r="B1280" s="13" t="n">
        <x:v>0</x:v>
      </x:c>
      <x:c r="C1280" s="13" t="n">
        <x:v>0</x:v>
      </x:c>
      <x:c r="D1280" s="16" t="n">
        <x:v>0</x:v>
      </x:c>
      <x:c r="E1280" s="16" t="n">
        <x:v>0</x:v>
      </x:c>
      <x:c r="F1280" s="16" t="n">
        <x:v>0</x:v>
      </x:c>
      <x:c r="G1280" s="16" t="n">
        <x:v>0</x:v>
      </x:c>
      <x:c r="H1280" s="16" t="n">
        <x:v>0</x:v>
      </x:c>
      <x:c r="I1280" s="16" t="n">
        <x:v>1108163.438662083</x:v>
      </x:c>
      <x:c r="J1280" s="16" t="n">
        <x:v>1109967.474838216</x:v>
      </x:c>
      <x:c r="K1280" s="16" t="n">
        <x:v>-1804.0361761332024</x:v>
      </x:c>
      <x:c r="L1280" s="18" t="n">
        <x:v>-0.0016253054409509</x:v>
      </x:c>
      <x:c r="M1280" s="18" t="n">
        <x:v>0</x:v>
      </x:c>
      <x:c r="O1280" t="str">
        <x:v>2026-04-06</x:v>
      </x:c>
      <x:c r="P1280" t="n">
        <x:v>1108163.438662083</x:v>
      </x:c>
    </x:row>
    <x:row r="1281" ht="15" hidden="0" customHeight="1">
      <x:c r="A1281" s="13" t="str">
        <x:v>2026-04-07</x:v>
      </x:c>
      <x:c r="B1281" s="13" t="n">
        <x:v>0</x:v>
      </x:c>
      <x:c r="C1281" s="13" t="n">
        <x:v>0</x:v>
      </x:c>
      <x:c r="D1281" s="16" t="n">
        <x:v>0</x:v>
      </x:c>
      <x:c r="E1281" s="16" t="n">
        <x:v>0</x:v>
      </x:c>
      <x:c r="F1281" s="16" t="n">
        <x:v>0</x:v>
      </x:c>
      <x:c r="G1281" s="16" t="n">
        <x:v>0</x:v>
      </x:c>
      <x:c r="H1281" s="16" t="n">
        <x:v>0</x:v>
      </x:c>
      <x:c r="I1281" s="16" t="n">
        <x:v>1108163.438662083</x:v>
      </x:c>
      <x:c r="J1281" s="16" t="n">
        <x:v>1109967.474838216</x:v>
      </x:c>
      <x:c r="K1281" s="16" t="n">
        <x:v>-1804.0361761332024</x:v>
      </x:c>
      <x:c r="L1281" s="18" t="n">
        <x:v>-0.0016253054409509</x:v>
      </x:c>
      <x:c r="M1281" s="18" t="n">
        <x:v>0</x:v>
      </x:c>
      <x:c r="O1281" t="str">
        <x:v>2026-04-07</x:v>
      </x:c>
      <x:c r="P1281" t="n">
        <x:v>1108163.438662083</x:v>
      </x:c>
    </x:row>
    <x:row r="1282" ht="15" hidden="0" customHeight="1">
      <x:c r="A1282" s="13" t="str">
        <x:v>2026-04-08</x:v>
      </x:c>
      <x:c r="B1282" s="13" t="n">
        <x:v>0</x:v>
      </x:c>
      <x:c r="C1282" s="13" t="n">
        <x:v>0</x:v>
      </x:c>
      <x:c r="D1282" s="16" t="n">
        <x:v>0</x:v>
      </x:c>
      <x:c r="E1282" s="16" t="n">
        <x:v>0</x:v>
      </x:c>
      <x:c r="F1282" s="16" t="n">
        <x:v>0</x:v>
      </x:c>
      <x:c r="G1282" s="16" t="n">
        <x:v>0</x:v>
      </x:c>
      <x:c r="H1282" s="16" t="n">
        <x:v>0</x:v>
      </x:c>
      <x:c r="I1282" s="16" t="n">
        <x:v>1108163.438662083</x:v>
      </x:c>
      <x:c r="J1282" s="16" t="n">
        <x:v>1109967.474838216</x:v>
      </x:c>
      <x:c r="K1282" s="16" t="n">
        <x:v>-1804.0361761332024</x:v>
      </x:c>
      <x:c r="L1282" s="18" t="n">
        <x:v>-0.0016253054409509</x:v>
      </x:c>
      <x:c r="M1282" s="18" t="n">
        <x:v>0</x:v>
      </x:c>
      <x:c r="O1282" t="str">
        <x:v>2026-04-08</x:v>
      </x:c>
      <x:c r="P1282" t="n">
        <x:v>1108163.438662083</x:v>
      </x:c>
    </x:row>
    <x:row r="1283" ht="15" hidden="0" customHeight="1">
      <x:c r="A1283" s="13" t="str">
        <x:v>2026-04-09</x:v>
      </x:c>
      <x:c r="B1283" s="13" t="n">
        <x:v>0</x:v>
      </x:c>
      <x:c r="C1283" s="13" t="n">
        <x:v>0</x:v>
      </x:c>
      <x:c r="D1283" s="16" t="n">
        <x:v>0</x:v>
      </x:c>
      <x:c r="E1283" s="16" t="n">
        <x:v>0</x:v>
      </x:c>
      <x:c r="F1283" s="16" t="n">
        <x:v>0</x:v>
      </x:c>
      <x:c r="G1283" s="16" t="n">
        <x:v>0</x:v>
      </x:c>
      <x:c r="H1283" s="16" t="n">
        <x:v>0</x:v>
      </x:c>
      <x:c r="I1283" s="16" t="n">
        <x:v>1108163.438662083</x:v>
      </x:c>
      <x:c r="J1283" s="16" t="n">
        <x:v>1109967.474838216</x:v>
      </x:c>
      <x:c r="K1283" s="16" t="n">
        <x:v>-1804.0361761332024</x:v>
      </x:c>
      <x:c r="L1283" s="18" t="n">
        <x:v>-0.0016253054409509</x:v>
      </x:c>
      <x:c r="M1283" s="18" t="n">
        <x:v>0</x:v>
      </x:c>
      <x:c r="O1283" t="str">
        <x:v>2026-04-09</x:v>
      </x:c>
      <x:c r="P1283" t="n">
        <x:v>1108163.438662083</x:v>
      </x:c>
    </x:row>
    <x:row r="1284" ht="15" hidden="0" customHeight="1">
      <x:c r="A1284" s="13" t="str">
        <x:v>2026-04-10</x:v>
      </x:c>
      <x:c r="B1284" s="13" t="n">
        <x:v>0</x:v>
      </x:c>
      <x:c r="C1284" s="13" t="n">
        <x:v>0</x:v>
      </x:c>
      <x:c r="D1284" s="16" t="n">
        <x:v>0</x:v>
      </x:c>
      <x:c r="E1284" s="16" t="n">
        <x:v>0</x:v>
      </x:c>
      <x:c r="F1284" s="16" t="n">
        <x:v>0</x:v>
      </x:c>
      <x:c r="G1284" s="16" t="n">
        <x:v>0</x:v>
      </x:c>
      <x:c r="H1284" s="16" t="n">
        <x:v>0</x:v>
      </x:c>
      <x:c r="I1284" s="16" t="n">
        <x:v>1108163.438662083</x:v>
      </x:c>
      <x:c r="J1284" s="16" t="n">
        <x:v>1109967.474838216</x:v>
      </x:c>
      <x:c r="K1284" s="16" t="n">
        <x:v>-1804.0361761332024</x:v>
      </x:c>
      <x:c r="L1284" s="18" t="n">
        <x:v>-0.0016253054409509</x:v>
      </x:c>
      <x:c r="M1284" s="18" t="n">
        <x:v>0</x:v>
      </x:c>
      <x:c r="O1284" t="str">
        <x:v>2026-04-10</x:v>
      </x:c>
      <x:c r="P1284" t="n">
        <x:v>1108163.438662083</x:v>
      </x:c>
    </x:row>
    <x:row r="1285" ht="15" hidden="0" customHeight="1">
      <x:c r="A1285" s="13" t="str">
        <x:v>2026-04-13</x:v>
      </x:c>
      <x:c r="B1285" s="13" t="n">
        <x:v>0</x:v>
      </x:c>
      <x:c r="C1285" s="13" t="n">
        <x:v>0</x:v>
      </x:c>
      <x:c r="D1285" s="16" t="n">
        <x:v>0</x:v>
      </x:c>
      <x:c r="E1285" s="16" t="n">
        <x:v>0</x:v>
      </x:c>
      <x:c r="F1285" s="16" t="n">
        <x:v>0</x:v>
      </x:c>
      <x:c r="G1285" s="16" t="n">
        <x:v>0</x:v>
      </x:c>
      <x:c r="H1285" s="16" t="n">
        <x:v>0</x:v>
      </x:c>
      <x:c r="I1285" s="16" t="n">
        <x:v>1108163.438662083</x:v>
      </x:c>
      <x:c r="J1285" s="16" t="n">
        <x:v>1109967.474838216</x:v>
      </x:c>
      <x:c r="K1285" s="16" t="n">
        <x:v>-1804.0361761332024</x:v>
      </x:c>
      <x:c r="L1285" s="18" t="n">
        <x:v>-0.0016253054409509</x:v>
      </x:c>
      <x:c r="M1285" s="18" t="n">
        <x:v>0</x:v>
      </x:c>
      <x:c r="O1285" t="str">
        <x:v>2026-04-13</x:v>
      </x:c>
      <x:c r="P1285" t="n">
        <x:v>1108163.438662083</x:v>
      </x:c>
    </x:row>
    <x:row r="1286" ht="15" hidden="0" customHeight="1">
      <x:c r="A1286" s="13" t="str">
        <x:v>2026-04-14</x:v>
      </x:c>
      <x:c r="B1286" s="13" t="n">
        <x:v>0</x:v>
      </x:c>
      <x:c r="C1286" s="13" t="n">
        <x:v>0</x:v>
      </x:c>
      <x:c r="D1286" s="16" t="n">
        <x:v>0</x:v>
      </x:c>
      <x:c r="E1286" s="16" t="n">
        <x:v>0</x:v>
      </x:c>
      <x:c r="F1286" s="16" t="n">
        <x:v>0</x:v>
      </x:c>
      <x:c r="G1286" s="16" t="n">
        <x:v>0</x:v>
      </x:c>
      <x:c r="H1286" s="16" t="n">
        <x:v>0</x:v>
      </x:c>
      <x:c r="I1286" s="16" t="n">
        <x:v>1108163.438662083</x:v>
      </x:c>
      <x:c r="J1286" s="16" t="n">
        <x:v>1109967.474838216</x:v>
      </x:c>
      <x:c r="K1286" s="16" t="n">
        <x:v>-1804.0361761332024</x:v>
      </x:c>
      <x:c r="L1286" s="18" t="n">
        <x:v>-0.0016253054409509</x:v>
      </x:c>
      <x:c r="M1286" s="18" t="n">
        <x:v>0</x:v>
      </x:c>
      <x:c r="O1286" t="str">
        <x:v>2026-04-14</x:v>
      </x:c>
      <x:c r="P1286" t="n">
        <x:v>1108163.438662083</x:v>
      </x:c>
    </x:row>
    <x:row r="1287" ht="15" hidden="0" customHeight="1">
      <x:c r="A1287" s="13" t="str">
        <x:v>2026-04-15</x:v>
      </x:c>
      <x:c r="B1287" s="13" t="n">
        <x:v>0</x:v>
      </x:c>
      <x:c r="C1287" s="13" t="n">
        <x:v>0</x:v>
      </x:c>
      <x:c r="D1287" s="16" t="n">
        <x:v>0</x:v>
      </x:c>
      <x:c r="E1287" s="16" t="n">
        <x:v>0</x:v>
      </x:c>
      <x:c r="F1287" s="16" t="n">
        <x:v>0</x:v>
      </x:c>
      <x:c r="G1287" s="16" t="n">
        <x:v>0</x:v>
      </x:c>
      <x:c r="H1287" s="16" t="n">
        <x:v>0</x:v>
      </x:c>
      <x:c r="I1287" s="16" t="n">
        <x:v>1108163.438662083</x:v>
      </x:c>
      <x:c r="J1287" s="16" t="n">
        <x:v>1109967.474838216</x:v>
      </x:c>
      <x:c r="K1287" s="16" t="n">
        <x:v>-1804.0361761332024</x:v>
      </x:c>
      <x:c r="L1287" s="18" t="n">
        <x:v>-0.0016253054409509</x:v>
      </x:c>
      <x:c r="M1287" s="18" t="n">
        <x:v>0</x:v>
      </x:c>
      <x:c r="O1287" t="str">
        <x:v>2026-04-15</x:v>
      </x:c>
      <x:c r="P1287" t="n">
        <x:v>1108163.438662083</x:v>
      </x:c>
    </x:row>
    <x:row r="1288" ht="15" hidden="0" customHeight="1">
      <x:c r="A1288" s="13" t="str">
        <x:v>2026-04-16</x:v>
      </x:c>
      <x:c r="B1288" s="13" t="n">
        <x:v>0</x:v>
      </x:c>
      <x:c r="C1288" s="13" t="n">
        <x:v>0</x:v>
      </x:c>
      <x:c r="D1288" s="16" t="n">
        <x:v>0</x:v>
      </x:c>
      <x:c r="E1288" s="16" t="n">
        <x:v>0</x:v>
      </x:c>
      <x:c r="F1288" s="16" t="n">
        <x:v>0</x:v>
      </x:c>
      <x:c r="G1288" s="16" t="n">
        <x:v>0</x:v>
      </x:c>
      <x:c r="H1288" s="16" t="n">
        <x:v>0</x:v>
      </x:c>
      <x:c r="I1288" s="16" t="n">
        <x:v>1108163.438662083</x:v>
      </x:c>
      <x:c r="J1288" s="16" t="n">
        <x:v>1109967.474838216</x:v>
      </x:c>
      <x:c r="K1288" s="16" t="n">
        <x:v>-1804.0361761332024</x:v>
      </x:c>
      <x:c r="L1288" s="18" t="n">
        <x:v>-0.0016253054409509</x:v>
      </x:c>
      <x:c r="M1288" s="18" t="n">
        <x:v>0</x:v>
      </x:c>
      <x:c r="O1288" t="str">
        <x:v>2026-04-16</x:v>
      </x:c>
      <x:c r="P1288" t="n">
        <x:v>1108163.438662083</x:v>
      </x:c>
    </x:row>
    <x:row r="1289" ht="15" hidden="0" customHeight="1">
      <x:c r="A1289" s="13" t="str">
        <x:v>2026-04-17</x:v>
      </x:c>
      <x:c r="B1289" s="13" t="n">
        <x:v>0</x:v>
      </x:c>
      <x:c r="C1289" s="13" t="n">
        <x:v>0</x:v>
      </x:c>
      <x:c r="D1289" s="16" t="n">
        <x:v>0</x:v>
      </x:c>
      <x:c r="E1289" s="16" t="n">
        <x:v>0</x:v>
      </x:c>
      <x:c r="F1289" s="16" t="n">
        <x:v>0</x:v>
      </x:c>
      <x:c r="G1289" s="16" t="n">
        <x:v>0</x:v>
      </x:c>
      <x:c r="H1289" s="16" t="n">
        <x:v>0</x:v>
      </x:c>
      <x:c r="I1289" s="16" t="n">
        <x:v>1108163.438662083</x:v>
      </x:c>
      <x:c r="J1289" s="16" t="n">
        <x:v>1109967.474838216</x:v>
      </x:c>
      <x:c r="K1289" s="16" t="n">
        <x:v>-1804.0361761332024</x:v>
      </x:c>
      <x:c r="L1289" s="18" t="n">
        <x:v>-0.0016253054409509</x:v>
      </x:c>
      <x:c r="M1289" s="18" t="n">
        <x:v>0</x:v>
      </x:c>
      <x:c r="O1289" t="str">
        <x:v>2026-04-17</x:v>
      </x:c>
      <x:c r="P1289" t="n">
        <x:v>1108163.438662083</x:v>
      </x:c>
    </x:row>
    <x:row r="1290" ht="15" hidden="0" customHeight="1">
      <x:c r="A1290" s="13" t="str">
        <x:v>2026-04-20</x:v>
      </x:c>
      <x:c r="B1290" s="13" t="n">
        <x:v>0</x:v>
      </x:c>
      <x:c r="C1290" s="13" t="n">
        <x:v>0</x:v>
      </x:c>
      <x:c r="D1290" s="16" t="n">
        <x:v>0</x:v>
      </x:c>
      <x:c r="E1290" s="16" t="n">
        <x:v>0</x:v>
      </x:c>
      <x:c r="F1290" s="16" t="n">
        <x:v>0</x:v>
      </x:c>
      <x:c r="G1290" s="16" t="n">
        <x:v>0</x:v>
      </x:c>
      <x:c r="H1290" s="16" t="n">
        <x:v>0</x:v>
      </x:c>
      <x:c r="I1290" s="16" t="n">
        <x:v>1108163.438662083</x:v>
      </x:c>
      <x:c r="J1290" s="16" t="n">
        <x:v>1109967.474838216</x:v>
      </x:c>
      <x:c r="K1290" s="16" t="n">
        <x:v>-1804.0361761332024</x:v>
      </x:c>
      <x:c r="L1290" s="18" t="n">
        <x:v>-0.0016253054409509</x:v>
      </x:c>
      <x:c r="M1290" s="18" t="n">
        <x:v>0</x:v>
      </x:c>
      <x:c r="O1290" t="str">
        <x:v>2026-04-20</x:v>
      </x:c>
      <x:c r="P1290" t="n">
        <x:v>1108163.438662083</x:v>
      </x:c>
    </x:row>
    <x:row r="1291" ht="15" hidden="0" customHeight="1">
      <x:c r="A1291" s="13" t="str">
        <x:v>2026-04-21</x:v>
      </x:c>
      <x:c r="B1291" s="13" t="n">
        <x:v>0</x:v>
      </x:c>
      <x:c r="C1291" s="13" t="n">
        <x:v>0</x:v>
      </x:c>
      <x:c r="D1291" s="16" t="n">
        <x:v>0</x:v>
      </x:c>
      <x:c r="E1291" s="16" t="n">
        <x:v>0</x:v>
      </x:c>
      <x:c r="F1291" s="16" t="n">
        <x:v>0</x:v>
      </x:c>
      <x:c r="G1291" s="16" t="n">
        <x:v>0</x:v>
      </x:c>
      <x:c r="H1291" s="16" t="n">
        <x:v>0</x:v>
      </x:c>
      <x:c r="I1291" s="16" t="n">
        <x:v>1108163.438662083</x:v>
      </x:c>
      <x:c r="J1291" s="16" t="n">
        <x:v>1109967.474838216</x:v>
      </x:c>
      <x:c r="K1291" s="16" t="n">
        <x:v>-1804.0361761332024</x:v>
      </x:c>
      <x:c r="L1291" s="18" t="n">
        <x:v>-0.0016253054409509</x:v>
      </x:c>
      <x:c r="M1291" s="18" t="n">
        <x:v>0</x:v>
      </x:c>
      <x:c r="O1291" t="str">
        <x:v>2026-04-21</x:v>
      </x:c>
      <x:c r="P1291" t="n">
        <x:v>1108163.438662083</x:v>
      </x:c>
    </x:row>
    <x:row r="1292" ht="15" hidden="0" customHeight="1">
      <x:c r="A1292" s="13" t="str">
        <x:v>2026-04-22</x:v>
      </x:c>
      <x:c r="B1292" s="13" t="n">
        <x:v>0</x:v>
      </x:c>
      <x:c r="C1292" s="13" t="n">
        <x:v>0</x:v>
      </x:c>
      <x:c r="D1292" s="16" t="n">
        <x:v>0</x:v>
      </x:c>
      <x:c r="E1292" s="16" t="n">
        <x:v>0</x:v>
      </x:c>
      <x:c r="F1292" s="16" t="n">
        <x:v>0</x:v>
      </x:c>
      <x:c r="G1292" s="16" t="n">
        <x:v>0</x:v>
      </x:c>
      <x:c r="H1292" s="16" t="n">
        <x:v>0</x:v>
      </x:c>
      <x:c r="I1292" s="16" t="n">
        <x:v>1108163.438662083</x:v>
      </x:c>
      <x:c r="J1292" s="16" t="n">
        <x:v>1109967.474838216</x:v>
      </x:c>
      <x:c r="K1292" s="16" t="n">
        <x:v>-1804.0361761332024</x:v>
      </x:c>
      <x:c r="L1292" s="18" t="n">
        <x:v>-0.0016253054409509</x:v>
      </x:c>
      <x:c r="M1292" s="18" t="n">
        <x:v>0</x:v>
      </x:c>
      <x:c r="O1292" t="str">
        <x:v>2026-04-22</x:v>
      </x:c>
      <x:c r="P1292" t="n">
        <x:v>1108163.438662083</x:v>
      </x:c>
    </x:row>
    <x:row r="1293" ht="15" hidden="0" customHeight="1">
      <x:c r="A1293" s="13" t="str">
        <x:v>2026-04-23</x:v>
      </x:c>
      <x:c r="B1293" s="13" t="n">
        <x:v>0</x:v>
      </x:c>
      <x:c r="C1293" s="13" t="n">
        <x:v>0</x:v>
      </x:c>
      <x:c r="D1293" s="16" t="n">
        <x:v>0</x:v>
      </x:c>
      <x:c r="E1293" s="16" t="n">
        <x:v>0</x:v>
      </x:c>
      <x:c r="F1293" s="16" t="n">
        <x:v>0</x:v>
      </x:c>
      <x:c r="G1293" s="16" t="n">
        <x:v>0</x:v>
      </x:c>
      <x:c r="H1293" s="16" t="n">
        <x:v>0</x:v>
      </x:c>
      <x:c r="I1293" s="16" t="n">
        <x:v>1108163.438662083</x:v>
      </x:c>
      <x:c r="J1293" s="16" t="n">
        <x:v>1109967.474838216</x:v>
      </x:c>
      <x:c r="K1293" s="16" t="n">
        <x:v>-1804.0361761332024</x:v>
      </x:c>
      <x:c r="L1293" s="18" t="n">
        <x:v>-0.0016253054409509</x:v>
      </x:c>
      <x:c r="M1293" s="18" t="n">
        <x:v>0</x:v>
      </x:c>
      <x:c r="O1293" t="str">
        <x:v>2026-04-23</x:v>
      </x:c>
      <x:c r="P1293" t="n">
        <x:v>1108163.438662083</x:v>
      </x:c>
    </x:row>
    <x:row r="1294" ht="15" hidden="0" customHeight="1">
      <x:c r="A1294" s="13" t="str">
        <x:v>2026-04-24</x:v>
      </x:c>
      <x:c r="B1294" s="13" t="n">
        <x:v>0</x:v>
      </x:c>
      <x:c r="C1294" s="13" t="n">
        <x:v>0</x:v>
      </x:c>
      <x:c r="D1294" s="16" t="n">
        <x:v>0</x:v>
      </x:c>
      <x:c r="E1294" s="16" t="n">
        <x:v>0</x:v>
      </x:c>
      <x:c r="F1294" s="16" t="n">
        <x:v>0</x:v>
      </x:c>
      <x:c r="G1294" s="16" t="n">
        <x:v>0</x:v>
      </x:c>
      <x:c r="H1294" s="16" t="n">
        <x:v>0</x:v>
      </x:c>
      <x:c r="I1294" s="16" t="n">
        <x:v>1108163.438662083</x:v>
      </x:c>
      <x:c r="J1294" s="16" t="n">
        <x:v>1109967.474838216</x:v>
      </x:c>
      <x:c r="K1294" s="16" t="n">
        <x:v>-1804.0361761332024</x:v>
      </x:c>
      <x:c r="L1294" s="18" t="n">
        <x:v>-0.0016253054409509</x:v>
      </x:c>
      <x:c r="M1294" s="18" t="n">
        <x:v>0</x:v>
      </x:c>
      <x:c r="O1294" t="str">
        <x:v>2026-04-24</x:v>
      </x:c>
      <x:c r="P1294" t="n">
        <x:v>1108163.438662083</x:v>
      </x:c>
    </x:row>
    <x:row r="1295" ht="15" hidden="0" customHeight="1">
      <x:c r="A1295" s="13" t="str">
        <x:v>2026-04-27</x:v>
      </x:c>
      <x:c r="B1295" s="13" t="n">
        <x:v>1</x:v>
      </x:c>
      <x:c r="C1295" s="13" t="n">
        <x:v>5</x:v>
      </x:c>
      <x:c r="D1295" s="16" t="n">
        <x:v>731.2500000000023</x:v>
      </x:c>
      <x:c r="E1295" s="16" t="n">
        <x:v>855.5846370268056</x:v>
      </x:c>
      <x:c r="F1295" s="16" t="n">
        <x:v>-124.3346370268033</x:v>
      </x:c>
      <x:c r="G1295" s="16" t="n">
        <x:v>175936.26334033706</x:v>
      </x:c>
      <x:c r="H1295" s="16" t="n">
        <x:v>387559.0222625964</x:v>
      </x:c>
      <x:c r="I1295" s="16" t="n">
        <x:v>1108039.104025056</x:v>
      </x:c>
      <x:c r="J1295" s="16" t="n">
        <x:v>1109967.474838216</x:v>
      </x:c>
      <x:c r="K1295" s="16" t="n">
        <x:v>-1928.3708131599703</x:v>
      </x:c>
      <x:c r="L1295" s="18" t="n">
        <x:v>-0.0017373219097622</x:v>
      </x:c>
      <x:c r="M1295" s="18" t="n">
        <x:v>-0.0001121988261739</x:v>
      </x:c>
      <x:c r="O1295" t="str">
        <x:v>2026-04-27</x:v>
      </x:c>
      <x:c r="P1295" t="n">
        <x:v>1108039.104025056</x:v>
      </x:c>
    </x:row>
    <x:row r="1296" ht="15" hidden="0" customHeight="1">
      <x:c r="A1296" s="13" t="str">
        <x:v>2026-04-28</x:v>
      </x:c>
      <x:c r="B1296" s="13" t="n">
        <x:v>0</x:v>
      </x:c>
      <x:c r="C1296" s="13" t="n">
        <x:v>0</x:v>
      </x:c>
      <x:c r="D1296" s="16" t="n">
        <x:v>0</x:v>
      </x:c>
      <x:c r="E1296" s="16" t="n">
        <x:v>0</x:v>
      </x:c>
      <x:c r="F1296" s="16" t="n">
        <x:v>0</x:v>
      </x:c>
      <x:c r="G1296" s="16" t="n">
        <x:v>0</x:v>
      </x:c>
      <x:c r="H1296" s="16" t="n">
        <x:v>0</x:v>
      </x:c>
      <x:c r="I1296" s="16" t="n">
        <x:v>1108039.104025056</x:v>
      </x:c>
      <x:c r="J1296" s="16" t="n">
        <x:v>1109967.474838216</x:v>
      </x:c>
      <x:c r="K1296" s="16" t="n">
        <x:v>-1928.3708131599703</x:v>
      </x:c>
      <x:c r="L1296" s="18" t="n">
        <x:v>-0.0017373219097622</x:v>
      </x:c>
      <x:c r="M1296" s="18" t="n">
        <x:v>0</x:v>
      </x:c>
      <x:c r="O1296" t="str">
        <x:v>2026-04-28</x:v>
      </x:c>
      <x:c r="P1296" t="n">
        <x:v>1108039.104025056</x:v>
      </x:c>
    </x:row>
    <x:row r="1297" ht="15" hidden="0" customHeight="1">
      <x:c r="A1297" s="13" t="str">
        <x:v>2026-04-29</x:v>
      </x:c>
      <x:c r="B1297" s="13" t="n">
        <x:v>0</x:v>
      </x:c>
      <x:c r="C1297" s="13" t="n">
        <x:v>0</x:v>
      </x:c>
      <x:c r="D1297" s="16" t="n">
        <x:v>0</x:v>
      </x:c>
      <x:c r="E1297" s="16" t="n">
        <x:v>0</x:v>
      </x:c>
      <x:c r="F1297" s="16" t="n">
        <x:v>0</x:v>
      </x:c>
      <x:c r="G1297" s="16" t="n">
        <x:v>0</x:v>
      </x:c>
      <x:c r="H1297" s="16" t="n">
        <x:v>0</x:v>
      </x:c>
      <x:c r="I1297" s="16" t="n">
        <x:v>1108039.104025056</x:v>
      </x:c>
      <x:c r="J1297" s="16" t="n">
        <x:v>1109967.474838216</x:v>
      </x:c>
      <x:c r="K1297" s="16" t="n">
        <x:v>-1928.3708131599703</x:v>
      </x:c>
      <x:c r="L1297" s="18" t="n">
        <x:v>-0.0017373219097622</x:v>
      </x:c>
      <x:c r="M1297" s="18" t="n">
        <x:v>0</x:v>
      </x:c>
      <x:c r="O1297" t="str">
        <x:v>2026-04-29</x:v>
      </x:c>
      <x:c r="P1297" t="n">
        <x:v>1108039.104025056</x:v>
      </x:c>
    </x:row>
    <x:row r="1298" ht="15" hidden="0" customHeight="1">
      <x:c r="A1298" s="13" t="str">
        <x:v>2026-04-30</x:v>
      </x:c>
      <x:c r="B1298" s="13" t="n">
        <x:v>0</x:v>
      </x:c>
      <x:c r="C1298" s="13" t="n">
        <x:v>0</x:v>
      </x:c>
      <x:c r="D1298" s="16" t="n">
        <x:v>0</x:v>
      </x:c>
      <x:c r="E1298" s="16" t="n">
        <x:v>0</x:v>
      </x:c>
      <x:c r="F1298" s="16" t="n">
        <x:v>0</x:v>
      </x:c>
      <x:c r="G1298" s="16" t="n">
        <x:v>0</x:v>
      </x:c>
      <x:c r="H1298" s="16" t="n">
        <x:v>0</x:v>
      </x:c>
      <x:c r="I1298" s="16" t="n">
        <x:v>1108039.104025056</x:v>
      </x:c>
      <x:c r="J1298" s="16" t="n">
        <x:v>1109967.474838216</x:v>
      </x:c>
      <x:c r="K1298" s="16" t="n">
        <x:v>-1928.3708131599703</x:v>
      </x:c>
      <x:c r="L1298" s="18" t="n">
        <x:v>-0.0017373219097622</x:v>
      </x:c>
      <x:c r="M1298" s="18" t="n">
        <x:v>0</x:v>
      </x:c>
      <x:c r="O1298" t="str">
        <x:v>2026-04-30</x:v>
      </x:c>
      <x:c r="P1298" t="n">
        <x:v>1108039.104025056</x:v>
      </x:c>
    </x:row>
    <x:row r="1299" ht="15" hidden="0" customHeight="1">
      <x:c r="A1299" s="13" t="str">
        <x:v>2026-05-01</x:v>
      </x:c>
      <x:c r="B1299" s="13" t="n">
        <x:v>0</x:v>
      </x:c>
      <x:c r="C1299" s="13" t="n">
        <x:v>0</x:v>
      </x:c>
      <x:c r="D1299" s="16" t="n">
        <x:v>0</x:v>
      </x:c>
      <x:c r="E1299" s="16" t="n">
        <x:v>0</x:v>
      </x:c>
      <x:c r="F1299" s="16" t="n">
        <x:v>0</x:v>
      </x:c>
      <x:c r="G1299" s="16" t="n">
        <x:v>0</x:v>
      </x:c>
      <x:c r="H1299" s="16" t="n">
        <x:v>0</x:v>
      </x:c>
      <x:c r="I1299" s="16" t="n">
        <x:v>1108039.104025056</x:v>
      </x:c>
      <x:c r="J1299" s="16" t="n">
        <x:v>1109967.474838216</x:v>
      </x:c>
      <x:c r="K1299" s="16" t="n">
        <x:v>-1928.3708131599703</x:v>
      </x:c>
      <x:c r="L1299" s="18" t="n">
        <x:v>-0.0017373219097622</x:v>
      </x:c>
      <x:c r="M1299" s="18" t="n">
        <x:v>0</x:v>
      </x:c>
      <x:c r="O1299" t="str">
        <x:v>2026-05-01</x:v>
      </x:c>
      <x:c r="P1299" t="n">
        <x:v>1108039.104025056</x:v>
      </x:c>
    </x:row>
    <x:row r="1300" ht="15" hidden="0" customHeight="1">
      <x:c r="A1300" s="13" t="str">
        <x:v>2026-05-04</x:v>
      </x:c>
      <x:c r="B1300" s="13" t="n">
        <x:v>0</x:v>
      </x:c>
      <x:c r="C1300" s="13" t="n">
        <x:v>0</x:v>
      </x:c>
      <x:c r="D1300" s="16" t="n">
        <x:v>0</x:v>
      </x:c>
      <x:c r="E1300" s="16" t="n">
        <x:v>0</x:v>
      </x:c>
      <x:c r="F1300" s="16" t="n">
        <x:v>0</x:v>
      </x:c>
      <x:c r="G1300" s="16" t="n">
        <x:v>0</x:v>
      </x:c>
      <x:c r="H1300" s="16" t="n">
        <x:v>0</x:v>
      </x:c>
      <x:c r="I1300" s="16" t="n">
        <x:v>1108039.104025056</x:v>
      </x:c>
      <x:c r="J1300" s="16" t="n">
        <x:v>1109967.474838216</x:v>
      </x:c>
      <x:c r="K1300" s="16" t="n">
        <x:v>-1928.3708131599703</x:v>
      </x:c>
      <x:c r="L1300" s="18" t="n">
        <x:v>-0.0017373219097622</x:v>
      </x:c>
      <x:c r="M1300" s="18" t="n">
        <x:v>0</x:v>
      </x:c>
      <x:c r="O1300" t="str">
        <x:v>2026-05-04</x:v>
      </x:c>
      <x:c r="P1300" t="n">
        <x:v>1108039.104025056</x:v>
      </x:c>
    </x:row>
    <x:row r="1301" ht="15" hidden="0" customHeight="1">
      <x:c r="A1301" s="13" t="str">
        <x:v>2026-05-05</x:v>
      </x:c>
      <x:c r="B1301" s="13" t="n">
        <x:v>1</x:v>
      </x:c>
      <x:c r="C1301" s="13" t="n">
        <x:v>5</x:v>
      </x:c>
      <x:c r="D1301" s="16" t="n">
        <x:v>81.2500000000013</x:v>
      </x:c>
      <x:c r="E1301" s="16" t="n">
        <x:v>467.41572958002985</x:v>
      </x:c>
      <x:c r="F1301" s="16" t="n">
        <x:v>-386.1657295800285</x:v>
      </x:c>
      <x:c r="G1301" s="16" t="n">
        <x:v>55433.94895626945</x:v>
      </x:c>
      <x:c r="H1301" s="16" t="n">
        <x:v>363392.0510681375</x:v>
      </x:c>
      <x:c r="I1301" s="16" t="n">
        <x:v>1107652.938295476</x:v>
      </x:c>
      <x:c r="J1301" s="16" t="n">
        <x:v>1109967.474838216</x:v>
      </x:c>
      <x:c r="K1301" s="16" t="n">
        <x:v>-2314.536542739952</x:v>
      </x:c>
      <x:c r="L1301" s="18" t="n">
        <x:v>-0.0020852291577978</x:v>
      </x:c>
      <x:c r="M1301" s="18" t="n">
        <x:v>-0.0003485127268317</x:v>
      </x:c>
      <x:c r="O1301" t="str">
        <x:v>2026-05-05</x:v>
      </x:c>
      <x:c r="P1301" t="n">
        <x:v>1107652.938295476</x:v>
      </x:c>
    </x:row>
    <x:row r="1302" ht="15" hidden="0" customHeight="1">
      <x:c r="A1302" s="13" t="str">
        <x:v>2026-05-06</x:v>
      </x:c>
      <x:c r="B1302" s="13" t="n">
        <x:v>0</x:v>
      </x:c>
      <x:c r="C1302" s="13" t="n">
        <x:v>0</x:v>
      </x:c>
      <x:c r="D1302" s="16" t="n">
        <x:v>0</x:v>
      </x:c>
      <x:c r="E1302" s="16" t="n">
        <x:v>0</x:v>
      </x:c>
      <x:c r="F1302" s="16" t="n">
        <x:v>0</x:v>
      </x:c>
      <x:c r="G1302" s="16" t="n">
        <x:v>0</x:v>
      </x:c>
      <x:c r="H1302" s="16" t="n">
        <x:v>0</x:v>
      </x:c>
      <x:c r="I1302" s="16" t="n">
        <x:v>1107652.938295476</x:v>
      </x:c>
      <x:c r="J1302" s="16" t="n">
        <x:v>1109967.474838216</x:v>
      </x:c>
      <x:c r="K1302" s="16" t="n">
        <x:v>-2314.536542739952</x:v>
      </x:c>
      <x:c r="L1302" s="18" t="n">
        <x:v>-0.0020852291577978</x:v>
      </x:c>
      <x:c r="M1302" s="18" t="n">
        <x:v>0</x:v>
      </x:c>
      <x:c r="O1302" t="str">
        <x:v>2026-05-06</x:v>
      </x:c>
      <x:c r="P1302" t="n">
        <x:v>1107652.938295476</x:v>
      </x:c>
    </x:row>
    <x:row r="1303" ht="15" hidden="0" customHeight="1">
      <x:c r="A1303" s="13" t="str">
        <x:v>2026-05-07</x:v>
      </x:c>
      <x:c r="B1303" s="13" t="n">
        <x:v>0</x:v>
      </x:c>
      <x:c r="C1303" s="13" t="n">
        <x:v>0</x:v>
      </x:c>
      <x:c r="D1303" s="16" t="n">
        <x:v>0</x:v>
      </x:c>
      <x:c r="E1303" s="16" t="n">
        <x:v>0</x:v>
      </x:c>
      <x:c r="F1303" s="16" t="n">
        <x:v>0</x:v>
      </x:c>
      <x:c r="G1303" s="16" t="n">
        <x:v>0</x:v>
      </x:c>
      <x:c r="H1303" s="16" t="n">
        <x:v>0</x:v>
      </x:c>
      <x:c r="I1303" s="16" t="n">
        <x:v>1107652.938295476</x:v>
      </x:c>
      <x:c r="J1303" s="16" t="n">
        <x:v>1109967.474838216</x:v>
      </x:c>
      <x:c r="K1303" s="16" t="n">
        <x:v>-2314.536542739952</x:v>
      </x:c>
      <x:c r="L1303" s="18" t="n">
        <x:v>-0.0020852291577978</x:v>
      </x:c>
      <x:c r="M1303" s="18" t="n">
        <x:v>0</x:v>
      </x:c>
      <x:c r="O1303" t="str">
        <x:v>2026-05-07</x:v>
      </x:c>
      <x:c r="P1303" t="n">
        <x:v>1107652.938295476</x:v>
      </x:c>
    </x:row>
    <x:row r="1304" ht="15" hidden="0" customHeight="1">
      <x:c r="A1304" s="13" t="str">
        <x:v>2026-05-08</x:v>
      </x:c>
      <x:c r="B1304" s="13" t="n">
        <x:v>0</x:v>
      </x:c>
      <x:c r="C1304" s="13" t="n">
        <x:v>0</x:v>
      </x:c>
      <x:c r="D1304" s="16" t="n">
        <x:v>0</x:v>
      </x:c>
      <x:c r="E1304" s="16" t="n">
        <x:v>0</x:v>
      </x:c>
      <x:c r="F1304" s="16" t="n">
        <x:v>0</x:v>
      </x:c>
      <x:c r="G1304" s="16" t="n">
        <x:v>0</x:v>
      </x:c>
      <x:c r="H1304" s="16" t="n">
        <x:v>0</x:v>
      </x:c>
      <x:c r="I1304" s="16" t="n">
        <x:v>1107652.938295476</x:v>
      </x:c>
      <x:c r="J1304" s="16" t="n">
        <x:v>1109967.474838216</x:v>
      </x:c>
      <x:c r="K1304" s="16" t="n">
        <x:v>-2314.536542739952</x:v>
      </x:c>
      <x:c r="L1304" s="18" t="n">
        <x:v>-0.0020852291577978</x:v>
      </x:c>
      <x:c r="M1304" s="18" t="n">
        <x:v>0</x:v>
      </x:c>
      <x:c r="O1304" t="str">
        <x:v>2026-05-08</x:v>
      </x:c>
      <x:c r="P1304" t="n">
        <x:v>1107652.938295476</x:v>
      </x:c>
    </x:row>
    <x:row r="1305" ht="15" hidden="0" customHeight="1">
      <x:c r="A1305" s="13" t="str">
        <x:v>2026-05-11</x:v>
      </x:c>
      <x:c r="B1305" s="13" t="n">
        <x:v>0</x:v>
      </x:c>
      <x:c r="C1305" s="13" t="n">
        <x:v>0</x:v>
      </x:c>
      <x:c r="D1305" s="16" t="n">
        <x:v>0</x:v>
      </x:c>
      <x:c r="E1305" s="16" t="n">
        <x:v>0</x:v>
      </x:c>
      <x:c r="F1305" s="16" t="n">
        <x:v>0</x:v>
      </x:c>
      <x:c r="G1305" s="16" t="n">
        <x:v>0</x:v>
      </x:c>
      <x:c r="H1305" s="16" t="n">
        <x:v>0</x:v>
      </x:c>
      <x:c r="I1305" s="16" t="n">
        <x:v>1107652.938295476</x:v>
      </x:c>
      <x:c r="J1305" s="16" t="n">
        <x:v>1109967.474838216</x:v>
      </x:c>
      <x:c r="K1305" s="16" t="n">
        <x:v>-2314.536542739952</x:v>
      </x:c>
      <x:c r="L1305" s="18" t="n">
        <x:v>-0.0020852291577978</x:v>
      </x:c>
      <x:c r="M1305" s="18" t="n">
        <x:v>0</x:v>
      </x:c>
      <x:c r="O1305" t="str">
        <x:v>2026-05-11</x:v>
      </x:c>
      <x:c r="P1305" t="n">
        <x:v>1107652.938295476</x:v>
      </x:c>
    </x:row>
    <x:row r="1306" ht="15" hidden="0" customHeight="1">
      <x:c r="A1306" s="13" t="str">
        <x:v>2026-05-12</x:v>
      </x:c>
      <x:c r="B1306" s="13" t="n">
        <x:v>0</x:v>
      </x:c>
      <x:c r="C1306" s="13" t="n">
        <x:v>0</x:v>
      </x:c>
      <x:c r="D1306" s="16" t="n">
        <x:v>0</x:v>
      </x:c>
      <x:c r="E1306" s="16" t="n">
        <x:v>0</x:v>
      </x:c>
      <x:c r="F1306" s="16" t="n">
        <x:v>0</x:v>
      </x:c>
      <x:c r="G1306" s="16" t="n">
        <x:v>0</x:v>
      </x:c>
      <x:c r="H1306" s="16" t="n">
        <x:v>0</x:v>
      </x:c>
      <x:c r="I1306" s="16" t="n">
        <x:v>1107652.938295476</x:v>
      </x:c>
      <x:c r="J1306" s="16" t="n">
        <x:v>1109967.474838216</x:v>
      </x:c>
      <x:c r="K1306" s="16" t="n">
        <x:v>-2314.536542739952</x:v>
      </x:c>
      <x:c r="L1306" s="18" t="n">
        <x:v>-0.0020852291577978</x:v>
      </x:c>
      <x:c r="M1306" s="18" t="n">
        <x:v>0</x:v>
      </x:c>
      <x:c r="O1306" t="str">
        <x:v>2026-05-12</x:v>
      </x:c>
      <x:c r="P1306" t="n">
        <x:v>1107652.938295476</x:v>
      </x:c>
    </x:row>
    <x:row r="1307" ht="15" hidden="0" customHeight="1">
      <x:c r="A1307" s="13" t="str">
        <x:v>2026-05-13</x:v>
      </x:c>
      <x:c r="B1307" s="13" t="n">
        <x:v>0</x:v>
      </x:c>
      <x:c r="C1307" s="13" t="n">
        <x:v>0</x:v>
      </x:c>
      <x:c r="D1307" s="16" t="n">
        <x:v>0</x:v>
      </x:c>
      <x:c r="E1307" s="16" t="n">
        <x:v>0</x:v>
      </x:c>
      <x:c r="F1307" s="16" t="n">
        <x:v>0</x:v>
      </x:c>
      <x:c r="G1307" s="16" t="n">
        <x:v>0</x:v>
      </x:c>
      <x:c r="H1307" s="16" t="n">
        <x:v>0</x:v>
      </x:c>
      <x:c r="I1307" s="16" t="n">
        <x:v>1107652.938295476</x:v>
      </x:c>
      <x:c r="J1307" s="16" t="n">
        <x:v>1109967.474838216</x:v>
      </x:c>
      <x:c r="K1307" s="16" t="n">
        <x:v>-2314.536542739952</x:v>
      </x:c>
      <x:c r="L1307" s="18" t="n">
        <x:v>-0.0020852291577978</x:v>
      </x:c>
      <x:c r="M1307" s="18" t="n">
        <x:v>0</x:v>
      </x:c>
      <x:c r="O1307" t="str">
        <x:v>2026-05-13</x:v>
      </x:c>
      <x:c r="P1307" t="n">
        <x:v>1107652.938295476</x:v>
      </x:c>
    </x:row>
    <x:row r="1308" ht="15" hidden="0" customHeight="1">
      <x:c r="A1308" s="13" t="str">
        <x:v>2026-05-14</x:v>
      </x:c>
      <x:c r="B1308" s="13" t="n">
        <x:v>0</x:v>
      </x:c>
      <x:c r="C1308" s="13" t="n">
        <x:v>0</x:v>
      </x:c>
      <x:c r="D1308" s="16" t="n">
        <x:v>0</x:v>
      </x:c>
      <x:c r="E1308" s="16" t="n">
        <x:v>0</x:v>
      </x:c>
      <x:c r="F1308" s="16" t="n">
        <x:v>0</x:v>
      </x:c>
      <x:c r="G1308" s="16" t="n">
        <x:v>0</x:v>
      </x:c>
      <x:c r="H1308" s="16" t="n">
        <x:v>0</x:v>
      </x:c>
      <x:c r="I1308" s="16" t="n">
        <x:v>1107652.938295476</x:v>
      </x:c>
      <x:c r="J1308" s="16" t="n">
        <x:v>1109967.474838216</x:v>
      </x:c>
      <x:c r="K1308" s="16" t="n">
        <x:v>-2314.536542739952</x:v>
      </x:c>
      <x:c r="L1308" s="18" t="n">
        <x:v>-0.0020852291577978</x:v>
      </x:c>
      <x:c r="M1308" s="18" t="n">
        <x:v>0</x:v>
      </x:c>
      <x:c r="O1308" t="str">
        <x:v>2026-05-14</x:v>
      </x:c>
      <x:c r="P1308" t="n">
        <x:v>1107652.938295476</x:v>
      </x:c>
    </x:row>
    <x:row r="1309" ht="15" hidden="0" customHeight="1">
      <x:c r="A1309" s="13" t="str">
        <x:v>2026-05-15</x:v>
      </x:c>
      <x:c r="B1309" s="13" t="n">
        <x:v>0</x:v>
      </x:c>
      <x:c r="C1309" s="13" t="n">
        <x:v>0</x:v>
      </x:c>
      <x:c r="D1309" s="16" t="n">
        <x:v>0</x:v>
      </x:c>
      <x:c r="E1309" s="16" t="n">
        <x:v>0</x:v>
      </x:c>
      <x:c r="F1309" s="16" t="n">
        <x:v>0</x:v>
      </x:c>
      <x:c r="G1309" s="16" t="n">
        <x:v>0</x:v>
      </x:c>
      <x:c r="H1309" s="16" t="n">
        <x:v>0</x:v>
      </x:c>
      <x:c r="I1309" s="16" t="n">
        <x:v>1107652.938295476</x:v>
      </x:c>
      <x:c r="J1309" s="16" t="n">
        <x:v>1109967.474838216</x:v>
      </x:c>
      <x:c r="K1309" s="16" t="n">
        <x:v>-2314.536542739952</x:v>
      </x:c>
      <x:c r="L1309" s="18" t="n">
        <x:v>-0.0020852291577978</x:v>
      </x:c>
      <x:c r="M1309" s="18" t="n">
        <x:v>0</x:v>
      </x:c>
      <x:c r="O1309" t="str">
        <x:v>2026-05-15</x:v>
      </x:c>
      <x:c r="P1309" t="n">
        <x:v>1107652.938295476</x:v>
      </x:c>
    </x:row>
    <x:row r="1310" ht="15" hidden="0" customHeight="1">
      <x:c r="A1310" s="13" t="str">
        <x:v>2026-05-18</x:v>
      </x:c>
      <x:c r="B1310" s="13" t="n">
        <x:v>0</x:v>
      </x:c>
      <x:c r="C1310" s="13" t="n">
        <x:v>0</x:v>
      </x:c>
      <x:c r="D1310" s="16" t="n">
        <x:v>0</x:v>
      </x:c>
      <x:c r="E1310" s="16" t="n">
        <x:v>0</x:v>
      </x:c>
      <x:c r="F1310" s="16" t="n">
        <x:v>0</x:v>
      </x:c>
      <x:c r="G1310" s="16" t="n">
        <x:v>0</x:v>
      </x:c>
      <x:c r="H1310" s="16" t="n">
        <x:v>0</x:v>
      </x:c>
      <x:c r="I1310" s="16" t="n">
        <x:v>1107652.938295476</x:v>
      </x:c>
      <x:c r="J1310" s="16" t="n">
        <x:v>1109967.474838216</x:v>
      </x:c>
      <x:c r="K1310" s="16" t="n">
        <x:v>-2314.536542739952</x:v>
      </x:c>
      <x:c r="L1310" s="18" t="n">
        <x:v>-0.0020852291577978</x:v>
      </x:c>
      <x:c r="M1310" s="18" t="n">
        <x:v>0</x:v>
      </x:c>
      <x:c r="O1310" t="str">
        <x:v>2026-05-18</x:v>
      </x:c>
      <x:c r="P1310" t="n">
        <x:v>1107652.938295476</x:v>
      </x:c>
    </x:row>
    <x:row r="1311" ht="15" hidden="0" customHeight="1">
      <x:c r="A1311" s="13" t="str">
        <x:v>2026-05-19</x:v>
      </x:c>
      <x:c r="B1311" s="13" t="n">
        <x:v>0</x:v>
      </x:c>
      <x:c r="C1311" s="13" t="n">
        <x:v>0</x:v>
      </x:c>
      <x:c r="D1311" s="16" t="n">
        <x:v>0</x:v>
      </x:c>
      <x:c r="E1311" s="16" t="n">
        <x:v>0</x:v>
      </x:c>
      <x:c r="F1311" s="16" t="n">
        <x:v>0</x:v>
      </x:c>
      <x:c r="G1311" s="16" t="n">
        <x:v>0</x:v>
      </x:c>
      <x:c r="H1311" s="16" t="n">
        <x:v>0</x:v>
      </x:c>
      <x:c r="I1311" s="16" t="n">
        <x:v>1107652.938295476</x:v>
      </x:c>
      <x:c r="J1311" s="16" t="n">
        <x:v>1109967.474838216</x:v>
      </x:c>
      <x:c r="K1311" s="16" t="n">
        <x:v>-2314.536542739952</x:v>
      </x:c>
      <x:c r="L1311" s="18" t="n">
        <x:v>-0.0020852291577978</x:v>
      </x:c>
      <x:c r="M1311" s="18" t="n">
        <x:v>0</x:v>
      </x:c>
      <x:c r="O1311" t="str">
        <x:v>2026-05-19</x:v>
      </x:c>
      <x:c r="P1311" t="n">
        <x:v>1107652.938295476</x:v>
      </x:c>
    </x:row>
    <x:row r="1312" ht="15" hidden="0" customHeight="1">
      <x:c r="A1312" s="13" t="str">
        <x:v>2026-05-20</x:v>
      </x:c>
      <x:c r="B1312" s="13" t="n">
        <x:v>0</x:v>
      </x:c>
      <x:c r="C1312" s="13" t="n">
        <x:v>0</x:v>
      </x:c>
      <x:c r="D1312" s="16" t="n">
        <x:v>0</x:v>
      </x:c>
      <x:c r="E1312" s="16" t="n">
        <x:v>0</x:v>
      </x:c>
      <x:c r="F1312" s="16" t="n">
        <x:v>0</x:v>
      </x:c>
      <x:c r="G1312" s="16" t="n">
        <x:v>0</x:v>
      </x:c>
      <x:c r="H1312" s="16" t="n">
        <x:v>0</x:v>
      </x:c>
      <x:c r="I1312" s="16" t="n">
        <x:v>1107652.938295476</x:v>
      </x:c>
      <x:c r="J1312" s="16" t="n">
        <x:v>1109967.474838216</x:v>
      </x:c>
      <x:c r="K1312" s="16" t="n">
        <x:v>-2314.536542739952</x:v>
      </x:c>
      <x:c r="L1312" s="18" t="n">
        <x:v>-0.0020852291577978</x:v>
      </x:c>
      <x:c r="M1312" s="18" t="n">
        <x:v>0</x:v>
      </x:c>
      <x:c r="O1312" t="str">
        <x:v>2026-05-20</x:v>
      </x:c>
      <x:c r="P1312" t="n">
        <x:v>1107652.938295476</x:v>
      </x:c>
    </x:row>
    <x:row r="1313" ht="15" hidden="0" customHeight="1">
      <x:c r="A1313" s="13" t="str">
        <x:v>2026-05-21</x:v>
      </x:c>
      <x:c r="B1313" s="13" t="n">
        <x:v>0</x:v>
      </x:c>
      <x:c r="C1313" s="13" t="n">
        <x:v>0</x:v>
      </x:c>
      <x:c r="D1313" s="16" t="n">
        <x:v>0</x:v>
      </x:c>
      <x:c r="E1313" s="16" t="n">
        <x:v>0</x:v>
      </x:c>
      <x:c r="F1313" s="16" t="n">
        <x:v>0</x:v>
      </x:c>
      <x:c r="G1313" s="16" t="n">
        <x:v>0</x:v>
      </x:c>
      <x:c r="H1313" s="16" t="n">
        <x:v>0</x:v>
      </x:c>
      <x:c r="I1313" s="16" t="n">
        <x:v>1107652.938295476</x:v>
      </x:c>
      <x:c r="J1313" s="16" t="n">
        <x:v>1109967.474838216</x:v>
      </x:c>
      <x:c r="K1313" s="16" t="n">
        <x:v>-2314.536542739952</x:v>
      </x:c>
      <x:c r="L1313" s="18" t="n">
        <x:v>-0.0020852291577978</x:v>
      </x:c>
      <x:c r="M1313" s="18" t="n">
        <x:v>0</x:v>
      </x:c>
      <x:c r="O1313" t="str">
        <x:v>2026-05-21</x:v>
      </x:c>
      <x:c r="P1313" t="n">
        <x:v>1107652.938295476</x:v>
      </x:c>
    </x:row>
    <x:row r="1314" ht="15" hidden="0" customHeight="1">
      <x:c r="A1314" s="13" t="str">
        <x:v>2026-05-22</x:v>
      </x:c>
      <x:c r="B1314" s="13" t="n">
        <x:v>0</x:v>
      </x:c>
      <x:c r="C1314" s="13" t="n">
        <x:v>0</x:v>
      </x:c>
      <x:c r="D1314" s="16" t="n">
        <x:v>0</x:v>
      </x:c>
      <x:c r="E1314" s="16" t="n">
        <x:v>0</x:v>
      </x:c>
      <x:c r="F1314" s="16" t="n">
        <x:v>0</x:v>
      </x:c>
      <x:c r="G1314" s="16" t="n">
        <x:v>0</x:v>
      </x:c>
      <x:c r="H1314" s="16" t="n">
        <x:v>0</x:v>
      </x:c>
      <x:c r="I1314" s="16" t="n">
        <x:v>1107652.938295476</x:v>
      </x:c>
      <x:c r="J1314" s="16" t="n">
        <x:v>1109967.474838216</x:v>
      </x:c>
      <x:c r="K1314" s="16" t="n">
        <x:v>-2314.536542739952</x:v>
      </x:c>
      <x:c r="L1314" s="18" t="n">
        <x:v>-0.0020852291577978</x:v>
      </x:c>
      <x:c r="M1314" s="18" t="n">
        <x:v>0</x:v>
      </x:c>
      <x:c r="O1314" t="str">
        <x:v>2026-05-22</x:v>
      </x:c>
      <x:c r="P1314" t="n">
        <x:v>1107652.938295476</x:v>
      </x:c>
    </x:row>
    <x:row r="1315" ht="15" hidden="0" customHeight="1">
      <x:c r="A1315" s="13" t="str">
        <x:v>2026-05-25</x:v>
      </x:c>
      <x:c r="B1315" s="13" t="n">
        <x:v>0</x:v>
      </x:c>
      <x:c r="C1315" s="13" t="n">
        <x:v>0</x:v>
      </x:c>
      <x:c r="D1315" s="16" t="n">
        <x:v>0</x:v>
      </x:c>
      <x:c r="E1315" s="16" t="n">
        <x:v>0</x:v>
      </x:c>
      <x:c r="F1315" s="16" t="n">
        <x:v>0</x:v>
      </x:c>
      <x:c r="G1315" s="16" t="n">
        <x:v>0</x:v>
      </x:c>
      <x:c r="H1315" s="16" t="n">
        <x:v>0</x:v>
      </x:c>
      <x:c r="I1315" s="16" t="n">
        <x:v>1107652.938295476</x:v>
      </x:c>
      <x:c r="J1315" s="16" t="n">
        <x:v>1109967.474838216</x:v>
      </x:c>
      <x:c r="K1315" s="16" t="n">
        <x:v>-2314.536542739952</x:v>
      </x:c>
      <x:c r="L1315" s="18" t="n">
        <x:v>-0.0020852291577978</x:v>
      </x:c>
      <x:c r="M1315" s="18" t="n">
        <x:v>0</x:v>
      </x:c>
      <x:c r="O1315" t="str">
        <x:v>2026-05-25</x:v>
      </x:c>
      <x:c r="P1315" t="n">
        <x:v>1107652.938295476</x:v>
      </x:c>
    </x:row>
    <x:row r="1316" ht="15" hidden="0" customHeight="1">
      <x:c r="A1316" s="13" t="str">
        <x:v>2026-05-26</x:v>
      </x:c>
      <x:c r="B1316" s="13" t="n">
        <x:v>0</x:v>
      </x:c>
      <x:c r="C1316" s="13" t="n">
        <x:v>0</x:v>
      </x:c>
      <x:c r="D1316" s="16" t="n">
        <x:v>0</x:v>
      </x:c>
      <x:c r="E1316" s="16" t="n">
        <x:v>0</x:v>
      </x:c>
      <x:c r="F1316" s="16" t="n">
        <x:v>0</x:v>
      </x:c>
      <x:c r="G1316" s="16" t="n">
        <x:v>0</x:v>
      </x:c>
      <x:c r="H1316" s="16" t="n">
        <x:v>0</x:v>
      </x:c>
      <x:c r="I1316" s="16" t="n">
        <x:v>1107652.938295476</x:v>
      </x:c>
      <x:c r="J1316" s="16" t="n">
        <x:v>1109967.474838216</x:v>
      </x:c>
      <x:c r="K1316" s="16" t="n">
        <x:v>-2314.536542739952</x:v>
      </x:c>
      <x:c r="L1316" s="18" t="n">
        <x:v>-0.0020852291577978</x:v>
      </x:c>
      <x:c r="M1316" s="18" t="n">
        <x:v>0</x:v>
      </x:c>
      <x:c r="O1316" t="str">
        <x:v>2026-05-26</x:v>
      </x:c>
      <x:c r="P1316" t="n">
        <x:v>1107652.938295476</x:v>
      </x:c>
    </x:row>
    <x:row r="1317" ht="15" hidden="0" customHeight="1">
      <x:c r="A1317" s="13" t="str">
        <x:v>2026-05-27</x:v>
      </x:c>
      <x:c r="B1317" s="13" t="n">
        <x:v>0</x:v>
      </x:c>
      <x:c r="C1317" s="13" t="n">
        <x:v>0</x:v>
      </x:c>
      <x:c r="D1317" s="16" t="n">
        <x:v>0</x:v>
      </x:c>
      <x:c r="E1317" s="16" t="n">
        <x:v>0</x:v>
      </x:c>
      <x:c r="F1317" s="16" t="n">
        <x:v>0</x:v>
      </x:c>
      <x:c r="G1317" s="16" t="n">
        <x:v>0</x:v>
      </x:c>
      <x:c r="H1317" s="16" t="n">
        <x:v>0</x:v>
      </x:c>
      <x:c r="I1317" s="16" t="n">
        <x:v>1107652.938295476</x:v>
      </x:c>
      <x:c r="J1317" s="16" t="n">
        <x:v>1109967.474838216</x:v>
      </x:c>
      <x:c r="K1317" s="16" t="n">
        <x:v>-2314.536542739952</x:v>
      </x:c>
      <x:c r="L1317" s="18" t="n">
        <x:v>-0.0020852291577978</x:v>
      </x:c>
      <x:c r="M1317" s="18" t="n">
        <x:v>0</x:v>
      </x:c>
      <x:c r="O1317" t="str">
        <x:v>2026-05-27</x:v>
      </x:c>
      <x:c r="P1317" t="n">
        <x:v>1107652.938295476</x:v>
      </x:c>
    </x:row>
    <x:row r="1318" ht="15" hidden="0" customHeight="1">
      <x:c r="A1318" s="13" t="str">
        <x:v>2026-05-28</x:v>
      </x:c>
      <x:c r="B1318" s="13" t="n">
        <x:v>0</x:v>
      </x:c>
      <x:c r="C1318" s="13" t="n">
        <x:v>0</x:v>
      </x:c>
      <x:c r="D1318" s="16" t="n">
        <x:v>0</x:v>
      </x:c>
      <x:c r="E1318" s="16" t="n">
        <x:v>0</x:v>
      </x:c>
      <x:c r="F1318" s="16" t="n">
        <x:v>0</x:v>
      </x:c>
      <x:c r="G1318" s="16" t="n">
        <x:v>0</x:v>
      </x:c>
      <x:c r="H1318" s="16" t="n">
        <x:v>0</x:v>
      </x:c>
      <x:c r="I1318" s="16" t="n">
        <x:v>1107652.938295476</x:v>
      </x:c>
      <x:c r="J1318" s="16" t="n">
        <x:v>1109967.474838216</x:v>
      </x:c>
      <x:c r="K1318" s="16" t="n">
        <x:v>-2314.536542739952</x:v>
      </x:c>
      <x:c r="L1318" s="18" t="n">
        <x:v>-0.0020852291577978</x:v>
      </x:c>
      <x:c r="M1318" s="18" t="n">
        <x:v>0</x:v>
      </x:c>
      <x:c r="O1318" t="str">
        <x:v>2026-05-28</x:v>
      </x:c>
      <x:c r="P1318" t="n">
        <x:v>1107652.938295476</x:v>
      </x:c>
    </x:row>
    <x:row r="1319" ht="15" hidden="0" customHeight="1">
      <x:c r="A1319" s="13" t="str">
        <x:v>2026-05-29</x:v>
      </x:c>
      <x:c r="B1319" s="13" t="n">
        <x:v>0</x:v>
      </x:c>
      <x:c r="C1319" s="13" t="n">
        <x:v>0</x:v>
      </x:c>
      <x:c r="D1319" s="16" t="n">
        <x:v>0</x:v>
      </x:c>
      <x:c r="E1319" s="16" t="n">
        <x:v>0</x:v>
      </x:c>
      <x:c r="F1319" s="16" t="n">
        <x:v>0</x:v>
      </x:c>
      <x:c r="G1319" s="16" t="n">
        <x:v>0</x:v>
      </x:c>
      <x:c r="H1319" s="16" t="n">
        <x:v>0</x:v>
      </x:c>
      <x:c r="I1319" s="16" t="n">
        <x:v>1107652.938295476</x:v>
      </x:c>
      <x:c r="J1319" s="16" t="n">
        <x:v>1109967.474838216</x:v>
      </x:c>
      <x:c r="K1319" s="16" t="n">
        <x:v>-2314.536542739952</x:v>
      </x:c>
      <x:c r="L1319" s="18" t="n">
        <x:v>-0.0020852291577978</x:v>
      </x:c>
      <x:c r="M1319" s="18" t="n">
        <x:v>0</x:v>
      </x:c>
      <x:c r="O1319" t="str">
        <x:v>2026-05-29</x:v>
      </x:c>
      <x:c r="P1319" t="n">
        <x:v>1107652.938295476</x:v>
      </x:c>
    </x:row>
    <x:row r="1320" ht="15" hidden="0" customHeight="1">
      <x:c r="A1320" s="13" t="str">
        <x:v>2026-06-01</x:v>
      </x:c>
      <x:c r="B1320" s="13" t="n">
        <x:v>0</x:v>
      </x:c>
      <x:c r="C1320" s="13" t="n">
        <x:v>0</x:v>
      </x:c>
      <x:c r="D1320" s="16" t="n">
        <x:v>0</x:v>
      </x:c>
      <x:c r="E1320" s="16" t="n">
        <x:v>0</x:v>
      </x:c>
      <x:c r="F1320" s="16" t="n">
        <x:v>0</x:v>
      </x:c>
      <x:c r="G1320" s="16" t="n">
        <x:v>0</x:v>
      </x:c>
      <x:c r="H1320" s="16" t="n">
        <x:v>0</x:v>
      </x:c>
      <x:c r="I1320" s="16" t="n">
        <x:v>1107652.938295476</x:v>
      </x:c>
      <x:c r="J1320" s="16" t="n">
        <x:v>1109967.474838216</x:v>
      </x:c>
      <x:c r="K1320" s="16" t="n">
        <x:v>-2314.536542739952</x:v>
      </x:c>
      <x:c r="L1320" s="18" t="n">
        <x:v>-0.0020852291577978</x:v>
      </x:c>
      <x:c r="M1320" s="18" t="n">
        <x:v>0</x:v>
      </x:c>
      <x:c r="O1320" t="str">
        <x:v>2026-06-01</x:v>
      </x:c>
      <x:c r="P1320" t="n">
        <x:v>1107652.938295476</x:v>
      </x:c>
    </x:row>
    <x:row r="1321" ht="15" hidden="0" customHeight="1">
      <x:c r="A1321" s="13" t="str">
        <x:v>2026-06-02</x:v>
      </x:c>
      <x:c r="B1321" s="13" t="n">
        <x:v>0</x:v>
      </x:c>
      <x:c r="C1321" s="13" t="n">
        <x:v>0</x:v>
      </x:c>
      <x:c r="D1321" s="16" t="n">
        <x:v>0</x:v>
      </x:c>
      <x:c r="E1321" s="16" t="n">
        <x:v>0</x:v>
      </x:c>
      <x:c r="F1321" s="16" t="n">
        <x:v>0</x:v>
      </x:c>
      <x:c r="G1321" s="16" t="n">
        <x:v>0</x:v>
      </x:c>
      <x:c r="H1321" s="16" t="n">
        <x:v>0</x:v>
      </x:c>
      <x:c r="I1321" s="16" t="n">
        <x:v>1107652.938295476</x:v>
      </x:c>
      <x:c r="J1321" s="16" t="n">
        <x:v>1109967.474838216</x:v>
      </x:c>
      <x:c r="K1321" s="16" t="n">
        <x:v>-2314.536542739952</x:v>
      </x:c>
      <x:c r="L1321" s="18" t="n">
        <x:v>-0.0020852291577978</x:v>
      </x:c>
      <x:c r="M1321" s="18" t="n">
        <x:v>0</x:v>
      </x:c>
      <x:c r="O1321" t="str">
        <x:v>2026-06-02</x:v>
      </x:c>
      <x:c r="P1321" t="n">
        <x:v>1107652.938295476</x:v>
      </x:c>
    </x:row>
    <x:row r="1322" ht="15" hidden="0" customHeight="1">
      <x:c r="A1322" s="13" t="str">
        <x:v>2026-06-03</x:v>
      </x:c>
      <x:c r="B1322" s="13" t="n">
        <x:v>0</x:v>
      </x:c>
      <x:c r="C1322" s="13" t="n">
        <x:v>0</x:v>
      </x:c>
      <x:c r="D1322" s="16" t="n">
        <x:v>0</x:v>
      </x:c>
      <x:c r="E1322" s="16" t="n">
        <x:v>0</x:v>
      </x:c>
      <x:c r="F1322" s="16" t="n">
        <x:v>0</x:v>
      </x:c>
      <x:c r="G1322" s="16" t="n">
        <x:v>0</x:v>
      </x:c>
      <x:c r="H1322" s="16" t="n">
        <x:v>0</x:v>
      </x:c>
      <x:c r="I1322" s="16" t="n">
        <x:v>1107652.938295476</x:v>
      </x:c>
      <x:c r="J1322" s="16" t="n">
        <x:v>1109967.474838216</x:v>
      </x:c>
      <x:c r="K1322" s="16" t="n">
        <x:v>-2314.536542739952</x:v>
      </x:c>
      <x:c r="L1322" s="18" t="n">
        <x:v>-0.0020852291577978</x:v>
      </x:c>
      <x:c r="M1322" s="18" t="n">
        <x:v>0</x:v>
      </x:c>
      <x:c r="O1322" t="str">
        <x:v>2026-06-03</x:v>
      </x:c>
      <x:c r="P1322" t="n">
        <x:v>1107652.938295476</x:v>
      </x:c>
    </x:row>
    <x:row r="1323" ht="15" hidden="0" customHeight="1">
      <x:c r="A1323" s="13" t="str">
        <x:v>2026-06-04</x:v>
      </x:c>
      <x:c r="B1323" s="13" t="n">
        <x:v>0</x:v>
      </x:c>
      <x:c r="C1323" s="13" t="n">
        <x:v>0</x:v>
      </x:c>
      <x:c r="D1323" s="16" t="n">
        <x:v>0</x:v>
      </x:c>
      <x:c r="E1323" s="16" t="n">
        <x:v>0</x:v>
      </x:c>
      <x:c r="F1323" s="16" t="n">
        <x:v>0</x:v>
      </x:c>
      <x:c r="G1323" s="16" t="n">
        <x:v>0</x:v>
      </x:c>
      <x:c r="H1323" s="16" t="n">
        <x:v>0</x:v>
      </x:c>
      <x:c r="I1323" s="16" t="n">
        <x:v>1107652.938295476</x:v>
      </x:c>
      <x:c r="J1323" s="16" t="n">
        <x:v>1109967.474838216</x:v>
      </x:c>
      <x:c r="K1323" s="16" t="n">
        <x:v>-2314.536542739952</x:v>
      </x:c>
      <x:c r="L1323" s="18" t="n">
        <x:v>-0.0020852291577978</x:v>
      </x:c>
      <x:c r="M1323" s="18" t="n">
        <x:v>0</x:v>
      </x:c>
      <x:c r="O1323" t="str">
        <x:v>2026-06-04</x:v>
      </x:c>
      <x:c r="P1323" t="n">
        <x:v>1107652.938295476</x:v>
      </x:c>
    </x:row>
    <x:row r="1324" ht="15" hidden="0" customHeight="1">
      <x:c r="A1324" s="13" t="str">
        <x:v>2026-06-05</x:v>
      </x:c>
      <x:c r="B1324" s="13" t="n">
        <x:v>0</x:v>
      </x:c>
      <x:c r="C1324" s="13" t="n">
        <x:v>0</x:v>
      </x:c>
      <x:c r="D1324" s="16" t="n">
        <x:v>0</x:v>
      </x:c>
      <x:c r="E1324" s="16" t="n">
        <x:v>0</x:v>
      </x:c>
      <x:c r="F1324" s="16" t="n">
        <x:v>0</x:v>
      </x:c>
      <x:c r="G1324" s="16" t="n">
        <x:v>0</x:v>
      </x:c>
      <x:c r="H1324" s="16" t="n">
        <x:v>0</x:v>
      </x:c>
      <x:c r="I1324" s="16" t="n">
        <x:v>1107652.938295476</x:v>
      </x:c>
      <x:c r="J1324" s="16" t="n">
        <x:v>1109967.474838216</x:v>
      </x:c>
      <x:c r="K1324" s="16" t="n">
        <x:v>-2314.536542739952</x:v>
      </x:c>
      <x:c r="L1324" s="18" t="n">
        <x:v>-0.0020852291577978</x:v>
      </x:c>
      <x:c r="M1324" s="18" t="n">
        <x:v>0</x:v>
      </x:c>
      <x:c r="O1324" t="str">
        <x:v>2026-06-05</x:v>
      </x:c>
      <x:c r="P1324" t="n">
        <x:v>1107652.938295476</x:v>
      </x:c>
    </x:row>
    <x:row r="1325" ht="15" hidden="0" customHeight="1">
      <x:c r="A1325" s="13" t="str">
        <x:v>2026-06-08</x:v>
      </x:c>
      <x:c r="B1325" s="13" t="n">
        <x:v>0</x:v>
      </x:c>
      <x:c r="C1325" s="13" t="n">
        <x:v>0</x:v>
      </x:c>
      <x:c r="D1325" s="16" t="n">
        <x:v>0</x:v>
      </x:c>
      <x:c r="E1325" s="16" t="n">
        <x:v>0</x:v>
      </x:c>
      <x:c r="F1325" s="16" t="n">
        <x:v>0</x:v>
      </x:c>
      <x:c r="G1325" s="16" t="n">
        <x:v>0</x:v>
      </x:c>
      <x:c r="H1325" s="16" t="n">
        <x:v>0</x:v>
      </x:c>
      <x:c r="I1325" s="16" t="n">
        <x:v>1107652.938295476</x:v>
      </x:c>
      <x:c r="J1325" s="16" t="n">
        <x:v>1109967.474838216</x:v>
      </x:c>
      <x:c r="K1325" s="16" t="n">
        <x:v>-2314.536542739952</x:v>
      </x:c>
      <x:c r="L1325" s="18" t="n">
        <x:v>-0.0020852291577978</x:v>
      </x:c>
      <x:c r="M1325" s="18" t="n">
        <x:v>0</x:v>
      </x:c>
      <x:c r="O1325" t="str">
        <x:v>2026-06-08</x:v>
      </x:c>
      <x:c r="P1325" t="n">
        <x:v>1107652.938295476</x:v>
      </x:c>
    </x:row>
    <x:row r="1326" ht="15" hidden="0" customHeight="1">
      <x:c r="A1326" s="13" t="str">
        <x:v>2026-06-09</x:v>
      </x:c>
      <x:c r="B1326" s="13" t="n">
        <x:v>0</x:v>
      </x:c>
      <x:c r="C1326" s="13" t="n">
        <x:v>0</x:v>
      </x:c>
      <x:c r="D1326" s="16" t="n">
        <x:v>0</x:v>
      </x:c>
      <x:c r="E1326" s="16" t="n">
        <x:v>0</x:v>
      </x:c>
      <x:c r="F1326" s="16" t="n">
        <x:v>0</x:v>
      </x:c>
      <x:c r="G1326" s="16" t="n">
        <x:v>0</x:v>
      </x:c>
      <x:c r="H1326" s="16" t="n">
        <x:v>0</x:v>
      </x:c>
      <x:c r="I1326" s="16" t="n">
        <x:v>1107652.938295476</x:v>
      </x:c>
      <x:c r="J1326" s="16" t="n">
        <x:v>1109967.474838216</x:v>
      </x:c>
      <x:c r="K1326" s="16" t="n">
        <x:v>-2314.536542739952</x:v>
      </x:c>
      <x:c r="L1326" s="18" t="n">
        <x:v>-0.0020852291577978</x:v>
      </x:c>
      <x:c r="M1326" s="18" t="n">
        <x:v>0</x:v>
      </x:c>
      <x:c r="O1326" t="str">
        <x:v>2026-06-09</x:v>
      </x:c>
      <x:c r="P1326" t="n">
        <x:v>1107652.938295476</x:v>
      </x:c>
    </x:row>
    <x:row r="1327" ht="15" hidden="0" customHeight="1">
      <x:c r="A1327" s="13" t="str">
        <x:v>2026-06-10</x:v>
      </x:c>
      <x:c r="B1327" s="13" t="n">
        <x:v>0</x:v>
      </x:c>
      <x:c r="C1327" s="13" t="n">
        <x:v>0</x:v>
      </x:c>
      <x:c r="D1327" s="16" t="n">
        <x:v>0</x:v>
      </x:c>
      <x:c r="E1327" s="16" t="n">
        <x:v>0</x:v>
      </x:c>
      <x:c r="F1327" s="16" t="n">
        <x:v>0</x:v>
      </x:c>
      <x:c r="G1327" s="16" t="n">
        <x:v>0</x:v>
      </x:c>
      <x:c r="H1327" s="16" t="n">
        <x:v>0</x:v>
      </x:c>
      <x:c r="I1327" s="16" t="n">
        <x:v>1107652.938295476</x:v>
      </x:c>
      <x:c r="J1327" s="16" t="n">
        <x:v>1109967.474838216</x:v>
      </x:c>
      <x:c r="K1327" s="16" t="n">
        <x:v>-2314.536542739952</x:v>
      </x:c>
      <x:c r="L1327" s="18" t="n">
        <x:v>-0.0020852291577978</x:v>
      </x:c>
      <x:c r="M1327" s="18" t="n">
        <x:v>0</x:v>
      </x:c>
      <x:c r="O1327" t="str">
        <x:v>2026-06-10</x:v>
      </x:c>
      <x:c r="P1327" t="n">
        <x:v>1107652.938295476</x:v>
      </x:c>
    </x:row>
    <x:row r="1328" ht="15" hidden="0" customHeight="1">
      <x:c r="A1328" s="13" t="str">
        <x:v>2026-06-11</x:v>
      </x:c>
      <x:c r="B1328" s="13" t="n">
        <x:v>0</x:v>
      </x:c>
      <x:c r="C1328" s="13" t="n">
        <x:v>0</x:v>
      </x:c>
      <x:c r="D1328" s="16" t="n">
        <x:v>0</x:v>
      </x:c>
      <x:c r="E1328" s="16" t="n">
        <x:v>0</x:v>
      </x:c>
      <x:c r="F1328" s="16" t="n">
        <x:v>0</x:v>
      </x:c>
      <x:c r="G1328" s="16" t="n">
        <x:v>0</x:v>
      </x:c>
      <x:c r="H1328" s="16" t="n">
        <x:v>0</x:v>
      </x:c>
      <x:c r="I1328" s="16" t="n">
        <x:v>1107652.938295476</x:v>
      </x:c>
      <x:c r="J1328" s="16" t="n">
        <x:v>1109967.474838216</x:v>
      </x:c>
      <x:c r="K1328" s="16" t="n">
        <x:v>-2314.536542739952</x:v>
      </x:c>
      <x:c r="L1328" s="18" t="n">
        <x:v>-0.0020852291577978</x:v>
      </x:c>
      <x:c r="M1328" s="18" t="n">
        <x:v>0</x:v>
      </x:c>
      <x:c r="O1328" t="str">
        <x:v>2026-06-11</x:v>
      </x:c>
      <x:c r="P1328" t="n">
        <x:v>1107652.938295476</x:v>
      </x:c>
    </x:row>
    <x:row r="1329" ht="15" hidden="0" customHeight="1">
      <x:c r="A1329" s="13" t="str">
        <x:v>2026-06-12</x:v>
      </x:c>
      <x:c r="B1329" s="13" t="n">
        <x:v>0</x:v>
      </x:c>
      <x:c r="C1329" s="13" t="n">
        <x:v>0</x:v>
      </x:c>
      <x:c r="D1329" s="16" t="n">
        <x:v>0</x:v>
      </x:c>
      <x:c r="E1329" s="16" t="n">
        <x:v>0</x:v>
      </x:c>
      <x:c r="F1329" s="16" t="n">
        <x:v>0</x:v>
      </x:c>
      <x:c r="G1329" s="16" t="n">
        <x:v>0</x:v>
      </x:c>
      <x:c r="H1329" s="16" t="n">
        <x:v>0</x:v>
      </x:c>
      <x:c r="I1329" s="16" t="n">
        <x:v>1107652.938295476</x:v>
      </x:c>
      <x:c r="J1329" s="16" t="n">
        <x:v>1109967.474838216</x:v>
      </x:c>
      <x:c r="K1329" s="16" t="n">
        <x:v>-2314.536542739952</x:v>
      </x:c>
      <x:c r="L1329" s="18" t="n">
        <x:v>-0.0020852291577978</x:v>
      </x:c>
      <x:c r="M1329" s="18" t="n">
        <x:v>0</x:v>
      </x:c>
      <x:c r="O1329" t="str">
        <x:v>2026-06-12</x:v>
      </x:c>
      <x:c r="P1329" t="n">
        <x:v>1107652.938295476</x:v>
      </x:c>
    </x:row>
    <x:row r="1330" ht="15" hidden="0" customHeight="1">
      <x:c r="A1330" s="13" t="str">
        <x:v>2026-06-15</x:v>
      </x:c>
      <x:c r="B1330" s="13" t="n">
        <x:v>0</x:v>
      </x:c>
      <x:c r="C1330" s="13" t="n">
        <x:v>0</x:v>
      </x:c>
      <x:c r="D1330" s="16" t="n">
        <x:v>0</x:v>
      </x:c>
      <x:c r="E1330" s="16" t="n">
        <x:v>0</x:v>
      </x:c>
      <x:c r="F1330" s="16" t="n">
        <x:v>0</x:v>
      </x:c>
      <x:c r="G1330" s="16" t="n">
        <x:v>0</x:v>
      </x:c>
      <x:c r="H1330" s="16" t="n">
        <x:v>0</x:v>
      </x:c>
      <x:c r="I1330" s="16" t="n">
        <x:v>1107652.938295476</x:v>
      </x:c>
      <x:c r="J1330" s="16" t="n">
        <x:v>1109967.474838216</x:v>
      </x:c>
      <x:c r="K1330" s="16" t="n">
        <x:v>-2314.536542739952</x:v>
      </x:c>
      <x:c r="L1330" s="18" t="n">
        <x:v>-0.0020852291577978</x:v>
      </x:c>
      <x:c r="M1330" s="18" t="n">
        <x:v>0</x:v>
      </x:c>
      <x:c r="O1330" t="str">
        <x:v>2026-06-15</x:v>
      </x:c>
      <x:c r="P1330" t="n">
        <x:v>1107652.938295476</x:v>
      </x:c>
    </x:row>
    <x:row r="1331" ht="15" hidden="0" customHeight="1">
      <x:c r="A1331" s="13" t="str">
        <x:v>2026-06-16</x:v>
      </x:c>
      <x:c r="B1331" s="13" t="n">
        <x:v>1</x:v>
      </x:c>
      <x:c r="C1331" s="13" t="n">
        <x:v>5</x:v>
      </x:c>
      <x:c r="D1331" s="16" t="n">
        <x:v>975.0000000000013</x:v>
      </x:c>
      <x:c r="E1331" s="16" t="n">
        <x:v>385.12373369417423</x:v>
      </x:c>
      <x:c r="F1331" s="16" t="n">
        <x:v>589.876266305827</x:v>
      </x:c>
      <x:c r="G1331" s="16" t="n">
        <x:v>33607.27074647179</x:v>
      </x:c>
      <x:c r="H1331" s="16" t="n">
        <x:v>361304.8683219146</x:v>
      </x:c>
      <x:c r="I1331" s="16" t="n">
        <x:v>1108242.8145617817</x:v>
      </x:c>
      <x:c r="J1331" s="16" t="n">
        <x:v>1109967.474838216</x:v>
      </x:c>
      <x:c r="K1331" s="16" t="n">
        <x:v>-1724.6602764341517</x:v>
      </x:c>
      <x:c r="L1331" s="18" t="n">
        <x:v>-0.0015537935259639</x:v>
      </x:c>
      <x:c r="M1331" s="18" t="n">
        <x:v>0.0005325461125156</x:v>
      </x:c>
      <x:c r="O1331" t="str">
        <x:v>2026-06-16</x:v>
      </x:c>
      <x:c r="P1331" t="n">
        <x:v>1108242.8145617817</x:v>
      </x:c>
    </x:row>
    <x:row r="1332" ht="15" hidden="0" customHeight="1">
      <x:c r="A1332" s="13" t="str">
        <x:v>2026-06-17</x:v>
      </x:c>
      <x:c r="B1332" s="13" t="n">
        <x:v>0</x:v>
      </x:c>
      <x:c r="C1332" s="13" t="n">
        <x:v>0</x:v>
      </x:c>
      <x:c r="D1332" s="16" t="n">
        <x:v>0</x:v>
      </x:c>
      <x:c r="E1332" s="16" t="n">
        <x:v>0</x:v>
      </x:c>
      <x:c r="F1332" s="16" t="n">
        <x:v>0</x:v>
      </x:c>
      <x:c r="G1332" s="16" t="n">
        <x:v>0</x:v>
      </x:c>
      <x:c r="H1332" s="16" t="n">
        <x:v>0</x:v>
      </x:c>
      <x:c r="I1332" s="16" t="n">
        <x:v>1108242.8145617817</x:v>
      </x:c>
      <x:c r="J1332" s="16" t="n">
        <x:v>1109967.474838216</x:v>
      </x:c>
      <x:c r="K1332" s="16" t="n">
        <x:v>-1724.6602764341517</x:v>
      </x:c>
      <x:c r="L1332" s="18" t="n">
        <x:v>-0.0015537935259639</x:v>
      </x:c>
      <x:c r="M1332" s="18" t="n">
        <x:v>0</x:v>
      </x:c>
      <x:c r="O1332" t="str">
        <x:v>2026-06-17</x:v>
      </x:c>
      <x:c r="P1332" t="n">
        <x:v>1108242.8145617817</x:v>
      </x:c>
    </x:row>
    <x:row r="1333" ht="15" hidden="0" customHeight="1">
      <x:c r="A1333" s="13" t="str">
        <x:v>2026-06-18</x:v>
      </x:c>
      <x:c r="B1333" s="13" t="n">
        <x:v>0</x:v>
      </x:c>
      <x:c r="C1333" s="13" t="n">
        <x:v>0</x:v>
      </x:c>
      <x:c r="D1333" s="16" t="n">
        <x:v>0</x:v>
      </x:c>
      <x:c r="E1333" s="16" t="n">
        <x:v>0</x:v>
      </x:c>
      <x:c r="F1333" s="16" t="n">
        <x:v>0</x:v>
      </x:c>
      <x:c r="G1333" s="16" t="n">
        <x:v>0</x:v>
      </x:c>
      <x:c r="H1333" s="16" t="n">
        <x:v>0</x:v>
      </x:c>
      <x:c r="I1333" s="16" t="n">
        <x:v>1108242.8145617817</x:v>
      </x:c>
      <x:c r="J1333" s="16" t="n">
        <x:v>1109967.474838216</x:v>
      </x:c>
      <x:c r="K1333" s="16" t="n">
        <x:v>-1724.6602764341517</x:v>
      </x:c>
      <x:c r="L1333" s="18" t="n">
        <x:v>-0.0015537935259639</x:v>
      </x:c>
      <x:c r="M1333" s="18" t="n">
        <x:v>0</x:v>
      </x:c>
      <x:c r="O1333" t="str">
        <x:v>2026-06-18</x:v>
      </x:c>
      <x:c r="P1333" t="n">
        <x:v>1108242.8145617817</x:v>
      </x:c>
    </x:row>
    <x:row r="1334" ht="15" hidden="0" customHeight="1">
      <x:c r="A1334" s="13" t="str">
        <x:v>2026-06-19</x:v>
      </x:c>
      <x:c r="B1334" s="13" t="n">
        <x:v>0</x:v>
      </x:c>
      <x:c r="C1334" s="13" t="n">
        <x:v>0</x:v>
      </x:c>
      <x:c r="D1334" s="16" t="n">
        <x:v>0</x:v>
      </x:c>
      <x:c r="E1334" s="16" t="n">
        <x:v>0</x:v>
      </x:c>
      <x:c r="F1334" s="16" t="n">
        <x:v>0</x:v>
      </x:c>
      <x:c r="G1334" s="16" t="n">
        <x:v>0</x:v>
      </x:c>
      <x:c r="H1334" s="16" t="n">
        <x:v>0</x:v>
      </x:c>
      <x:c r="I1334" s="16" t="n">
        <x:v>1108242.8145617817</x:v>
      </x:c>
      <x:c r="J1334" s="16" t="n">
        <x:v>1109967.474838216</x:v>
      </x:c>
      <x:c r="K1334" s="16" t="n">
        <x:v>-1724.6602764341517</x:v>
      </x:c>
      <x:c r="L1334" s="18" t="n">
        <x:v>-0.0015537935259639</x:v>
      </x:c>
      <x:c r="M1334" s="18" t="n">
        <x:v>0</x:v>
      </x:c>
      <x:c r="O1334" t="str">
        <x:v>2026-06-19</x:v>
      </x:c>
      <x:c r="P1334" t="n">
        <x:v>1108242.8145617817</x:v>
      </x:c>
    </x:row>
    <x:row r="1335" ht="15" hidden="0" customHeight="1">
      <x:c r="A1335" s="13" t="str">
        <x:v>2026-06-22</x:v>
      </x:c>
      <x:c r="B1335" s="13" t="n">
        <x:v>1</x:v>
      </x:c>
      <x:c r="C1335" s="13" t="n">
        <x:v>5</x:v>
      </x:c>
      <x:c r="D1335" s="16" t="n">
        <x:v>650.0000000000023</x:v>
      </x:c>
      <x:c r="E1335" s="16" t="n">
        <x:v>573.7575456216377</x:v>
      </x:c>
      <x:c r="F1335" s="16" t="n">
        <x:v>76.24245437836453</x:v>
      </x:c>
      <x:c r="G1335" s="16" t="n">
        <x:v>131848.2566643588</x:v>
      </x:c>
      <x:c r="H1335" s="16" t="n">
        <x:v>380188.6841866546</x:v>
      </x:c>
      <x:c r="I1335" s="16" t="n">
        <x:v>1108319.05701616</x:v>
      </x:c>
      <x:c r="J1335" s="16" t="n">
        <x:v>1109967.474838216</x:v>
      </x:c>
      <x:c r="K1335" s="16" t="n">
        <x:v>-1648.4178220557517</x:v>
      </x:c>
      <x:c r="L1335" s="18" t="n">
        <x:v>-0.0014851046174086</x:v>
      </x:c>
      <x:c r="M1335" s="18" t="n">
        <x:v>0.00006879580302854293</x:v>
      </x:c>
      <x:c r="O1335" t="str">
        <x:v>2026-06-22</x:v>
      </x:c>
      <x:c r="P1335" t="n">
        <x:v>1108319.05701616</x:v>
      </x:c>
    </x:row>
    <x:row r="1336" ht="15" hidden="0" customHeight="1">
      <x:c r="A1336" s="13" t="str">
        <x:v>2026-06-23</x:v>
      </x:c>
      <x:c r="B1336" s="13" t="n">
        <x:v>0</x:v>
      </x:c>
      <x:c r="C1336" s="13" t="n">
        <x:v>0</x:v>
      </x:c>
      <x:c r="D1336" s="16" t="n">
        <x:v>0</x:v>
      </x:c>
      <x:c r="E1336" s="16" t="n">
        <x:v>0</x:v>
      </x:c>
      <x:c r="F1336" s="16" t="n">
        <x:v>0</x:v>
      </x:c>
      <x:c r="G1336" s="16" t="n">
        <x:v>0</x:v>
      </x:c>
      <x:c r="H1336" s="16" t="n">
        <x:v>0</x:v>
      </x:c>
      <x:c r="I1336" s="16" t="n">
        <x:v>1108319.05701616</x:v>
      </x:c>
      <x:c r="J1336" s="16" t="n">
        <x:v>1109967.474838216</x:v>
      </x:c>
      <x:c r="K1336" s="16" t="n">
        <x:v>-1648.4178220557517</x:v>
      </x:c>
      <x:c r="L1336" s="18" t="n">
        <x:v>-0.0014851046174086</x:v>
      </x:c>
      <x:c r="M1336" s="18" t="n">
        <x:v>0</x:v>
      </x:c>
      <x:c r="O1336" t="str">
        <x:v>2026-06-23</x:v>
      </x:c>
      <x:c r="P1336" t="n">
        <x:v>1108319.05701616</x:v>
      </x:c>
    </x:row>
    <x:row r="1337" ht="15" hidden="0" customHeight="1">
      <x:c r="A1337" s="13" t="str">
        <x:v>2026-06-24</x:v>
      </x:c>
      <x:c r="B1337" s="13" t="n">
        <x:v>0</x:v>
      </x:c>
      <x:c r="C1337" s="13" t="n">
        <x:v>0</x:v>
      </x:c>
      <x:c r="D1337" s="16" t="n">
        <x:v>0</x:v>
      </x:c>
      <x:c r="E1337" s="16" t="n">
        <x:v>0</x:v>
      </x:c>
      <x:c r="F1337" s="16" t="n">
        <x:v>0</x:v>
      </x:c>
      <x:c r="G1337" s="16" t="n">
        <x:v>0</x:v>
      </x:c>
      <x:c r="H1337" s="16" t="n">
        <x:v>0</x:v>
      </x:c>
      <x:c r="I1337" s="16" t="n">
        <x:v>1108319.05701616</x:v>
      </x:c>
      <x:c r="J1337" s="16" t="n">
        <x:v>1109967.474838216</x:v>
      </x:c>
      <x:c r="K1337" s="16" t="n">
        <x:v>-1648.4178220557517</x:v>
      </x:c>
      <x:c r="L1337" s="18" t="n">
        <x:v>-0.0014851046174086</x:v>
      </x:c>
      <x:c r="M1337" s="18" t="n">
        <x:v>0</x:v>
      </x:c>
      <x:c r="O1337" t="str">
        <x:v>2026-06-24</x:v>
      </x:c>
      <x:c r="P1337" t="n">
        <x:v>1108319.05701616</x:v>
      </x:c>
    </x:row>
    <x:row r="1338" ht="15" hidden="0" customHeight="1">
      <x:c r="A1338" s="13" t="str">
        <x:v>2026-06-25</x:v>
      </x:c>
      <x:c r="B1338" s="13" t="n">
        <x:v>0</x:v>
      </x:c>
      <x:c r="C1338" s="13" t="n">
        <x:v>0</x:v>
      </x:c>
      <x:c r="D1338" s="16" t="n">
        <x:v>0</x:v>
      </x:c>
      <x:c r="E1338" s="16" t="n">
        <x:v>0</x:v>
      </x:c>
      <x:c r="F1338" s="16" t="n">
        <x:v>0</x:v>
      </x:c>
      <x:c r="G1338" s="16" t="n">
        <x:v>0</x:v>
      </x:c>
      <x:c r="H1338" s="16" t="n">
        <x:v>0</x:v>
      </x:c>
      <x:c r="I1338" s="16" t="n">
        <x:v>1108319.05701616</x:v>
      </x:c>
      <x:c r="J1338" s="16" t="n">
        <x:v>1109967.474838216</x:v>
      </x:c>
      <x:c r="K1338" s="16" t="n">
        <x:v>-1648.4178220557517</x:v>
      </x:c>
      <x:c r="L1338" s="18" t="n">
        <x:v>-0.0014851046174086</x:v>
      </x:c>
      <x:c r="M1338" s="18" t="n">
        <x:v>0</x:v>
      </x:c>
      <x:c r="O1338" t="str">
        <x:v>2026-06-25</x:v>
      </x:c>
      <x:c r="P1338" t="n">
        <x:v>1108319.05701616</x:v>
      </x:c>
    </x:row>
    <x:row r="1339" ht="15" hidden="0" customHeight="1">
      <x:c r="A1339" s="13" t="str">
        <x:v>2026-06-26</x:v>
      </x:c>
      <x:c r="B1339" s="13" t="n">
        <x:v>0</x:v>
      </x:c>
      <x:c r="C1339" s="13" t="n">
        <x:v>0</x:v>
      </x:c>
      <x:c r="D1339" s="16" t="n">
        <x:v>0</x:v>
      </x:c>
      <x:c r="E1339" s="16" t="n">
        <x:v>0</x:v>
      </x:c>
      <x:c r="F1339" s="16" t="n">
        <x:v>0</x:v>
      </x:c>
      <x:c r="G1339" s="16" t="n">
        <x:v>0</x:v>
      </x:c>
      <x:c r="H1339" s="16" t="n">
        <x:v>0</x:v>
      </x:c>
      <x:c r="I1339" s="16" t="n">
        <x:v>1108319.05701616</x:v>
      </x:c>
      <x:c r="J1339" s="16" t="n">
        <x:v>1109967.474838216</x:v>
      </x:c>
      <x:c r="K1339" s="16" t="n">
        <x:v>-1648.4178220557517</x:v>
      </x:c>
      <x:c r="L1339" s="18" t="n">
        <x:v>-0.0014851046174086</x:v>
      </x:c>
      <x:c r="M1339" s="18" t="n">
        <x:v>0</x:v>
      </x:c>
      <x:c r="O1339" t="str">
        <x:v>2026-06-26</x:v>
      </x:c>
      <x:c r="P1339" t="n">
        <x:v>1108319.05701616</x:v>
      </x:c>
    </x:row>
    <x:row r="1340" ht="15" hidden="0" customHeight="1">
      <x:c r="A1340" s="13" t="str">
        <x:v>2026-06-29</x:v>
      </x:c>
      <x:c r="B1340" s="13" t="n">
        <x:v>0</x:v>
      </x:c>
      <x:c r="C1340" s="13" t="n">
        <x:v>0</x:v>
      </x:c>
      <x:c r="D1340" s="16" t="n">
        <x:v>0</x:v>
      </x:c>
      <x:c r="E1340" s="16" t="n">
        <x:v>0</x:v>
      </x:c>
      <x:c r="F1340" s="16" t="n">
        <x:v>0</x:v>
      </x:c>
      <x:c r="G1340" s="16" t="n">
        <x:v>0</x:v>
      </x:c>
      <x:c r="H1340" s="16" t="n">
        <x:v>0</x:v>
      </x:c>
      <x:c r="I1340" s="16" t="n">
        <x:v>1108319.05701616</x:v>
      </x:c>
      <x:c r="J1340" s="16" t="n">
        <x:v>1109967.474838216</x:v>
      </x:c>
      <x:c r="K1340" s="16" t="n">
        <x:v>-1648.4178220557517</x:v>
      </x:c>
      <x:c r="L1340" s="18" t="n">
        <x:v>-0.0014851046174086</x:v>
      </x:c>
      <x:c r="M1340" s="18" t="n">
        <x:v>0</x:v>
      </x:c>
      <x:c r="O1340" t="str">
        <x:v>2026-06-29</x:v>
      </x:c>
      <x:c r="P1340" t="n">
        <x:v>1108319.05701616</x:v>
      </x:c>
    </x:row>
    <x:row r="1341" ht="15" hidden="0" customHeight="1">
      <x:c r="A1341" s="13" t="str">
        <x:v>2026-06-30</x:v>
      </x:c>
      <x:c r="B1341" s="13" t="n">
        <x:v>1</x:v>
      </x:c>
      <x:c r="C1341" s="13" t="n">
        <x:v>5</x:v>
      </x:c>
      <x:c r="D1341" s="16" t="n">
        <x:v>1104.999999999999</x:v>
      </x:c>
      <x:c r="E1341" s="16" t="n">
        <x:v>440.5744178853013</x:v>
      </x:c>
      <x:c r="F1341" s="16" t="n">
        <x:v>664.4255821146978</x:v>
      </x:c>
      <x:c r="G1341" s="16" t="n">
        <x:v>61753.53324291361</x:v>
      </x:c>
      <x:c r="H1341" s="16" t="n">
        <x:v>364745.9879175204</x:v>
      </x:c>
      <x:c r="I1341" s="16" t="n">
        <x:v>1108983.4825982747</x:v>
      </x:c>
      <x:c r="J1341" s="16" t="n">
        <x:v>1109967.474838216</x:v>
      </x:c>
      <x:c r="K1341" s="16" t="n">
        <x:v>-983.9922399411444</x:v>
      </x:c>
      <x:c r="L1341" s="18" t="n">
        <x:v>-0.0008865054717792</x:v>
      </x:c>
      <x:c r="M1341" s="18" t="n">
        <x:v>0.0005994894501799</x:v>
      </x:c>
      <x:c r="O1341" t="str">
        <x:v>2026-06-30</x:v>
      </x:c>
      <x:c r="P1341" t="n">
        <x:v>1108983.4825982747</x:v>
      </x:c>
    </x:row>
  </x:sheetData>
  <x:pageMargins left="0.7" right="0.7" top="0.75" bottom="0.75" header="0.3" footer="0.3"/>
  <x:drawing xmlns:r="http://schemas.openxmlformats.org/officeDocument/2006/relationships" r:id="R2a531ce6ff0b4675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9" hidden="0" customWidth="1"/>
    <x:col min="4" max="4" width="17" hidden="0" customWidth="1"/>
    <x:col min="5" max="5" width="22" hidden="0" customWidth="1"/>
    <x:col min="6" max="6" width="11" hidden="0" customWidth="1"/>
    <x:col min="7" max="7" width="16" hidden="0" customWidth="1"/>
  </x:cols>
  <x:sheetData>
    <x:row r="1" ht="15" hidden="0" customHeight="1">
      <x:c r="A1" s="12" t="str">
        <x:v>net_pnl_rupees</x:v>
      </x:c>
      <x:c r="B1" s="12" t="str">
        <x:v>gross_pnl_rupees</x:v>
      </x:c>
      <x:c r="C1" s="12" t="str">
        <x:v>total_cost_rupees</x:v>
      </x:c>
      <x:c r="D1" s="12" t="str">
        <x:v>turnover_rupees</x:v>
      </x:c>
      <x:c r="E1" s="12" t="str">
        <x:v>ending_equity_rupees</x:v>
      </x:c>
      <x:c r="F1" s="12" t="str">
        <x:v>month</x:v>
      </x:c>
      <x:c r="G1" s="12" t="str">
        <x:v>monthly_return</x:v>
      </x:c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15" hidden="0" customHeight="1">
      <x:c r="A2" s="13" t="n">
        <x:v>5158.149524206929</x:v>
      </x:c>
      <x:c r="B2" s="13" t="n">
        <x:v>5662.499999999999</x:v>
      </x:c>
      <x:c r="C2" s="13" t="n">
        <x:v>504.3504757930705</x:v>
      </x:c>
      <x:c r="D2" s="13" t="n">
        <x:v>40230.42924774802</x:v>
      </x:c>
      <x:c r="E2" s="13" t="n">
        <x:v>1005158.1495242068</x:v>
      </x:c>
      <x:c r="F2" s="13" t="str">
        <x:v>2021-05</x:v>
      </x:c>
      <x:c r="G2" s="13" t="n">
        <x:v>0.0051581495242069295</x:v>
      </x:c>
    </x:row>
    <x:row r="3" ht="15" hidden="0" customHeight="1">
      <x:c r="A3" s="13" t="n">
        <x:v>-7659.835597918178</x:v>
      </x:c>
      <x:c r="B3" s="13" t="n">
        <x:v>-7106.25</x:v>
      </x:c>
      <x:c r="C3" s="13" t="n">
        <x:v>553.5855979181779</x:v>
      </x:c>
      <x:c r="D3" s="13" t="n">
        <x:v>49565.78284622738</x:v>
      </x:c>
      <x:c r="E3" s="13" t="n">
        <x:v>997498.3139262889</x:v>
      </x:c>
      <x:c r="F3" s="13" t="str">
        <x:v>2021-06</x:v>
      </x:c>
      <x:c r="G3" s="13" t="n">
        <x:v>-0.007620527776195191</x:v>
      </x:c>
    </x:row>
    <x:row r="4" ht="15" hidden="0" customHeight="1">
      <x:c r="A4" s="13" t="n">
        <x:v>9165.751048881295</x:v>
      </x:c>
      <x:c r="B4" s="13" t="n">
        <x:v>10334.999999999998</x:v>
      </x:c>
      <x:c r="C4" s="13" t="n">
        <x:v>1169.2489511187018</x:v>
      </x:c>
      <x:c r="D4" s="13" t="n">
        <x:v>86599.1627972756</x:v>
      </x:c>
      <x:c r="E4" s="13" t="n">
        <x:v>1006664.06497517</x:v>
      </x:c>
      <x:c r="F4" s="13" t="str">
        <x:v>2021-07</x:v>
      </x:c>
      <x:c r="G4" s="13" t="n">
        <x:v>0.009188738387740883</x:v>
      </x:c>
    </x:row>
    <x:row r="5" ht="15" hidden="0" customHeight="1">
      <x:c r="A5" s="13" t="n">
        <x:v>5092.754664191741</x:v>
      </x:c>
      <x:c r="B5" s="13" t="n">
        <x:v>5445.000000000001</x:v>
      </x:c>
      <x:c r="C5" s="13" t="n">
        <x:v>352.2453358082605</x:v>
      </x:c>
      <x:c r="D5" s="13" t="n">
        <x:v>19694.605663074635</x:v>
      </x:c>
      <x:c r="E5" s="13" t="n">
        <x:v>1011756.8196393618</x:v>
      </x:c>
      <x:c r="F5" s="13" t="str">
        <x:v>2021-08</x:v>
      </x:c>
      <x:c r="G5" s="13" t="n">
        <x:v>0.005059040887008673</x:v>
      </x:c>
    </x:row>
    <x:row r="6" ht="15" hidden="0" customHeight="1">
      <x:c r="A6" s="13" t="n">
        <x:v>3831.6157954387</x:v>
      </x:c>
      <x:c r="B6" s="13" t="n">
        <x:v>4745</x:v>
      </x:c>
      <x:c r="C6" s="13" t="n">
        <x:v>913.3842045612994</x:v>
      </x:c>
      <x:c r="D6" s="13" t="n">
        <x:v>104050.88981565635</x:v>
      </x:c>
      <x:c r="E6" s="13" t="n">
        <x:v>1015588.4354348005</x:v>
      </x:c>
      <x:c r="F6" s="13" t="str">
        <x:v>2021-09</x:v>
      </x:c>
      <x:c r="G6" s="13" t="n">
        <x:v>0.003787091642045437</x:v>
      </x:c>
    </x:row>
    <x:row r="7" ht="15" hidden="0" customHeight="1">
      <x:c r="A7" s="13" t="n">
        <x:v>65.19045973206357</x:v>
      </x:c>
      <x:c r="B7" s="13" t="n">
        <x:v>1032.4999999999977</x:v>
      </x:c>
      <x:c r="C7" s="13" t="n">
        <x:v>967.3095402679343</x:v>
      </x:c>
      <x:c r="D7" s="13" t="n">
        <x:v>130809.23450912793</x:v>
      </x:c>
      <x:c r="E7" s="13" t="n">
        <x:v>1015653.6258945324</x:v>
      </x:c>
      <x:c r="F7" s="13" t="str">
        <x:v>2021-10</x:v>
      </x:c>
      <x:c r="G7" s="13" t="n">
        <x:v>0.0000641898405471246</x:v>
      </x:c>
    </x:row>
    <x:row r="8" ht="15" hidden="0" customHeight="1">
      <x:c r="A8" s="13" t="n">
        <x:v>7575.923536918289</x:v>
      </x:c>
      <x:c r="B8" s="13" t="n">
        <x:v>8520.000000000002</x:v>
      </x:c>
      <x:c r="C8" s="13" t="n">
        <x:v>944.0764630817123</x:v>
      </x:c>
      <x:c r="D8" s="13" t="n">
        <x:v>125941.49315810205</x:v>
      </x:c>
      <x:c r="E8" s="13" t="n">
        <x:v>1023229.5494314508</x:v>
      </x:c>
      <x:c r="F8" s="13" t="str">
        <x:v>2021-11</x:v>
      </x:c>
      <x:c r="G8" s="13" t="n">
        <x:v>0.007459160626976374</x:v>
      </x:c>
    </x:row>
    <x:row r="9" ht="15" hidden="0" customHeight="1">
      <x:c r="A9" s="13" t="n">
        <x:v>-3025.7729687569317</x:v>
      </x:c>
      <x:c r="B9" s="13" t="n">
        <x:v>-2104.999999999999</x:v>
      </x:c>
      <x:c r="C9" s="13" t="n">
        <x:v>920.7729687569328</x:v>
      </x:c>
      <x:c r="D9" s="13" t="n">
        <x:v>115449.53686020938</x:v>
      </x:c>
      <x:c r="E9" s="13" t="n">
        <x:v>1020203.776462694</x:v>
      </x:c>
      <x:c r="F9" s="13" t="str">
        <x:v>2021-12</x:v>
      </x:c>
      <x:c r="G9" s="13" t="n">
        <x:v>-0.002957081302468422</x:v>
      </x:c>
    </x:row>
    <x:row r="10" ht="15" hidden="0" customHeight="1">
      <x:c r="A10" s="13" t="n">
        <x:v>3931.221591034405</x:v>
      </x:c>
      <x:c r="B10" s="13" t="n">
        <x:v>4380</x:v>
      </x:c>
      <x:c r="C10" s="13" t="n">
        <x:v>448.778408965595</x:v>
      </x:c>
      <x:c r="D10" s="13" t="n">
        <x:v>45414.52419319479</x:v>
      </x:c>
      <x:c r="E10" s="13" t="n">
        <x:v>1024134.9980537284</x:v>
      </x:c>
      <x:c r="F10" s="13" t="str">
        <x:v>2022-01</x:v>
      </x:c>
      <x:c r="G10" s="13" t="n">
        <x:v>0.0038533689854246085</x:v>
      </x:c>
    </x:row>
    <x:row r="11" ht="15" hidden="0" customHeight="1">
      <x:c r="A11" s="13" t="n">
        <x:v>3255.378370744467</x:v>
      </x:c>
      <x:c r="B11" s="13" t="n">
        <x:v>3700</x:v>
      </x:c>
      <x:c r="C11" s="13" t="n">
        <x:v>444.6216292555331</x:v>
      </x:c>
      <x:c r="D11" s="13" t="n">
        <x:v>44051.32337170547</x:v>
      </x:c>
      <x:c r="E11" s="13" t="n">
        <x:v>1027390.3764244728</x:v>
      </x:c>
      <x:c r="F11" s="13" t="str">
        <x:v>2022-02</x:v>
      </x:c>
      <x:c r="G11" s="13" t="n">
        <x:v>0.0031786613844180752</x:v>
      </x:c>
    </x:row>
    <x:row r="12" ht="15" hidden="0" customHeight="1">
      <x:c r="A12" s="13" t="n">
        <x:v>0</x:v>
      </x:c>
      <x:c r="B12" s="13" t="n">
        <x:v>0</x:v>
      </x:c>
      <x:c r="C12" s="13" t="n">
        <x:v>0</x:v>
      </x:c>
      <x:c r="D12" s="13" t="n">
        <x:v>0</x:v>
      </x:c>
      <x:c r="E12" s="13" t="n">
        <x:v>1027390.3764244728</x:v>
      </x:c>
      <x:c r="F12" s="13" t="str">
        <x:v>2022-03</x:v>
      </x:c>
      <x:c r="G12" s="13" t="n">
        <x:v>0</x:v>
      </x:c>
    </x:row>
    <x:row r="13" ht="15" hidden="0" customHeight="1">
      <x:c r="A13" s="13" t="n">
        <x:v>-5371.543054530341</x:v>
      </x:c>
      <x:c r="B13" s="13" t="n">
        <x:v>-4415.000000000002</x:v>
      </x:c>
      <x:c r="C13" s="13" t="n">
        <x:v>956.5430545303388</x:v>
      </x:c>
      <x:c r="D13" s="13" t="n">
        <x:v>113635.47354671595</x:v>
      </x:c>
      <x:c r="E13" s="13" t="n">
        <x:v>1022018.8333699424</x:v>
      </x:c>
      <x:c r="F13" s="13" t="str">
        <x:v>2022-04</x:v>
      </x:c>
      <x:c r="G13" s="13" t="n">
        <x:v>-0.005228336937731889</x:v>
      </x:c>
    </x:row>
    <x:row r="14" ht="15" hidden="0" customHeight="1">
      <x:c r="A14" s="13" t="n">
        <x:v>7920.449887067269</x:v>
      </x:c>
      <x:c r="B14" s="13" t="n">
        <x:v>9789.999999999996</x:v>
      </x:c>
      <x:c r="C14" s="13" t="n">
        <x:v>1869.5501129327272</x:v>
      </x:c>
      <x:c r="D14" s="13" t="n">
        <x:v>351770.0751834179</x:v>
      </x:c>
      <x:c r="E14" s="13" t="n">
        <x:v>1029939.2832570096</x:v>
      </x:c>
      <x:c r="F14" s="13" t="str">
        <x:v>2022-05</x:v>
      </x:c>
      <x:c r="G14" s="13" t="n">
        <x:v>0.007749808152703862</x:v>
      </x:c>
    </x:row>
    <x:row r="15" ht="15" hidden="0" customHeight="1">
      <x:c r="A15" s="13" t="n">
        <x:v>-3258.3181449413323</x:v>
      </x:c>
      <x:c r="B15" s="13" t="n">
        <x:v>-2519.999999999999</x:v>
      </x:c>
      <x:c r="C15" s="13" t="n">
        <x:v>738.3181449413335</x:v>
      </x:c>
      <x:c r="D15" s="13" t="n">
        <x:v>111532.40339123146</x:v>
      </x:c>
      <x:c r="E15" s="13" t="n">
        <x:v>1026680.9651120685</x:v>
      </x:c>
      <x:c r="F15" s="13" t="str">
        <x:v>2022-06</x:v>
      </x:c>
      <x:c r="G15" s="13" t="n">
        <x:v>-0.003163602163651287</x:v>
      </x:c>
    </x:row>
    <x:row r="16" ht="15" hidden="0" customHeight="1">
      <x:c r="A16" s="13" t="n">
        <x:v>1943.1031486193665</x:v>
      </x:c>
      <x:c r="B16" s="13" t="n">
        <x:v>2399.999999999999</x:v>
      </x:c>
      <x:c r="C16" s="13" t="n">
        <x:v>456.8968513806325</x:v>
      </x:c>
      <x:c r="D16" s="13" t="n">
        <x:v>54911.35197970454</x:v>
      </x:c>
      <x:c r="E16" s="13" t="n">
        <x:v>1028624.0682606878</x:v>
      </x:c>
      <x:c r="F16" s="13" t="str">
        <x:v>2022-07</x:v>
      </x:c>
      <x:c r="G16" s="13" t="n">
        <x:v>0.0018926065785268213</x:v>
      </x:c>
    </x:row>
    <x:row r="17" ht="15" hidden="0" customHeight="1">
      <x:c r="A17" s="13" t="n">
        <x:v>-1225.0984798105185</x:v>
      </x:c>
      <x:c r="B17" s="13" t="n">
        <x:v>-454.999999999999</x:v>
      </x:c>
      <x:c r="C17" s="13" t="n">
        <x:v>770.0984798105194</x:v>
      </x:c>
      <x:c r="D17" s="13" t="n">
        <x:v>156764.79404057848</x:v>
      </x:c>
      <x:c r="E17" s="13" t="n">
        <x:v>1027398.9697808772</x:v>
      </x:c>
      <x:c r="F17" s="13" t="str">
        <x:v>2022-08</x:v>
      </x:c>
      <x:c r="G17" s="13" t="n">
        <x:v>-0.0011910070137499812</x:v>
      </x:c>
    </x:row>
    <x:row r="18" ht="15" hidden="0" customHeight="1">
      <x:c r="A18" s="13" t="n">
        <x:v>0</x:v>
      </x:c>
      <x:c r="B18" s="13" t="n">
        <x:v>0</x:v>
      </x:c>
      <x:c r="C18" s="13" t="n">
        <x:v>0</x:v>
      </x:c>
      <x:c r="D18" s="13" t="n">
        <x:v>0</x:v>
      </x:c>
      <x:c r="E18" s="13" t="n">
        <x:v>1027398.9697808772</x:v>
      </x:c>
      <x:c r="F18" s="13" t="str">
        <x:v>2022-09</x:v>
      </x:c>
      <x:c r="G18" s="13" t="n">
        <x:v>0</x:v>
      </x:c>
    </x:row>
    <x:row r="19" ht="15" hidden="0" customHeight="1">
      <x:c r="A19" s="13" t="n">
        <x:v>308.6790346891422</x:v>
      </x:c>
      <x:c r="B19" s="13" t="n">
        <x:v>859.9999999999994</x:v>
      </x:c>
      <x:c r="C19" s="13" t="n">
        <x:v>551.3209653108572</x:v>
      </x:c>
      <x:c r="D19" s="13" t="n">
        <x:v>77898.36473599325</x:v>
      </x:c>
      <x:c r="E19" s="13" t="n">
        <x:v>1027707.6488155664</x:v>
      </x:c>
      <x:c r="F19" s="13" t="str">
        <x:v>2022-10</x:v>
      </x:c>
      <x:c r="G19" s="13" t="n">
        <x:v>0.0003004470938441538</x:v>
      </x:c>
    </x:row>
    <x:row r="20" ht="15" hidden="0" customHeight="1">
      <x:c r="A20" s="13" t="n">
        <x:v>11777.350886230608</x:v>
      </x:c>
      <x:c r="B20" s="13" t="n">
        <x:v>13689.999999999993</x:v>
      </x:c>
      <x:c r="C20" s="13" t="n">
        <x:v>1912.6491137693858</x:v>
      </x:c>
      <x:c r="D20" s="13" t="n">
        <x:v>271014.4623063595</x:v>
      </x:c>
      <x:c r="E20" s="13" t="n">
        <x:v>1039484.999701797</x:v>
      </x:c>
      <x:c r="F20" s="13" t="str">
        <x:v>2022-11</x:v>
      </x:c>
      <x:c r="G20" s="13" t="n">
        <x:v>0.011459826050534907</x:v>
      </x:c>
    </x:row>
    <x:row r="21" ht="15" hidden="0" customHeight="1">
      <x:c r="A21" s="13" t="n">
        <x:v>7765.128733634339</x:v>
      </x:c>
      <x:c r="B21" s="13" t="n">
        <x:v>9065.000000000004</x:v>
      </x:c>
      <x:c r="C21" s="13" t="n">
        <x:v>1299.871266365664</x:v>
      </x:c>
      <x:c r="D21" s="13" t="n">
        <x:v>153372.79387351492</x:v>
      </x:c>
      <x:c r="E21" s="13" t="n">
        <x:v>1047250.1284354312</x:v>
      </x:c>
      <x:c r="F21" s="13" t="str">
        <x:v>2022-12</x:v>
      </x:c>
      <x:c r="G21" s="13" t="n">
        <x:v>0.007470169108608558</x:v>
      </x:c>
    </x:row>
    <x:row r="22" ht="15" hidden="0" customHeight="1">
      <x:c r="A22" s="13" t="n">
        <x:v>2087.095768487072</x:v>
      </x:c>
      <x:c r="B22" s="13" t="n">
        <x:v>2540</x:v>
      </x:c>
      <x:c r="C22" s="13" t="n">
        <x:v>452.9042315129281</x:v>
      </x:c>
      <x:c r="D22" s="13" t="n">
        <x:v>61656.75594720015</x:v>
      </x:c>
      <x:c r="E22" s="13" t="n">
        <x:v>1049337.2242039184</x:v>
      </x:c>
      <x:c r="F22" s="13" t="str">
        <x:v>2023-01</x:v>
      </x:c>
      <x:c r="G22" s="13" t="n">
        <x:v>0.0019929295894240157</x:v>
      </x:c>
    </x:row>
    <x:row r="23" ht="15" hidden="0" customHeight="1">
      <x:c r="A23" s="13" t="n">
        <x:v>0</x:v>
      </x:c>
      <x:c r="B23" s="13" t="n">
        <x:v>0</x:v>
      </x:c>
      <x:c r="C23" s="13" t="n">
        <x:v>0</x:v>
      </x:c>
      <x:c r="D23" s="13" t="n">
        <x:v>0</x:v>
      </x:c>
      <x:c r="E23" s="13" t="n">
        <x:v>1049337.2242039184</x:v>
      </x:c>
      <x:c r="F23" s="13" t="str">
        <x:v>2023-02</x:v>
      </x:c>
      <x:c r="G23" s="13" t="n">
        <x:v>0</x:v>
      </x:c>
    </x:row>
    <x:row r="24" ht="15" hidden="0" customHeight="1">
      <x:c r="A24" s="13" t="n">
        <x:v>0</x:v>
      </x:c>
      <x:c r="B24" s="13" t="n">
        <x:v>0</x:v>
      </x:c>
      <x:c r="C24" s="13" t="n">
        <x:v>0</x:v>
      </x:c>
      <x:c r="D24" s="13" t="n">
        <x:v>0</x:v>
      </x:c>
      <x:c r="E24" s="13" t="n">
        <x:v>1049337.2242039184</x:v>
      </x:c>
      <x:c r="F24" s="13" t="str">
        <x:v>2023-03</x:v>
      </x:c>
      <x:c r="G24" s="13" t="n">
        <x:v>0</x:v>
      </x:c>
    </x:row>
    <x:row r="25" ht="15" hidden="0" customHeight="1">
      <x:c r="A25" s="13" t="n">
        <x:v>4038.341690118969</x:v>
      </x:c>
      <x:c r="B25" s="13" t="n">
        <x:v>4459.999999999999</x:v>
      </x:c>
      <x:c r="C25" s="13" t="n">
        <x:v>421.6583098810301</x:v>
      </x:c>
      <x:c r="D25" s="13" t="n">
        <x:v>40579.49798628838</x:v>
      </x:c>
      <x:c r="E25" s="13" t="n">
        <x:v>1053375.5658940373</x:v>
      </x:c>
      <x:c r="F25" s="13" t="str">
        <x:v>2023-04</x:v>
      </x:c>
      <x:c r="G25" s="13" t="n">
        <x:v>0.003848468916351142</x:v>
      </x:c>
    </x:row>
    <x:row r="26" ht="15" hidden="0" customHeight="1">
      <x:c r="A26" s="13" t="n">
        <x:v>-5348.746548017449</x:v>
      </x:c>
      <x:c r="B26" s="13" t="n">
        <x:v>-4517.499999999998</x:v>
      </x:c>
      <x:c r="C26" s="13" t="n">
        <x:v>831.2465480174508</x:v>
      </x:c>
      <x:c r="D26" s="13" t="n">
        <x:v>83968.94855740815</x:v>
      </x:c>
      <x:c r="E26" s="13" t="n">
        <x:v>1048026.81934602</x:v>
      </x:c>
      <x:c r="F26" s="13" t="str">
        <x:v>2023-05</x:v>
      </x:c>
      <x:c r="G26" s="13" t="n">
        <x:v>-0.005077720350839709</x:v>
      </x:c>
    </x:row>
    <x:row r="27" ht="15" hidden="0" customHeight="1">
      <x:c r="A27" s="13" t="n">
        <x:v>9806.682744673948</x:v>
      </x:c>
      <x:c r="B27" s="13" t="n">
        <x:v>11429.999999999998</x:v>
      </x:c>
      <x:c r="C27" s="13" t="n">
        <x:v>1623.317255326051</x:v>
      </x:c>
      <x:c r="D27" s="13" t="n">
        <x:v>155396.25483696867</x:v>
      </x:c>
      <x:c r="E27" s="13" t="n">
        <x:v>1057833.502090694</x:v>
      </x:c>
      <x:c r="F27" s="13" t="str">
        <x:v>2023-06</x:v>
      </x:c>
      <x:c r="G27" s="13" t="n">
        <x:v>0.009357282240919583</x:v>
      </x:c>
    </x:row>
    <x:row r="28" ht="15" hidden="0" customHeight="1">
      <x:c r="A28" s="13" t="n">
        <x:v>1117.6079416080001</x:v>
      </x:c>
      <x:c r="B28" s="13" t="n">
        <x:v>1925.000000000001</x:v>
      </x:c>
      <x:c r="C28" s="13" t="n">
        <x:v>807.3920583920003</x:v>
      </x:c>
      <x:c r="D28" s="13" t="n">
        <x:v>112209.69069066181</x:v>
      </x:c>
      <x:c r="E28" s="13" t="n">
        <x:v>1058951.110032302</x:v>
      </x:c>
      <x:c r="F28" s="13" t="str">
        <x:v>2023-07</x:v>
      </x:c>
      <x:c r="G28" s="13" t="n">
        <x:v>0.00105650647233158</x:v>
      </x:c>
    </x:row>
    <x:row r="29" ht="15" hidden="0" customHeight="1">
      <x:c r="A29" s="13" t="n">
        <x:v>1186.474954215069</x:v>
      </x:c>
      <x:c r="B29" s="13" t="n">
        <x:v>1574.999999999999</x:v>
      </x:c>
      <x:c r="C29" s="13" t="n">
        <x:v>388.5250457849303</x:v>
      </x:c>
      <x:c r="D29" s="13" t="n">
        <x:v>36749.44361144958</x:v>
      </x:c>
      <x:c r="E29" s="13" t="n">
        <x:v>1060137.584986517</x:v>
      </x:c>
      <x:c r="F29" s="13" t="str">
        <x:v>2023-08</x:v>
      </x:c>
      <x:c r="G29" s="13" t="n">
        <x:v>0.0011204246758652315</x:v>
      </x:c>
    </x:row>
    <x:row r="30" ht="15" hidden="0" customHeight="1">
      <x:c r="A30" s="13" t="n">
        <x:v>0</x:v>
      </x:c>
      <x:c r="B30" s="13" t="n">
        <x:v>0</x:v>
      </x:c>
      <x:c r="C30" s="13" t="n">
        <x:v>0</x:v>
      </x:c>
      <x:c r="D30" s="13" t="n">
        <x:v>0</x:v>
      </x:c>
      <x:c r="E30" s="13" t="n">
        <x:v>1060137.584986517</x:v>
      </x:c>
      <x:c r="F30" s="13" t="str">
        <x:v>2023-09</x:v>
      </x:c>
      <x:c r="G30" s="13" t="n">
        <x:v>0</x:v>
      </x:c>
    </x:row>
    <x:row r="31" ht="15" hidden="0" customHeight="1">
      <x:c r="A31" s="13" t="n">
        <x:v>0</x:v>
      </x:c>
      <x:c r="B31" s="13" t="n">
        <x:v>0</x:v>
      </x:c>
      <x:c r="C31" s="13" t="n">
        <x:v>0</x:v>
      </x:c>
      <x:c r="D31" s="13" t="n">
        <x:v>0</x:v>
      </x:c>
      <x:c r="E31" s="13" t="n">
        <x:v>1060137.584986517</x:v>
      </x:c>
      <x:c r="F31" s="13" t="str">
        <x:v>2023-10</x:v>
      </x:c>
      <x:c r="G31" s="13" t="n">
        <x:v>0</x:v>
      </x:c>
    </x:row>
    <x:row r="32" ht="15" hidden="0" customHeight="1">
      <x:c r="A32" s="13" t="n">
        <x:v>0</x:v>
      </x:c>
      <x:c r="B32" s="13" t="n">
        <x:v>0</x:v>
      </x:c>
      <x:c r="C32" s="13" t="n">
        <x:v>0</x:v>
      </x:c>
      <x:c r="D32" s="13" t="n">
        <x:v>0</x:v>
      </x:c>
      <x:c r="E32" s="13" t="n">
        <x:v>1060137.584986517</x:v>
      </x:c>
      <x:c r="F32" s="13" t="str">
        <x:v>2023-11</x:v>
      </x:c>
      <x:c r="G32" s="13" t="n">
        <x:v>0</x:v>
      </x:c>
    </x:row>
    <x:row r="33" ht="15" hidden="0" customHeight="1">
      <x:c r="A33" s="13" t="n">
        <x:v>10697.671364180665</x:v>
      </x:c>
      <x:c r="B33" s="13" t="n">
        <x:v>11532.5</x:v>
      </x:c>
      <x:c r="C33" s="13" t="n">
        <x:v>834.8286358193341</x:v>
      </x:c>
      <x:c r="D33" s="13" t="n">
        <x:v>101674.09945299491</x:v>
      </x:c>
      <x:c r="E33" s="13" t="n">
        <x:v>1070835.2563506975</x:v>
      </x:c>
      <x:c r="F33" s="13" t="str">
        <x:v>2023-12</x:v>
      </x:c>
      <x:c r="G33" s="13" t="n">
        <x:v>0.010090833034956235</x:v>
      </x:c>
    </x:row>
    <x:row r="34" ht="15" hidden="0" customHeight="1">
      <x:c r="A34" s="13" t="n">
        <x:v>-2084.81284121521</x:v>
      </x:c>
      <x:c r="B34" s="13" t="n">
        <x:v>-1697.4999999999995</x:v>
      </x:c>
      <x:c r="C34" s="13" t="n">
        <x:v>387.3128412152107</x:v>
      </x:c>
      <x:c r="D34" s="13" t="n">
        <x:v>32386.44549839864</x:v>
      </x:c>
      <x:c r="E34" s="13" t="n">
        <x:v>1068750.4435094823</x:v>
      </x:c>
      <x:c r="F34" s="13" t="str">
        <x:v>2024-01</x:v>
      </x:c>
      <x:c r="G34" s="13" t="n">
        <x:v>-0.001946903437154329</x:v>
      </x:c>
    </x:row>
    <x:row r="35" ht="15" hidden="0" customHeight="1">
      <x:c r="A35" s="13" t="n">
        <x:v>2286.4981534833337</x:v>
      </x:c>
      <x:c r="B35" s="13" t="n">
        <x:v>2712.5000000000014</x:v>
      </x:c>
      <x:c r="C35" s="13" t="n">
        <x:v>426.0018465166678</x:v>
      </x:c>
      <x:c r="D35" s="13" t="n">
        <x:v>50216.16677406376</x:v>
      </x:c>
      <x:c r="E35" s="13" t="n">
        <x:v>1071036.9416629658</x:v>
      </x:c>
      <x:c r="F35" s="13" t="str">
        <x:v>2024-02</x:v>
      </x:c>
      <x:c r="G35" s="13" t="n">
        <x:v>0.0021394125891308195</x:v>
      </x:c>
    </x:row>
    <x:row r="36" ht="15" hidden="0" customHeight="1">
      <x:c r="A36" s="13" t="n">
        <x:v>7286.350803764285</x:v>
      </x:c>
      <x:c r="B36" s="13" t="n">
        <x:v>7665</x:v>
      </x:c>
      <x:c r="C36" s="13" t="n">
        <x:v>378.6491962357151</x:v>
      </x:c>
      <x:c r="D36" s="13" t="n">
        <x:v>22189.44862753993</x:v>
      </x:c>
      <x:c r="E36" s="13" t="n">
        <x:v>1078323.29246673</x:v>
      </x:c>
      <x:c r="F36" s="13" t="str">
        <x:v>2024-03</x:v>
      </x:c>
      <x:c r="G36" s="13" t="n">
        <x:v>0.0068030807531727095</x:v>
      </x:c>
    </x:row>
    <x:row r="37" ht="15" hidden="0" customHeight="1">
      <x:c r="A37" s="13" t="n">
        <x:v>6174.572505859624</x:v>
      </x:c>
      <x:c r="B37" s="13" t="n">
        <x:v>6562.5</x:v>
      </x:c>
      <x:c r="C37" s="13" t="n">
        <x:v>387.927494140376</x:v>
      </x:c>
      <x:c r="D37" s="13" t="n">
        <x:v>33301.79157901853</x:v>
      </x:c>
      <x:c r="E37" s="13" t="n">
        <x:v>1084497.8649725895</x:v>
      </x:c>
      <x:c r="F37" s="13" t="str">
        <x:v>2024-04</x:v>
      </x:c>
      <x:c r="G37" s="13" t="n">
        <x:v>0.005726086554000809</x:v>
      </x:c>
    </x:row>
    <x:row r="38" ht="15" hidden="0" customHeight="1">
      <x:c r="A38" s="13" t="n">
        <x:v>-4099.381745946359</x:v>
      </x:c>
      <x:c r="B38" s="13" t="n">
        <x:v>-3394.999999999996</x:v>
      </x:c>
      <x:c r="C38" s="13" t="n">
        <x:v>704.381745946363</x:v>
      </x:c>
      <x:c r="D38" s="13" t="n">
        <x:v>117647.04175787709</x:v>
      </x:c>
      <x:c r="E38" s="13" t="n">
        <x:v>1080398.4832266432</x:v>
      </x:c>
      <x:c r="F38" s="13" t="str">
        <x:v>2024-05</x:v>
      </x:c>
      <x:c r="G38" s="13" t="n">
        <x:v>-0.003779981388944431</x:v>
      </x:c>
    </x:row>
    <x:row r="39" ht="15" hidden="0" customHeight="1">
      <x:c r="A39" s="13" t="n">
        <x:v>3470.48981992907</x:v>
      </x:c>
      <x:c r="B39" s="13" t="n">
        <x:v>5096.249999999997</x:v>
      </x:c>
      <x:c r="C39" s="13" t="n">
        <x:v>1625.7601800709267</x:v>
      </x:c>
      <x:c r="D39" s="13" t="n">
        <x:v>369982.0834857196</x:v>
      </x:c>
      <x:c r="E39" s="13" t="n">
        <x:v>1083868.9730465724</x:v>
      </x:c>
      <x:c r="F39" s="13" t="str">
        <x:v>2024-06</x:v>
      </x:c>
      <x:c r="G39" s="13" t="n">
        <x:v>0.003212231295960677</x:v>
      </x:c>
    </x:row>
    <x:row r="40" ht="15" hidden="0" customHeight="1">
      <x:c r="A40" s="13" t="n">
        <x:v>0</x:v>
      </x:c>
      <x:c r="B40" s="13" t="n">
        <x:v>0</x:v>
      </x:c>
      <x:c r="C40" s="13" t="n">
        <x:v>0</x:v>
      </x:c>
      <x:c r="D40" s="13" t="n">
        <x:v>0</x:v>
      </x:c>
      <x:c r="E40" s="13" t="n">
        <x:v>1083868.9730465724</x:v>
      </x:c>
      <x:c r="F40" s="13" t="str">
        <x:v>2024-07</x:v>
      </x:c>
      <x:c r="G40" s="13" t="n">
        <x:v>0</x:v>
      </x:c>
    </x:row>
    <x:row r="41" ht="15" hidden="0" customHeight="1">
      <x:c r="A41" s="13" t="n">
        <x:v>3903.9888551251697</x:v>
      </x:c>
      <x:c r="B41" s="13" t="n">
        <x:v>4322.5</x:v>
      </x:c>
      <x:c r="C41" s="13" t="n">
        <x:v>418.5111448748301</x:v>
      </x:c>
      <x:c r="D41" s="13" t="n">
        <x:v>53034.095650415205</x:v>
      </x:c>
      <x:c r="E41" s="13" t="n">
        <x:v>1087772.9619016976</x:v>
      </x:c>
      <x:c r="F41" s="13" t="str">
        <x:v>2024-08</x:v>
      </x:c>
      <x:c r="G41" s="13" t="n">
        <x:v>0.0036019011081678235</x:v>
      </x:c>
    </x:row>
    <x:row r="42" ht="15" hidden="0" customHeight="1">
      <x:c r="A42" s="13" t="n">
        <x:v>0</x:v>
      </x:c>
      <x:c r="B42" s="13" t="n">
        <x:v>0</x:v>
      </x:c>
      <x:c r="C42" s="13" t="n">
        <x:v>0</x:v>
      </x:c>
      <x:c r="D42" s="13" t="n">
        <x:v>0</x:v>
      </x:c>
      <x:c r="E42" s="13" t="n">
        <x:v>1087772.9619016976</x:v>
      </x:c>
      <x:c r="F42" s="13" t="str">
        <x:v>2024-09</x:v>
      </x:c>
      <x:c r="G42" s="13" t="n">
        <x:v>0</x:v>
      </x:c>
    </x:row>
    <x:row r="43" ht="15" hidden="0" customHeight="1">
      <x:c r="A43" s="13" t="n">
        <x:v>0</x:v>
      </x:c>
      <x:c r="B43" s="13" t="n">
        <x:v>0</x:v>
      </x:c>
      <x:c r="C43" s="13" t="n">
        <x:v>0</x:v>
      </x:c>
      <x:c r="D43" s="13" t="n">
        <x:v>0</x:v>
      </x:c>
      <x:c r="E43" s="13" t="n">
        <x:v>1087772.9619016976</x:v>
      </x:c>
      <x:c r="F43" s="13" t="str">
        <x:v>2024-10</x:v>
      </x:c>
      <x:c r="G43" s="13" t="n">
        <x:v>0</x:v>
      </x:c>
    </x:row>
    <x:row r="44" ht="15" hidden="0" customHeight="1">
      <x:c r="A44" s="13" t="n">
        <x:v>-931.8083987908902</x:v>
      </x:c>
      <x:c r="B44" s="13" t="n">
        <x:v>494.99999999999534</x:v>
      </x:c>
      <x:c r="C44" s="13" t="n">
        <x:v>1426.8083987908856</x:v>
      </x:c>
      <x:c r="D44" s="13" t="n">
        <x:v>347980.76246124326</x:v>
      </x:c>
      <x:c r="E44" s="13" t="n">
        <x:v>1086841.153502907</x:v>
      </x:c>
      <x:c r="F44" s="13" t="str">
        <x:v>2024-11</x:v>
      </x:c>
      <x:c r="G44" s="13" t="n">
        <x:v>-0.0008566202980094829</x:v>
      </x:c>
    </x:row>
    <x:row r="45" ht="15" hidden="0" customHeight="1">
      <x:c r="A45" s="13" t="n">
        <x:v>-893.2816247525583</x:v>
      </x:c>
      <x:c r="B45" s="13" t="n">
        <x:v>470.0000000000047</x:v>
      </x:c>
      <x:c r="C45" s="13" t="n">
        <x:v>1363.281624752563</x:v>
      </x:c>
      <x:c r="D45" s="13" t="n">
        <x:v>325431.98693579744</x:v>
      </x:c>
      <x:c r="E45" s="13" t="n">
        <x:v>1085947.871878154</x:v>
      </x:c>
      <x:c r="F45" s="13" t="str">
        <x:v>2024-12</x:v>
      </x:c>
      <x:c r="G45" s="13" t="n">
        <x:v>-0.0008219063309053923</x:v>
      </x:c>
    </x:row>
    <x:row r="46" ht="15" hidden="0" customHeight="1">
      <x:c r="A46" s="13" t="n">
        <x:v>-1136.4675438846689</x:v>
      </x:c>
      <x:c r="B46" s="13" t="n">
        <x:v>-255.00000000000043</x:v>
      </x:c>
      <x:c r="C46" s="13" t="n">
        <x:v>881.4675438846682</x:v>
      </x:c>
      <x:c r="D46" s="13" t="n">
        <x:v>249946.8414172638</x:v>
      </x:c>
      <x:c r="E46" s="13" t="n">
        <x:v>1084811.4043342697</x:v>
      </x:c>
      <x:c r="F46" s="13" t="str">
        <x:v>2025-01</x:v>
      </x:c>
      <x:c r="G46" s="13" t="n">
        <x:v>-0.0010465212680228753</x:v>
      </x:c>
    </x:row>
    <x:row r="47" ht="15" hidden="0" customHeight="1">
      <x:c r="A47" s="13" t="n">
        <x:v>-860.9479995355159</x:v>
      </x:c>
      <x:c r="B47" s="13" t="n">
        <x:v>-30.000000000002274</x:v>
      </x:c>
      <x:c r="C47" s="13" t="n">
        <x:v>830.9479995355134</x:v>
      </x:c>
      <x:c r="D47" s="13" t="n">
        <x:v>117129.48078136041</x:v>
      </x:c>
      <x:c r="E47" s="13" t="n">
        <x:v>1083950.456334734</x:v>
      </x:c>
      <x:c r="F47" s="13" t="str">
        <x:v>2025-02</x:v>
      </x:c>
      <x:c r="G47" s="13" t="n">
        <x:v>-0.0007936384113364526</x:v>
      </x:c>
    </x:row>
    <x:row r="48" ht="15" hidden="0" customHeight="1">
      <x:c r="A48" s="13" t="n">
        <x:v>3087.0108237288487</x:v>
      </x:c>
      <x:c r="B48" s="13" t="n">
        <x:v>3480</x:v>
      </x:c>
      <x:c r="C48" s="13" t="n">
        <x:v>392.9891762711511</x:v>
      </x:c>
      <x:c r="D48" s="13" t="n">
        <x:v>49203.157336907294</x:v>
      </x:c>
      <x:c r="E48" s="13" t="n">
        <x:v>1087037.4671584626</x:v>
      </x:c>
      <x:c r="F48" s="13" t="str">
        <x:v>2025-03</x:v>
      </x:c>
      <x:c r="G48" s="13" t="n">
        <x:v>0.0028479261258556555</x:v>
      </x:c>
    </x:row>
    <x:row r="49" ht="15" hidden="0" customHeight="1">
      <x:c r="A49" s="13" t="n">
        <x:v>0</x:v>
      </x:c>
      <x:c r="B49" s="13" t="n">
        <x:v>0</x:v>
      </x:c>
      <x:c r="C49" s="13" t="n">
        <x:v>0</x:v>
      </x:c>
      <x:c r="D49" s="13" t="n">
        <x:v>0</x:v>
      </x:c>
      <x:c r="E49" s="13" t="n">
        <x:v>1087037.4671584626</x:v>
      </x:c>
      <x:c r="F49" s="13" t="str">
        <x:v>2025-04</x:v>
      </x:c>
      <x:c r="G49" s="13" t="n">
        <x:v>0</x:v>
      </x:c>
    </x:row>
    <x:row r="50" ht="15" hidden="0" customHeight="1">
      <x:c r="A50" s="13" t="n">
        <x:v>12191.727608612255</x:v>
      </x:c>
      <x:c r="B50" s="13" t="n">
        <x:v>15101.250000000004</x:v>
      </x:c>
      <x:c r="C50" s="13" t="n">
        <x:v>2909.522391387749</x:v>
      </x:c>
      <x:c r="D50" s="13" t="n">
        <x:v>582141.8560653207</x:v>
      </x:c>
      <x:c r="E50" s="13" t="n">
        <x:v>1099229.194767075</x:v>
      </x:c>
      <x:c r="F50" s="13" t="str">
        <x:v>2025-05</x:v>
      </x:c>
      <x:c r="G50" s="13" t="n">
        <x:v>0.011215554180006023</x:v>
      </x:c>
    </x:row>
    <x:row r="51" ht="15" hidden="0" customHeight="1">
      <x:c r="A51" s="13" t="n">
        <x:v>530.6051942625637</x:v>
      </x:c>
      <x:c r="B51" s="13" t="n">
        <x:v>1350.0000000000002</x:v>
      </x:c>
      <x:c r="C51" s="13" t="n">
        <x:v>819.3948057374365</x:v>
      </x:c>
      <x:c r="D51" s="13" t="n">
        <x:v>125967.19138085266</x:v>
      </x:c>
      <x:c r="E51" s="13" t="n">
        <x:v>1099759.7999613376</x:v>
      </x:c>
      <x:c r="F51" s="13" t="str">
        <x:v>2025-06</x:v>
      </x:c>
      <x:c r="G51" s="13" t="n">
        <x:v>0.0004827066064006771</x:v>
      </x:c>
    </x:row>
    <x:row r="52" ht="15" hidden="0" customHeight="1">
      <x:c r="A52" s="13" t="n">
        <x:v>-3499.099664483514</x:v>
      </x:c>
      <x:c r="B52" s="13" t="n">
        <x:v>-2339.999999999998</x:v>
      </x:c>
      <x:c r="C52" s="13" t="n">
        <x:v>1159.0996644835159</x:v>
      </x:c>
      <x:c r="D52" s="13" t="n">
        <x:v>159854.86892035347</x:v>
      </x:c>
      <x:c r="E52" s="13" t="n">
        <x:v>1096260.700296854</x:v>
      </x:c>
      <x:c r="F52" s="13" t="str">
        <x:v>2025-07</x:v>
      </x:c>
      <x:c r="G52" s="13" t="n">
        <x:v>-0.003181694461469247</x:v>
      </x:c>
    </x:row>
    <x:row r="53" ht="15" hidden="0" customHeight="1">
      <x:c r="A53" s="13" t="n">
        <x:v>-335.82954570041375</x:v>
      </x:c>
      <x:c r="B53" s="13" t="n">
        <x:v>434.99999999999864</x:v>
      </x:c>
      <x:c r="C53" s="13" t="n">
        <x:v>770.8295457004123</x:v>
      </x:c>
      <x:c r="D53" s="13" t="n">
        <x:v>101839.9491705491</x:v>
      </x:c>
      <x:c r="E53" s="13" t="n">
        <x:v>1095924.8707511537</x:v>
      </x:c>
      <x:c r="F53" s="13" t="str">
        <x:v>2025-08</x:v>
      </x:c>
      <x:c r="G53" s="13" t="n">
        <x:v>-0.00030634095120756876</x:v>
      </x:c>
    </x:row>
    <x:row r="54" ht="15" hidden="0" customHeight="1">
      <x:c r="A54" s="13" t="n">
        <x:v>6401.874735272076</x:v>
      </x:c>
      <x:c r="B54" s="13" t="n">
        <x:v>7860.000000000001</x:v>
      </x:c>
      <x:c r="C54" s="13" t="n">
        <x:v>1458.1252647279268</x:v>
      </x:c>
      <x:c r="D54" s="13" t="n">
        <x:v>148204.4222769494</x:v>
      </x:c>
      <x:c r="E54" s="13" t="n">
        <x:v>1102326.7454864257</x:v>
      </x:c>
      <x:c r="F54" s="13" t="str">
        <x:v>2025-09</x:v>
      </x:c>
      <x:c r="G54" s="13" t="n">
        <x:v>0.0058415270116866595</x:v>
      </x:c>
    </x:row>
    <x:row r="55" ht="15" hidden="0" customHeight="1">
      <x:c r="A55" s="13" t="n">
        <x:v>3.393893046538267</x:v>
      </x:c>
      <x:c r="B55" s="13" t="n">
        <x:v>374.9999999999999</x:v>
      </x:c>
      <x:c r="C55" s="13" t="n">
        <x:v>371.6061069534616</x:v>
      </x:c>
      <x:c r="D55" s="13" t="n">
        <x:v>42858.05578822616</x:v>
      </x:c>
      <x:c r="E55" s="13" t="n">
        <x:v>1102330.1393794722</x:v>
      </x:c>
      <x:c r="F55" s="13" t="str">
        <x:v>2025-10</x:v>
      </x:c>
      <x:c r="G55" s="13" t="n">
        <x:v>0.0000030788448710283607</x:v>
      </x:c>
    </x:row>
    <x:row r="56" ht="15" hidden="0" customHeight="1">
      <x:c r="A56" s="13" t="n">
        <x:v>2082.664778728697</x:v>
      </x:c>
      <x:c r="B56" s="13" t="n">
        <x:v>2459.999999999999</x:v>
      </x:c>
      <x:c r="C56" s="13" t="n">
        <x:v>377.3352212713016</x:v>
      </x:c>
      <x:c r="D56" s="13" t="n">
        <x:v>50488.994917716205</x:v>
      </x:c>
      <x:c r="E56" s="13" t="n">
        <x:v>1104412.804158201</x:v>
      </x:c>
      <x:c r="F56" s="13" t="str">
        <x:v>2025-11</x:v>
      </x:c>
      <x:c r="G56" s="13" t="n">
        <x:v>0.0018893294343753301</x:v>
      </x:c>
    </x:row>
    <x:row r="57" ht="15" hidden="0" customHeight="1">
      <x:c r="A57" s="13" t="n">
        <x:v>-316.9838309756781</x:v>
      </x:c>
      <x:c r="B57" s="13" t="n">
        <x:v>479.99999999999795</x:v>
      </x:c>
      <x:c r="C57" s="13" t="n">
        <x:v>796.983830975676</x:v>
      </x:c>
      <x:c r="D57" s="13" t="n">
        <x:v>125410.47900976994</x:v>
      </x:c>
      <x:c r="E57" s="13" t="n">
        <x:v>1104095.8203272251</x:v>
      </x:c>
      <x:c r="F57" s="13" t="str">
        <x:v>2025-12</x:v>
      </x:c>
      <x:c r="G57" s="13" t="n">
        <x:v>-0.00028701571530338033</x:v>
      </x:c>
    </x:row>
    <x:row r="58" ht="15" hidden="0" customHeight="1">
      <x:c r="A58" s="13" t="n">
        <x:v>3359.8730773505413</x:v>
      </x:c>
      <x:c r="B58" s="13" t="n">
        <x:v>3753.75</x:v>
      </x:c>
      <x:c r="C58" s="13" t="n">
        <x:v>393.8769226494585</x:v>
      </x:c>
      <x:c r="D58" s="13" t="n">
        <x:v>48469.15241885475</x:v>
      </x:c>
      <x:c r="E58" s="13" t="n">
        <x:v>1107455.6934045758</x:v>
      </x:c>
      <x:c r="F58" s="13" t="str">
        <x:v>2026-01</x:v>
      </x:c>
      <x:c r="G58" s="13" t="n">
        <x:v>0.003043099172637717</x:v>
      </x:c>
    </x:row>
    <x:row r="59" ht="15" hidden="0" customHeight="1">
      <x:c r="A59" s="13" t="n">
        <x:v>2511.78143364003</x:v>
      </x:c>
      <x:c r="B59" s="13" t="n">
        <x:v>2859.999999999999</x:v>
      </x:c>
      <x:c r="C59" s="13" t="n">
        <x:v>348.21856635996846</x:v>
      </x:c>
      <x:c r="D59" s="13" t="n">
        <x:v>39727.9681232072</x:v>
      </x:c>
      <x:c r="E59" s="13" t="n">
        <x:v>1109967.474838216</x:v>
      </x:c>
      <x:c r="F59" s="13" t="str">
        <x:v>2026-02</x:v>
      </x:c>
      <x:c r="G59" s="13" t="n">
        <x:v>0.002268064942551544</x:v>
      </x:c>
    </x:row>
    <x:row r="60" ht="15" hidden="0" customHeight="1">
      <x:c r="A60" s="13" t="n">
        <x:v>-1804.0361761331228</x:v>
      </x:c>
      <x:c r="B60" s="13" t="n">
        <x:v>-260</x:v>
      </x:c>
      <x:c r="C60" s="13" t="n">
        <x:v>1544.0361761331228</x:v>
      </x:c>
      <x:c r="D60" s="13" t="n">
        <x:v>373594.77185369807</x:v>
      </x:c>
      <x:c r="E60" s="13" t="n">
        <x:v>1108163.438662083</x:v>
      </x:c>
      <x:c r="F60" s="13" t="str">
        <x:v>2026-03</x:v>
      </x:c>
      <x:c r="G60" s="13" t="n">
        <x:v>-0.0016253054409509351</x:v>
      </x:c>
    </x:row>
    <x:row r="61" ht="15" hidden="0" customHeight="1">
      <x:c r="A61" s="13" t="n">
        <x:v>-124.3346370268033</x:v>
      </x:c>
      <x:c r="B61" s="13" t="n">
        <x:v>731.2500000000023</x:v>
      </x:c>
      <x:c r="C61" s="13" t="n">
        <x:v>855.5846370268056</x:v>
      </x:c>
      <x:c r="D61" s="13" t="n">
        <x:v>175936.26334033706</x:v>
      </x:c>
      <x:c r="E61" s="13" t="n">
        <x:v>1108039.104025056</x:v>
      </x:c>
      <x:c r="F61" s="13" t="str">
        <x:v>2026-04</x:v>
      </x:c>
      <x:c r="G61" s="13" t="n">
        <x:v>-0.00011219882617397671</x:v>
      </x:c>
    </x:row>
    <x:row r="62" ht="15" hidden="0" customHeight="1">
      <x:c r="A62" s="13" t="n">
        <x:v>-386.1657295800285</x:v>
      </x:c>
      <x:c r="B62" s="13" t="n">
        <x:v>81.2500000000013</x:v>
      </x:c>
      <x:c r="C62" s="13" t="n">
        <x:v>467.41572958002985</x:v>
      </x:c>
      <x:c r="D62" s="13" t="n">
        <x:v>55433.94895626945</x:v>
      </x:c>
      <x:c r="E62" s="13" t="n">
        <x:v>1107652.938295476</x:v>
      </x:c>
      <x:c r="F62" s="13" t="str">
        <x:v>2026-05</x:v>
      </x:c>
      <x:c r="G62" s="13" t="n">
        <x:v>-0.00034851272683179255</x:v>
      </x:c>
    </x:row>
    <x:row r="63" ht="15" hidden="0" customHeight="1">
      <x:c r="A63" s="13" t="n">
        <x:v>1330.5443027988895</x:v>
      </x:c>
      <x:c r="B63" s="13" t="n">
        <x:v>2730.0000000000027</x:v>
      </x:c>
      <x:c r="C63" s="13" t="n">
        <x:v>1399.4556972011133</x:v>
      </x:c>
      <x:c r="D63" s="13" t="n">
        <x:v>227209.0606537442</x:v>
      </x:c>
      <x:c r="E63" s="13" t="n">
        <x:v>1108983.4825982747</x:v>
      </x:c>
      <x:c r="F63" s="13" t="str">
        <x:v>2026-06</x:v>
      </x:c>
      <x:c r="G63" s="13" t="n">
        <x:v>0.0012012285227594958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9" hidden="0" customWidth="1"/>
    <x:col min="4" max="4" width="16" hidden="0" customWidth="1"/>
    <x:col min="5" max="5" width="17" hidden="0" customWidth="1"/>
    <x:col min="6" max="6" width="22" hidden="0" customWidth="1"/>
  </x:cols>
  <x:sheetData>
    <x:row r="1" ht="15" hidden="0" customHeight="1">
      <x:c r="A1" s="12" t="str">
        <x:v>year</x:v>
      </x:c>
      <x:c r="B1" s="12" t="str">
        <x:v>gross_pnl_rupees</x:v>
      </x:c>
      <x:c r="C1" s="12" t="str">
        <x:v>total_cost_rupees</x:v>
      </x:c>
      <x:c r="D1" s="12" t="str">
        <x:v>net_pnl_rupees</x:v>
      </x:c>
      <x:c r="E1" s="12" t="str">
        <x:v>turnover_rupees</x:v>
      </x:c>
      <x:c r="F1" s="12" t="str">
        <x:v>maximum_drawdown_pct</x:v>
      </x:c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15" hidden="0" customHeight="1">
      <x:c r="A2" s="13" t="n">
        <x:v>2021</x:v>
      </x:c>
      <x:c r="B2" s="13" t="n">
        <x:v>26528.75</x:v>
      </x:c>
      <x:c r="C2" s="13" t="n">
        <x:v>6324.973537306089</x:v>
      </x:c>
      <x:c r="D2" s="13" t="n">
        <x:v>20203.77646269391</x:v>
      </x:c>
      <x:c r="E2" s="13" t="n">
        <x:v>672341.1348974213</x:v>
      </x:c>
      <x:c r="F2" s="13" t="n">
        <x:v>-0.0076205277761951</x:v>
      </x:c>
    </x:row>
    <x:row r="3" ht="15" hidden="0" customHeight="1">
      <x:c r="A3" s="13" t="n">
        <x:v>2022</x:v>
      </x:c>
      <x:c r="B3" s="13" t="n">
        <x:v>36494.99999999999</x:v>
      </x:c>
      <x:c r="C3" s="13" t="n">
        <x:v>9448.648027262587</x:v>
      </x:c>
      <x:c r="D3" s="13" t="n">
        <x:v>27046.351972737404</x:v>
      </x:c>
      <x:c r="E3" s="13" t="n">
        <x:v>1380365.5666224163</x:v>
      </x:c>
      <x:c r="F3" s="13" t="n">
        <x:v>-0.0052283369377318</x:v>
      </x:c>
    </x:row>
    <x:row r="4" ht="15" hidden="0" customHeight="1">
      <x:c r="A4" s="13" t="n">
        <x:v>2023</x:v>
      </x:c>
      <x:c r="B4" s="13" t="n">
        <x:v>28945</x:v>
      </x:c>
      <x:c r="C4" s="13" t="n">
        <x:v>5359.8720847337245</x:v>
      </x:c>
      <x:c r="D4" s="13" t="n">
        <x:v>23585.127915266276</x:v>
      </x:c>
      <x:c r="E4" s="13" t="n">
        <x:v>592234.6910829716</x:v>
      </x:c>
      <x:c r="F4" s="13" t="n">
        <x:v>-0.0075583950702939</x:v>
      </x:c>
    </x:row>
    <x:row r="5" ht="15" hidden="0" customHeight="1">
      <x:c r="A5" s="13" t="n">
        <x:v>2024</x:v>
      </x:c>
      <x:c r="B5" s="13" t="n">
        <x:v>22231.250000000004</x:v>
      </x:c>
      <x:c r="C5" s="13" t="n">
        <x:v>7118.634472543537</x:v>
      </x:c>
      <x:c r="D5" s="13" t="n">
        <x:v>15112.615527456464</x:v>
      </x:c>
      <x:c r="E5" s="13" t="n">
        <x:v>1352169.8227700733</x:v>
      </x:c>
      <x:c r="F5" s="13" t="n">
        <x:v>-0.0052828862462556</x:v>
      </x:c>
    </x:row>
    <x:row r="6" ht="15" hidden="0" customHeight="1">
      <x:c r="A6" s="13" t="n">
        <x:v>2025</x:v>
      </x:c>
      <x:c r="B6" s="13" t="n">
        <x:v>28916.249999999996</x:v>
      </x:c>
      <x:c r="C6" s="13" t="n">
        <x:v>10768.301550928813</x:v>
      </x:c>
      <x:c r="D6" s="13" t="n">
        <x:v>18147.948449071187</x:v>
      </x:c>
      <x:c r="E6" s="13" t="n">
        <x:v>1753045.297065269</x:v>
      </x:c>
      <x:c r="F6" s="13" t="n">
        <x:v>-0.0066270989389561</x:v>
      </x:c>
    </x:row>
    <x:row r="7" ht="15" hidden="0" customHeight="1">
      <x:c r="A7" s="13" t="n">
        <x:v>2026</x:v>
      </x:c>
      <x:c r="B7" s="13" t="n">
        <x:v>9896.250000000005</x:v>
      </x:c>
      <x:c r="C7" s="13" t="n">
        <x:v>5008.587728950499</x:v>
      </x:c>
      <x:c r="D7" s="13" t="n">
        <x:v>4887.662271049507</x:v>
      </x:c>
      <x:c r="E7" s="13" t="n">
        <x:v>920371.1653461108</x:v>
      </x:c>
      <x:c r="F7" s="13" t="n">
        <x:v>-0.0027115793205185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11" hidden="0" customWidth="1"/>
  </x:cols>
  <x:sheetData>
    <x:row r="1" ht="15" hidden="0" customHeight="1">
      <x:c r="A1" s="12" t="str">
        <x:v>start_date</x:v>
      </x:c>
      <x:c r="B1" s="12" t="str">
        <x:v>trough_date</x:v>
      </x:c>
      <x:c r="C1" s="12" t="str">
        <x:v>recovery_date</x:v>
      </x:c>
      <x:c r="D1" s="12" t="str">
        <x:v>calendar_days_to_trough</x:v>
      </x:c>
      <x:c r="E1" s="12" t="str">
        <x:v>calendar_days_to_recovery</x:v>
      </x:c>
      <x:c r="F1" s="12" t="str">
        <x:v>maximum_drawdown_rupees</x:v>
      </x:c>
      <x:c r="G1" s="12" t="str">
        <x:v>maximum_drawdown_pct</x:v>
      </x:c>
      <x:c r="H1" s="12" t="str">
        <x:v>recovered</x:v>
      </x:c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15" hidden="0" customHeight="1">
      <x:c r="A2" s="13" t="str">
        <x:v>2023-05-25</x:v>
      </x:c>
      <x:c r="B2" s="13" t="str">
        <x:v>2023-05-25</x:v>
      </x:c>
      <x:c r="C2" s="13" t="str">
        <x:v>2023-06-22</x:v>
      </x:c>
      <x:c r="D2" s="13" t="n">
        <x:v>0</x:v>
      </x:c>
      <x:c r="E2" s="13" t="n">
        <x:v>28</x:v>
      </x:c>
      <x:c r="F2" s="13" t="n">
        <x:v>-7981.72981214535</x:v>
      </x:c>
      <x:c r="G2" s="13" t="n">
        <x:v>-0.0075583950702939</x:v>
      </x:c>
      <x:c r="H2" s="14" t="b">
        <x:v>1</x:v>
      </x:c>
    </x:row>
    <x:row r="3" ht="15" hidden="0" customHeight="1">
      <x:c r="A3" s="13" t="str">
        <x:v>2021-06-03</x:v>
      </x:c>
      <x:c r="B3" s="13" t="str">
        <x:v>2021-06-03</x:v>
      </x:c>
      <x:c r="C3" s="13" t="str">
        <x:v>2021-07-29</x:v>
      </x:c>
      <x:c r="D3" s="13" t="n">
        <x:v>0</x:v>
      </x:c>
      <x:c r="E3" s="13" t="n">
        <x:v>56</x:v>
      </x:c>
      <x:c r="F3" s="13" t="n">
        <x:v>-7659.835597918136</x:v>
      </x:c>
      <x:c r="G3" s="13" t="n">
        <x:v>-0.0076205277761951</x:v>
      </x:c>
      <x:c r="H3" s="14" t="b">
        <x:v>1</x:v>
      </x:c>
    </x:row>
    <x:row r="4" ht="15" hidden="0" customHeight="1">
      <x:c r="A4" s="13" t="str">
        <x:v>2024-11-05</x:v>
      </x:c>
      <x:c r="B4" s="13" t="str">
        <x:v>2025-02-13</x:v>
      </x:c>
      <x:c r="C4" s="13" t="str">
        <x:v>2025-05-08</x:v>
      </x:c>
      <x:c r="D4" s="13" t="n">
        <x:v>100</x:v>
      </x:c>
      <x:c r="E4" s="13" t="n">
        <x:v>184</x:v>
      </x:c>
      <x:c r="F4" s="13" t="n">
        <x:v>-7208.779041643953</x:v>
      </x:c>
      <x:c r="G4" s="13" t="n">
        <x:v>-0.0066270989389561</x:v>
      </x:c>
      <x:c r="H4" s="14" t="b">
        <x:v>1</x:v>
      </x:c>
    </x:row>
    <x:row r="5" ht="15" hidden="0" customHeight="1">
      <x:c r="A5" s="13" t="str">
        <x:v>2024-05-16</x:v>
      </x:c>
      <x:c r="B5" s="13" t="str">
        <x:v>2024-06-10</x:v>
      </x:c>
      <x:c r="C5" s="13" t="str">
        <x:v>2024-08-01</x:v>
      </x:c>
      <x:c r="D5" s="13" t="n">
        <x:v>25</x:v>
      </x:c>
      <x:c r="E5" s="13" t="n">
        <x:v>77</x:v>
      </x:c>
      <x:c r="F5" s="13" t="n">
        <x:v>-5729.278854957316</x:v>
      </x:c>
      <x:c r="G5" s="13" t="n">
        <x:v>-0.0052828862462556</x:v>
      </x:c>
      <x:c r="H5" s="14" t="b">
        <x:v>1</x:v>
      </x:c>
    </x:row>
    <x:row r="6" ht="15" hidden="0" customHeight="1">
      <x:c r="A6" s="13" t="str">
        <x:v>2021-12-23</x:v>
      </x:c>
      <x:c r="B6" s="13" t="str">
        <x:v>2021-12-23</x:v>
      </x:c>
      <x:c r="C6" s="13" t="str">
        <x:v>2022-01-13</x:v>
      </x:c>
      <x:c r="D6" s="13" t="n">
        <x:v>0</x:v>
      </x:c>
      <x:c r="E6" s="13" t="n">
        <x:v>21</x:v>
      </x:c>
      <x:c r="F6" s="13" t="n">
        <x:v>-5463.975508981617</x:v>
      </x:c>
      <x:c r="G6" s="13" t="n">
        <x:v>-0.0053399313106405</x:v>
      </x:c>
      <x:c r="H6" s="14" t="b">
        <x:v>1</x:v>
      </x:c>
    </x:row>
    <x:row r="7" ht="15" hidden="0" customHeight="1">
      <x:c r="A7" s="13" t="str">
        <x:v>2022-04-13</x:v>
      </x:c>
      <x:c r="B7" s="13" t="str">
        <x:v>2022-04-28</x:v>
      </x:c>
      <x:c r="C7" s="13" t="str">
        <x:v>2022-05-26</x:v>
      </x:c>
      <x:c r="D7" s="13" t="n">
        <x:v>15</x:v>
      </x:c>
      <x:c r="E7" s="13" t="n">
        <x:v>43</x:v>
      </x:c>
      <x:c r="F7" s="13" t="n">
        <x:v>-5371.543054530281</x:v>
      </x:c>
      <x:c r="G7" s="13" t="n">
        <x:v>-0.0052283369377318</x:v>
      </x:c>
      <x:c r="H7" s="14" t="b">
        <x:v>1</x:v>
      </x:c>
    </x:row>
    <x:row r="8" ht="15" hidden="0" customHeight="1">
      <x:c r="A8" s="13" t="str">
        <x:v>2025-09-16</x:v>
      </x:c>
      <x:c r="B8" s="13" t="str">
        <x:v>2025-09-16</x:v>
      </x:c>
      <x:c r="C8" s="13" t="str">
        <x:v>2026-01-20</x:v>
      </x:c>
      <x:c r="D8" s="13" t="n">
        <x:v>0</x:v>
      </x:c>
      <x:c r="E8" s="13" t="n">
        <x:v>126</x:v>
      </x:c>
      <x:c r="F8" s="13" t="n">
        <x:v>-5355.818770829821</x:v>
      </x:c>
      <x:c r="G8" s="13" t="n">
        <x:v>-0.004837710590937</x:v>
      </x:c>
      <x:c r="H8" s="14" t="b">
        <x:v>1</x:v>
      </x:c>
    </x:row>
    <x:row r="9" ht="15" hidden="0" customHeight="1">
      <x:c r="A9" s="13" t="str">
        <x:v>2022-05-30</x:v>
      </x:c>
      <x:c r="B9" s="13" t="str">
        <x:v>2022-06-16</x:v>
      </x:c>
      <x:c r="C9" s="13" t="str">
        <x:v>2022-11-10</x:v>
      </x:c>
      <x:c r="D9" s="13" t="n">
        <x:v>17</x:v>
      </x:c>
      <x:c r="E9" s="13" t="n">
        <x:v>164</x:v>
      </x:c>
      <x:c r="F9" s="13" t="n">
        <x:v>-4496.924236995284</x:v>
      </x:c>
      <x:c r="G9" s="13" t="n">
        <x:v>-0.0043609587477035</x:v>
      </x:c>
      <x:c r="H9" s="14" t="b">
        <x:v>1</x:v>
      </x:c>
    </x:row>
    <x:row r="10" ht="15" hidden="0" customHeight="1">
      <x:c r="A10" s="13" t="str">
        <x:v>2025-07-10</x:v>
      </x:c>
      <x:c r="B10" s="13" t="str">
        <x:v>2025-08-28</x:v>
      </x:c>
      <x:c r="C10" s="13" t="str">
        <x:v>2025-09-02</x:v>
      </x:c>
      <x:c r="D10" s="13" t="n">
        <x:v>49</x:v>
      </x:c>
      <x:c r="E10" s="13" t="n">
        <x:v>54</x:v>
      </x:c>
      <x:c r="F10" s="13" t="n">
        <x:v>-4121.990060709184</x:v>
      </x:c>
      <x:c r="G10" s="13" t="n">
        <x:v>-0.0037471040621551</x:v>
      </x:c>
      <x:c r="H10" s="14" t="b">
        <x:v>1</x:v>
      </x:c>
    </x:row>
    <x:row r="11" ht="15" hidden="0" customHeight="1">
      <x:c r="A11" s="13" t="str">
        <x:v>2021-10-14</x:v>
      </x:c>
      <x:c r="B11" s="13" t="str">
        <x:v>2021-10-14</x:v>
      </x:c>
      <x:c r="C11" s="13" t="str">
        <x:v>2021-10-21</x:v>
      </x:c>
      <x:c r="D11" s="13" t="n">
        <x:v>0</x:v>
      </x:c>
      <x:c r="E11" s="13" t="n">
        <x:v>7</x:v>
      </x:c>
      <x:c r="F11" s="13" t="n">
        <x:v>-3210.18386664195</x:v>
      </x:c>
      <x:c r="G11" s="13" t="n">
        <x:v>-0.0031609102217352</x:v>
      </x:c>
      <x:c r="H11" s="14" t="b">
        <x:v>1</x:v>
      </x:c>
    </x:row>
    <x:row r="12" ht="15" hidden="0" customHeight="1">
      <x:c r="A12" s="13" t="str">
        <x:v>2025-05-12</x:v>
      </x:c>
      <x:c r="B12" s="13" t="str">
        <x:v>2025-05-19</x:v>
      </x:c>
      <x:c r="C12" s="13" t="str">
        <x:v>2025-06-12</x:v>
      </x:c>
      <x:c r="D12" s="13" t="n">
        <x:v>7</x:v>
      </x:c>
      <x:c r="E12" s="13" t="n">
        <x:v>31</x:v>
      </x:c>
      <x:c r="F12" s="13" t="n">
        <x:v>-2602.5131869465117</x:v>
      </x:c>
      <x:c r="G12" s="13" t="n">
        <x:v>-0.0023670611767725</x:v>
      </x:c>
      <x:c r="H12" s="14" t="b">
        <x:v>1</x:v>
      </x:c>
    </x:row>
    <x:row r="13" ht="15" hidden="0" customHeight="1">
      <x:c r="A13" s="13" t="str">
        <x:v>2026-03-06</x:v>
      </x:c>
      <x:c r="B13" s="13" t="str">
        <x:v>2026-05-05</x:v>
      </x:c>
      <x:c r="C13" s="13"/>
      <x:c r="D13" s="13" t="n">
        <x:v>60</x:v>
      </x:c>
      <x:c r="E13" s="13"/>
      <x:c r="F13" s="13" t="n">
        <x:v>-2314.536542739952</x:v>
      </x:c>
      <x:c r="G13" s="13" t="n">
        <x:v>-0.0020852291577978</x:v>
      </x:c>
      <x:c r="H13" s="14" t="b">
        <x:v>0</x:v>
      </x:c>
    </x:row>
    <x:row r="14" ht="15" hidden="0" customHeight="1">
      <x:c r="A14" s="13" t="str">
        <x:v>2024-01-11</x:v>
      </x:c>
      <x:c r="B14" s="13" t="str">
        <x:v>2024-01-11</x:v>
      </x:c>
      <x:c r="C14" s="13" t="str">
        <x:v>2024-02-15</x:v>
      </x:c>
      <x:c r="D14" s="13" t="n">
        <x:v>0</x:v>
      </x:c>
      <x:c r="E14" s="13" t="n">
        <x:v>35</x:v>
      </x:c>
      <x:c r="F14" s="13" t="n">
        <x:v>-2084.812841215171</x:v>
      </x:c>
      <x:c r="G14" s="13" t="n">
        <x:v>-0.0019469034371543</x:v>
      </x:c>
      <x:c r="H14" s="14" t="b">
        <x:v>1</x:v>
      </x:c>
    </x:row>
    <x:row r="15" ht="15" hidden="0" customHeight="1">
      <x:c r="A15" s="13" t="str">
        <x:v>2021-09-02</x:v>
      </x:c>
      <x:c r="B15" s="13" t="str">
        <x:v>2021-09-02</x:v>
      </x:c>
      <x:c r="C15" s="13" t="str">
        <x:v>2021-09-30</x:v>
      </x:c>
      <x:c r="D15" s="13" t="n">
        <x:v>0</x:v>
      </x:c>
      <x:c r="E15" s="13" t="n">
        <x:v>28</x:v>
      </x:c>
      <x:c r="F15" s="13" t="n">
        <x:v>-872.2448379911948</x:v>
      </x:c>
      <x:c r="G15" s="13" t="n">
        <x:v>-0.0008621091759006</x:v>
      </x:c>
      <x:c r="H15" s="14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6" hidden="0" customWidth="1"/>
    <x:col min="5" max="5" width="22" hidden="0" customWidth="1"/>
    <x:col min="6" max="6" width="15" hidden="0" customWidth="1"/>
    <x:col min="7" max="7" width="17" hidden="0" customWidth="1"/>
    <x:col min="8" max="8" width="16" hidden="0" customWidth="1"/>
    <x:col min="9" max="9" width="23" hidden="0" customWidth="1"/>
    <x:col min="10" max="10" width="23" hidden="0" customWidth="1"/>
    <x:col min="11" max="11" width="24" hidden="0" customWidth="1"/>
    <x:col min="12" max="12" width="24" hidden="0" customWidth="1"/>
    <x:col min="13" max="13" width="19" hidden="0" customWidth="1"/>
  </x:cols>
  <x:sheetData>
    <x:row r="1" ht="15" hidden="0" customHeight="1">
      <x:c r="A1" s="12" t="str">
        <x:v>lots</x:v>
      </x:c>
      <x:c r="B1" s="12" t="str">
        <x:v>trades</x:v>
      </x:c>
      <x:c r="C1" s="12" t="str">
        <x:v>gross_pnl_rupees</x:v>
      </x:c>
      <x:c r="D1" s="12" t="str">
        <x:v>charges_rupees</x:v>
      </x:c>
      <x:c r="E1" s="12" t="str">
        <x:v>base_slippage_rupees</x:v>
      </x:c>
      <x:c r="F1" s="12" t="str">
        <x:v>impact_rupees</x:v>
      </x:c>
      <x:c r="G1" s="12" t="str">
        <x:v>slippage_rupees</x:v>
      </x:c>
      <x:c r="H1" s="12" t="str">
        <x:v>net_pnl_rupees</x:v>
      </x:c>
      <x:c r="I1" s="12" t="str">
        <x:v>average_margin_rupees</x:v>
      </x:c>
      <x:c r="J1" s="12" t="str">
        <x:v>maximum_margin_rupees</x:v>
      </x:c>
      <x:c r="K1" s="12" t="str">
        <x:v>net_pnl_per_lot_rupees</x:v>
      </x:c>
      <x:c r="L1" s="12" t="str">
        <x:v>impact_to_base_slippage</x:v>
      </x:c>
      <x:c r="M1" s="12" t="str">
        <x:v>slippage_to_gross</x:v>
      </x:c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15" hidden="0" customHeight="1">
      <x:c r="A2" s="13" t="n">
        <x:v>1</x:v>
      </x:c>
      <x:c r="B2" s="13" t="n">
        <x:v>86</x:v>
      </x:c>
      <x:c r="C2" s="13" t="n">
        <x:v>25148</x:v>
      </x:c>
      <x:c r="D2" s="13" t="n">
        <x:v>17269.701510208848</x:v>
      </x:c>
      <x:c r="E2" s="13" t="n">
        <x:v>3400.951726502261</x:v>
      </x:c>
      <x:c r="F2" s="13" t="n">
        <x:v>0</x:v>
      </x:c>
      <x:c r="G2" s="13" t="n">
        <x:v>3400.951726502261</x:v>
      </x:c>
      <x:c r="H2" s="13" t="n">
        <x:v>4477.346763288891</x:v>
      </x:c>
      <x:c r="I2" s="13" t="n">
        <x:v>59020.51567327469</x:v>
      </x:c>
      <x:c r="J2" s="13" t="n">
        <x:v>103692.61713199546</x:v>
      </x:c>
      <x:c r="K2" s="13" t="n">
        <x:v>4477.346763288891</x:v>
      </x:c>
      <x:c r="L2" s="13" t="n">
        <x:v>0</x:v>
      </x:c>
      <x:c r="M2" s="13" t="n">
        <x:v>0.1352374632774877</x:v>
      </x:c>
    </x:row>
    <x:row r="3" ht="15" hidden="0" customHeight="1">
      <x:c r="A3" s="13" t="n">
        <x:v>2</x:v>
      </x:c>
      <x:c r="B3" s="13" t="n">
        <x:v>86</x:v>
      </x:c>
      <x:c r="C3" s="13" t="n">
        <x:v>50296</x:v>
      </x:c>
      <x:c r="D3" s="13" t="n">
        <x:v>18302.519550054873</x:v>
      </x:c>
      <x:c r="E3" s="13" t="n">
        <x:v>6801.903453004522</x:v>
      </x:c>
      <x:c r="F3" s="13" t="n">
        <x:v>217.4448879637586</x:v>
      </x:c>
      <x:c r="G3" s="13" t="n">
        <x:v>7019.34834096828</x:v>
      </x:c>
      <x:c r="H3" s="13" t="n">
        <x:v>24974.132108976846</x:v>
      </x:c>
      <x:c r="I3" s="13" t="n">
        <x:v>118041.03134654938</x:v>
      </x:c>
      <x:c r="J3" s="13" t="n">
        <x:v>207385.23426399092</x:v>
      </x:c>
      <x:c r="K3" s="13" t="n">
        <x:v>12487.066054488423</x:v>
      </x:c>
      <x:c r="L3" s="13" t="n">
        <x:v>0.03196824087053298</x:v>
      </x:c>
      <x:c r="M3" s="13" t="n">
        <x:v>0.1395607670782623</x:v>
      </x:c>
    </x:row>
    <x:row r="4" ht="15" hidden="0" customHeight="1">
      <x:c r="A4" s="13" t="n">
        <x:v>3</x:v>
      </x:c>
      <x:c r="B4" s="13" t="n">
        <x:v>86</x:v>
      </x:c>
      <x:c r="C4" s="13" t="n">
        <x:v>75444</x:v>
      </x:c>
      <x:c r="D4" s="13" t="n">
        <x:v>19335.28770208549</x:v>
      </x:c>
      <x:c r="E4" s="13" t="n">
        <x:v>10202.855179506781</x:v>
      </x:c>
      <x:c r="F4" s="13" t="n">
        <x:v>562.5701659528818</x:v>
      </x:c>
      <x:c r="G4" s="13" t="n">
        <x:v>10765.425345459664</x:v>
      </x:c>
      <x:c r="H4" s="13" t="n">
        <x:v>45343.286952454844</x:v>
      </x:c>
      <x:c r="I4" s="13" t="n">
        <x:v>177061.5470198241</x:v>
      </x:c>
      <x:c r="J4" s="13" t="n">
        <x:v>311077.8513959864</x:v>
      </x:c>
      <x:c r="K4" s="13" t="n">
        <x:v>15114.428984151615</x:v>
      </x:c>
      <x:c r="L4" s="13" t="n">
        <x:v>0.05513850349290924</x:v>
      </x:c>
      <x:c r="M4" s="13" t="n">
        <x:v>0.14269425461878563</x:v>
      </x:c>
    </x:row>
    <x:row r="5" ht="15" hidden="0" customHeight="1">
      <x:c r="A5" s="13" t="n">
        <x:v>4</x:v>
      </x:c>
      <x:c r="B5" s="13" t="n">
        <x:v>86</x:v>
      </x:c>
      <x:c r="C5" s="13" t="n">
        <x:v>100592</x:v>
      </x:c>
      <x:c r="D5" s="13" t="n">
        <x:v>20368.002138994696</x:v>
      </x:c>
      <x:c r="E5" s="13" t="n">
        <x:v>13603.806906009044</x:v>
      </x:c>
      <x:c r="F5" s="13" t="n">
        <x:v>1045.6060347251973</x:v>
      </x:c>
      <x:c r="G5" s="13" t="n">
        <x:v>14649.41294073424</x:v>
      </x:c>
      <x:c r="H5" s="13" t="n">
        <x:v>65574.58492027107</x:v>
      </x:c>
      <x:c r="I5" s="13" t="n">
        <x:v>236082.06269309876</x:v>
      </x:c>
      <x:c r="J5" s="13" t="n">
        <x:v>414770.46852798184</x:v>
      </x:c>
      <x:c r="K5" s="13" t="n">
        <x:v>16393.646230067767</x:v>
      </x:c>
      <x:c r="L5" s="13" t="n">
        <x:v>0.07686128169485665</x:v>
      </x:c>
      <x:c r="M5" s="13" t="n">
        <x:v>0.14563198803815652</x:v>
      </x:c>
    </x:row>
    <x:row r="6" ht="15" hidden="0" customHeight="1">
      <x:c r="A6" s="13" t="n">
        <x:v>5</x:v>
      </x:c>
      <x:c r="B6" s="13" t="n">
        <x:v>86</x:v>
      </x:c>
      <x:c r="C6" s="13" t="n">
        <x:v>125740</x:v>
      </x:c>
      <x:c r="D6" s="13" t="n">
        <x:v>21400.663944064083</x:v>
      </x:c>
      <x:c r="E6" s="13" t="n">
        <x:v>17004.758632511304</x:v>
      </x:c>
      <x:c r="F6" s="13" t="n">
        <x:v>1663.6569358361253</x:v>
      </x:c>
      <x:c r="G6" s="13" t="n">
        <x:v>18668.415568347427</x:v>
      </x:c>
      <x:c r="H6" s="13" t="n">
        <x:v>85670.92048758849</x:v>
      </x:c>
      <x:c r="I6" s="13" t="n">
        <x:v>295102.5783663735</x:v>
      </x:c>
      <x:c r="J6" s="13" t="n">
        <x:v>518463.0856599773</x:v>
      </x:c>
      <x:c r="K6" s="13" t="n">
        <x:v>17134.184097517697</x:v>
      </x:c>
      <x:c r="L6" s="13" t="n">
        <x:v>0.09783478682581173</x:v>
      </x:c>
      <x:c r="M6" s="13" t="n">
        <x:v>0.14846839166810424</x:v>
      </x:c>
    </x:row>
    <x:row r="7" ht="15" hidden="0" customHeight="1">
      <x:c r="A7" s="13" t="n">
        <x:v>6</x:v>
      </x:c>
      <x:c r="B7" s="13" t="n">
        <x:v>86</x:v>
      </x:c>
      <x:c r="C7" s="13" t="n">
        <x:v>150888</x:v>
      </x:c>
      <x:c r="D7" s="13" t="n">
        <x:v>22433.273912697747</x:v>
      </x:c>
      <x:c r="E7" s="13" t="n">
        <x:v>20405.710359013563</x:v>
      </x:c>
      <x:c r="F7" s="13" t="n">
        <x:v>2414.596793271588</x:v>
      </x:c>
      <x:c r="G7" s="13" t="n">
        <x:v>22820.307152285153</x:v>
      </x:c>
      <x:c r="H7" s="13" t="n">
        <x:v>105634.41893501711</x:v>
      </x:c>
      <x:c r="I7" s="13" t="n">
        <x:v>354123.0940396482</x:v>
      </x:c>
      <x:c r="J7" s="13" t="n">
        <x:v>622155.7027919728</x:v>
      </x:c>
      <x:c r="K7" s="13" t="n">
        <x:v>17605.736489169518</x:v>
      </x:c>
      <x:c r="L7" s="13" t="n">
        <x:v>0.11832946517370409</x:v>
      </x:c>
      <x:c r="M7" s="13" t="n">
        <x:v>0.15124003997856128</x:v>
      </x:c>
    </x:row>
    <x:row r="8" ht="15" hidden="0" customHeight="1">
      <x:c r="A8" s="13" t="n">
        <x:v>7</x:v>
      </x:c>
      <x:c r="B8" s="13" t="n">
        <x:v>86</x:v>
      </x:c>
      <x:c r="C8" s="13" t="n">
        <x:v>176036</x:v>
      </x:c>
      <x:c r="D8" s="13" t="n">
        <x:v>23465.832637269028</x:v>
      </x:c>
      <x:c r="E8" s="13" t="n">
        <x:v>23806.662085515825</x:v>
      </x:c>
      <x:c r="F8" s="13" t="n">
        <x:v>3296.8422221993674</x:v>
      </x:c>
      <x:c r="G8" s="13" t="n">
        <x:v>27103.504307715193</x:v>
      </x:c>
      <x:c r="H8" s="13" t="n">
        <x:v>125466.66305501579</x:v>
      </x:c>
      <x:c r="I8" s="13" t="n">
        <x:v>413143.60971292283</x:v>
      </x:c>
      <x:c r="J8" s="13" t="n">
        <x:v>725848.3199239682</x:v>
      </x:c>
      <x:c r="K8" s="13" t="n">
        <x:v>17923.8090078594</x:v>
      </x:c>
      <x:c r="L8" s="13" t="n">
        <x:v>0.13848401806002003</x:v>
      </x:c>
      <x:c r="M8" s="13" t="n">
        <x:v>0.1539656905843986</x:v>
      </x:c>
    </x:row>
    <x:row r="9" ht="15" hidden="0" customHeight="1">
      <x:c r="A9" s="13" t="n">
        <x:v>8</x:v>
      </x:c>
      <x:c r="B9" s="13" t="n">
        <x:v>86</x:v>
      </x:c>
      <x:c r="C9" s="13" t="n">
        <x:v>201184</x:v>
      </x:c>
      <x:c r="D9" s="13" t="n">
        <x:v>24498.340577375206</x:v>
      </x:c>
      <x:c r="E9" s="13" t="n">
        <x:v>27207.613812018088</x:v>
      </x:c>
      <x:c r="F9" s="13" t="n">
        <x:v>4309.164741692217</x:v>
      </x:c>
      <x:c r="G9" s="13" t="n">
        <x:v>31516.7785537103</x:v>
      </x:c>
      <x:c r="H9" s="13" t="n">
        <x:v>145168.88086891448</x:v>
      </x:c>
      <x:c r="I9" s="13" t="n">
        <x:v>472164.1253861975</x:v>
      </x:c>
      <x:c r="J9" s="13" t="n">
        <x:v>829540.9370559637</x:v>
      </x:c>
      <x:c r="K9" s="13" t="n">
        <x:v>18146.11010861431</x:v>
      </x:c>
      <x:c r="L9" s="13" t="n">
        <x:v>0.15838084043183465</x:v>
      </x:c>
      <x:c r="M9" s="13" t="n">
        <x:v>0.15665648636924556</x:v>
      </x:c>
    </x:row>
    <x:row r="10" ht="15" hidden="0" customHeight="1">
      <x:c r="A10" s="13" t="n">
        <x:v>9</x:v>
      </x:c>
      <x:c r="B10" s="13" t="n">
        <x:v>86</x:v>
      </x:c>
      <x:c r="C10" s="13" t="n">
        <x:v>226332</x:v>
      </x:c>
      <x:c r="D10" s="13" t="n">
        <x:v>25530.79810203556</x:v>
      </x:c>
      <x:c r="E10" s="13" t="n">
        <x:v>30608.565538520346</x:v>
      </x:c>
      <x:c r="F10" s="13" t="n">
        <x:v>5450.577981379687</x:v>
      </x:c>
      <x:c r="G10" s="13" t="n">
        <x:v>36059.14351990003</x:v>
      </x:c>
      <x:c r="H10" s="13" t="n">
        <x:v>164742.0583780644</x:v>
      </x:c>
      <x:c r="I10" s="13" t="n">
        <x:v>531184.6410594723</x:v>
      </x:c>
      <x:c r="J10" s="13" t="n">
        <x:v>933233.5541879592</x:v>
      </x:c>
      <x:c r="K10" s="13" t="n">
        <x:v>18304.673153118267</x:v>
      </x:c>
      <x:c r="L10" s="13" t="n">
        <x:v>0.17807361715531</x:v>
      </x:c>
      <x:c r="M10" s="13" t="n">
        <x:v>0.15931968753821835</x:v>
      </x:c>
    </x:row>
    <x:row r="11" ht="15" hidden="0" customHeight="1">
      <x:c r="A11" s="13" t="n">
        <x:v>10</x:v>
      </x:c>
      <x:c r="B11" s="13" t="n">
        <x:v>86</x:v>
      </x:c>
      <x:c r="C11" s="13" t="n">
        <x:v>251480</x:v>
      </x:c>
      <x:c r="D11" s="13" t="n">
        <x:v>26563.205515649883</x:v>
      </x:c>
      <x:c r="E11" s="13" t="n">
        <x:v>34009.51726502261</x:v>
      </x:c>
      <x:c r="F11" s="13" t="n">
        <x:v>6720.268295560373</x:v>
      </x:c>
      <x:c r="G11" s="13" t="n">
        <x:v>40729.78556058298</x:v>
      </x:c>
      <x:c r="H11" s="13" t="n">
        <x:v>184187.00892376713</x:v>
      </x:c>
      <x:c r="I11" s="13" t="n">
        <x:v>590205.156732747</x:v>
      </x:c>
      <x:c r="J11" s="13" t="n">
        <x:v>1036926.1713199546</x:v>
      </x:c>
      <x:c r="K11" s="13" t="n">
        <x:v>18418.700892376713</x:v>
      </x:c>
      <x:c r="L11" s="13" t="n">
        <x:v>0.19759963786583626</x:v>
      </x:c>
      <x:c r="M11" s="13" t="n">
        <x:v>0.1619603370470136</x:v>
      </x:c>
    </x:row>
    <x:row r="12" ht="15" hidden="0" customHeight="1">
      <x:c r="A12" s="13" t="n">
        <x:v>11</x:v>
      </x:c>
      <x:c r="B12" s="13" t="n">
        <x:v>86</x:v>
      </x:c>
      <x:c r="C12" s="13" t="n">
        <x:v>276628</x:v>
      </x:c>
      <x:c r="D12" s="13" t="n">
        <x:v>27595.56307474362</x:v>
      </x:c>
      <x:c r="E12" s="13" t="n">
        <x:v>37410.46899152487</x:v>
      </x:c>
      <x:c r="F12" s="13" t="n">
        <x:v>8117.55000435573</x:v>
      </x:c>
      <x:c r="G12" s="13" t="n">
        <x:v>45528.0189958806</x:v>
      </x:c>
      <x:c r="H12" s="13" t="n">
        <x:v>203504.41792937578</x:v>
      </x:c>
      <x:c r="I12" s="13" t="n">
        <x:v>649225.6724060216</x:v>
      </x:c>
      <x:c r="J12" s="13" t="n">
        <x:v>1140618.78845195</x:v>
      </x:c>
      <x:c r="K12" s="13" t="n">
        <x:v>18500.40162994325</x:v>
      </x:c>
      <x:c r="L12" s="13" t="n">
        <x:v>0.21698605291996514</x:v>
      </x:c>
      <x:c r="M12" s="13" t="n">
        <x:v>0.1645821066409785</x:v>
      </x:c>
    </x:row>
    <x:row r="13" ht="15" hidden="0" customHeight="1">
      <x:c r="A13" s="13" t="n">
        <x:v>12</x:v>
      </x:c>
      <x:c r="B13" s="13" t="n">
        <x:v>86</x:v>
      </x:c>
      <x:c r="C13" s="13" t="n">
        <x:v>301776</x:v>
      </x:c>
      <x:c r="D13" s="13" t="n">
        <x:v>28627.870999258</x:v>
      </x:c>
      <x:c r="E13" s="13" t="n">
        <x:v>40811.420718027126</x:v>
      </x:c>
      <x:c r="F13" s="13" t="n">
        <x:v>9641.835215659683</x:v>
      </x:c>
      <x:c r="G13" s="13" t="n">
        <x:v>50453.255933686814</x:v>
      </x:c>
      <x:c r="H13" s="13" t="n">
        <x:v>222694.8730670552</x:v>
      </x:c>
      <x:c r="I13" s="13" t="n">
        <x:v>708246.1880792964</x:v>
      </x:c>
      <x:c r="J13" s="13" t="n">
        <x:v>1244311.4055839456</x:v>
      </x:c>
      <x:c r="K13" s="13" t="n">
        <x:v>18557.906088921267</x:v>
      </x:c>
      <x:c r="L13" s="13" t="n">
        <x:v>0.23625335864381497</x:v>
      </x:c>
      <x:c r="M13" s="13" t="n">
        <x:v>0.16718776819126377</x:v>
      </x:c>
    </x:row>
    <x:row r="14" ht="15" hidden="0" customHeight="1">
      <x:c r="A14" s="13" t="n">
        <x:v>13</x:v>
      </x:c>
      <x:c r="B14" s="13" t="n">
        <x:v>86</x:v>
      </x:c>
      <x:c r="C14" s="13" t="n">
        <x:v>326924</x:v>
      </x:c>
      <x:c r="D14" s="13" t="n">
        <x:v>29660.12948045536</x:v>
      </x:c>
      <x:c r="E14" s="13" t="n">
        <x:v>44212.37244452939</x:v>
      </x:c>
      <x:c r="F14" s="13" t="n">
        <x:v>11292.612694648975</x:v>
      </x:c>
      <x:c r="G14" s="13" t="n">
        <x:v>55504.98513917837</x:v>
      </x:c>
      <x:c r="H14" s="13" t="n">
        <x:v>241758.88538036626</x:v>
      </x:c>
      <x:c r="I14" s="13" t="n">
        <x:v>767266.703752571</x:v>
      </x:c>
      <x:c r="J14" s="13" t="n">
        <x:v>1348004.022715941</x:v>
      </x:c>
      <x:c r="K14" s="13" t="n">
        <x:v>18596.837336951252</x:v>
      </x:c>
      <x:c r="L14" s="13" t="n">
        <x:v>0.2554174786439506</x:v>
      </x:c>
      <x:c r="M14" s="13" t="n">
        <x:v>0.16977947516602748</x:v>
      </x:c>
    </x:row>
    <x:row r="15" ht="15" hidden="0" customHeight="1">
      <x:c r="A15" s="13" t="n">
        <x:v>14</x:v>
      </x:c>
      <x:c r="B15" s="13" t="n">
        <x:v>86</x:v>
      </x:c>
      <x:c r="C15" s="13" t="n">
        <x:v>352072</x:v>
      </x:c>
      <x:c r="D15" s="13" t="n">
        <x:v>30692.338686633437</x:v>
      </x:c>
      <x:c r="E15" s="13" t="n">
        <x:v>47613.32417103165</x:v>
      </x:c>
      <x:c r="F15" s="13" t="n">
        <x:v>13069.432589773569</x:v>
      </x:c>
      <x:c r="G15" s="13" t="n">
        <x:v>60682.75676080522</x:v>
      </x:c>
      <x:c r="H15" s="13" t="n">
        <x:v>260696.90455256135</x:v>
      </x:c>
      <x:c r="I15" s="13" t="n">
        <x:v>826287.2194258457</x:v>
      </x:c>
      <x:c r="J15" s="13" t="n">
        <x:v>1451696.6398479363</x:v>
      </x:c>
      <x:c r="K15" s="13" t="n">
        <x:v>18621.207468040095</x:v>
      </x:c>
      <x:c r="L15" s="13" t="n">
        <x:v>0.2744910761287514</x:v>
      </x:c>
      <x:c r="M15" s="13" t="n">
        <x:v>0.1723589401054478</x:v>
      </x:c>
    </x:row>
    <x:row r="16" ht="15" hidden="0" customHeight="1">
      <x:c r="A16" s="13" t="n">
        <x:v>15</x:v>
      </x:c>
      <x:c r="B16" s="13" t="n">
        <x:v>86</x:v>
      </x:c>
      <x:c r="C16" s="13" t="n">
        <x:v>377220</x:v>
      </x:c>
      <x:c r="D16" s="13" t="n">
        <x:v>31724.498767368565</x:v>
      </x:c>
      <x:c r="E16" s="13" t="n">
        <x:v>51014.27589753391</x:v>
      </x:c>
      <x:c r="F16" s="13" t="n">
        <x:v>14971.895090808011</x:v>
      </x:c>
      <x:c r="G16" s="13" t="n">
        <x:v>65986.17098834192</x:v>
      </x:c>
      <x:c r="H16" s="13" t="n">
        <x:v>279509.33024428954</x:v>
      </x:c>
      <x:c r="I16" s="13" t="n">
        <x:v>885307.7350991204</x:v>
      </x:c>
      <x:c r="J16" s="13" t="n">
        <x:v>1555389.2569799318</x:v>
      </x:c>
      <x:c r="K16" s="13" t="n">
        <x:v>18633.955349619304</x:v>
      </x:c>
      <x:c r="L16" s="13" t="n">
        <x:v>0.2934844183788909</x:v>
      </x:c>
      <x:c r="M16" s="13" t="n">
        <x:v>0.1749275515305178</x:v>
      </x:c>
    </x:row>
    <x:row r="17" ht="15" hidden="0" customHeight="1">
      <x:c r="A17" s="13" t="n">
        <x:v>16</x:v>
      </x:c>
      <x:c r="B17" s="13" t="n">
        <x:v>86</x:v>
      </x:c>
      <x:c r="C17" s="13" t="n">
        <x:v>402368</x:v>
      </x:c>
      <x:c r="D17" s="13" t="n">
        <x:v>32756.609856739757</x:v>
      </x:c>
      <x:c r="E17" s="13" t="n">
        <x:v>54415.227624036175</x:v>
      </x:c>
      <x:c r="F17" s="13" t="n">
        <x:v>16999.64181116793</x:v>
      </x:c>
      <x:c r="G17" s="13" t="n">
        <x:v>71414.8694352041</x:v>
      </x:c>
      <x:c r="H17" s="13" t="n">
        <x:v>298196.5207080561</x:v>
      </x:c>
      <x:c r="I17" s="13" t="n">
        <x:v>944328.250772395</x:v>
      </x:c>
      <x:c r="J17" s="13" t="n">
        <x:v>1659081.8741119273</x:v>
      </x:c>
      <x:c r="K17" s="13" t="n">
        <x:v>18637.282544253507</x:v>
      </x:c>
      <x:c r="L17" s="13" t="n">
        <x:v>0.31240596710577545</x:v>
      </x:c>
      <x:c r="M17" s="13" t="n">
        <x:v>0.17748645378162306</x:v>
      </x:c>
    </x:row>
    <x:row r="18" ht="15" hidden="0" customHeight="1">
      <x:c r="A18" s="13" t="n">
        <x:v>17</x:v>
      </x:c>
      <x:c r="B18" s="13" t="n">
        <x:v>86</x:v>
      </x:c>
      <x:c r="C18" s="13" t="n">
        <x:v>427516</x:v>
      </x:c>
      <x:c r="D18" s="13" t="n">
        <x:v>33788.67207582718</x:v>
      </x:c>
      <x:c r="E18" s="13" t="n">
        <x:v>57816.179350538434</x:v>
      </x:c>
      <x:c r="F18" s="13" t="n">
        <x:v>19152.349109521372</x:v>
      </x:c>
      <x:c r="G18" s="13" t="n">
        <x:v>76968.52846005981</x:v>
      </x:c>
      <x:c r="H18" s="13" t="n">
        <x:v>316758.799464113</x:v>
      </x:c>
      <x:c r="I18" s="13" t="n">
        <x:v>1003348.7664456698</x:v>
      </x:c>
      <x:c r="J18" s="13" t="n">
        <x:v>1762774.4912439229</x:v>
      </x:c>
      <x:c r="K18" s="13" t="n">
        <x:v>18632.87055671253</x:v>
      </x:c>
      <x:c r="L18" s="13" t="n">
        <x:v>0.33126279399060654</x:v>
      </x:c>
      <x:c r="M18" s="13" t="n">
        <x:v>0.18003660321499035</x:v>
      </x:c>
    </x:row>
    <x:row r="19" ht="15" hidden="0" customHeight="1">
      <x:c r="A19" s="13" t="n">
        <x:v>18</x:v>
      </x:c>
      <x:c r="B19" s="13" t="n">
        <x:v>86</x:v>
      </x:c>
      <x:c r="C19" s="13" t="n">
        <x:v>452664</x:v>
      </x:c>
      <x:c r="D19" s="13" t="n">
        <x:v>34820.68553468191</x:v>
      </x:c>
      <x:c r="E19" s="13" t="n">
        <x:v>61217.13107704069</x:v>
      </x:c>
      <x:c r="F19" s="13" t="n">
        <x:v>21429.72282474474</x:v>
      </x:c>
      <x:c r="G19" s="13" t="n">
        <x:v>82646.85390178543</x:v>
      </x:c>
      <x:c r="H19" s="13" t="n">
        <x:v>335196.46056353266</x:v>
      </x:c>
      <x:c r="I19" s="13" t="n">
        <x:v>1062369.2821189447</x:v>
      </x:c>
      <x:c r="J19" s="13" t="n">
        <x:v>1866467.1083759184</x:v>
      </x:c>
      <x:c r="K19" s="13" t="n">
        <x:v>18622.025586862925</x:v>
      </x:c>
      <x:c r="L19" s="13" t="n">
        <x:v>0.3500608807978245</x:v>
      </x:c>
      <x:c r="M19" s="13" t="n">
        <x:v>0.1825788087892685</x:v>
      </x:c>
    </x:row>
    <x:row r="20" ht="15" hidden="0" customHeight="1">
      <x:c r="A20" s="13" t="n">
        <x:v>19</x:v>
      </x:c>
      <x:c r="B20" s="13" t="n">
        <x:v>86</x:v>
      </x:c>
      <x:c r="C20" s="13" t="n">
        <x:v>477812</x:v>
      </x:c>
      <x:c r="D20" s="13" t="n">
        <x:v>35852.65033390233</x:v>
      </x:c>
      <x:c r="E20" s="13" t="n">
        <x:v>64618.08280354296</x:v>
      </x:c>
      <x:c r="F20" s="13" t="n">
        <x:v>23831.49406229993</x:v>
      </x:c>
      <x:c r="G20" s="13" t="n">
        <x:v>88449.57686584289</x:v>
      </x:c>
      <x:c r="H20" s="13" t="n">
        <x:v>353509.7728002548</x:v>
      </x:c>
      <x:c r="I20" s="13" t="n">
        <x:v>1121389.797792219</x:v>
      </x:c>
      <x:c r="J20" s="13" t="n">
        <x:v>1970159.7255079136</x:v>
      </x:c>
      <x:c r="K20" s="13" t="n">
        <x:v>18605.777515802885</x:v>
      </x:c>
      <x:c r="L20" s="13" t="n">
        <x:v>0.36880534098720225</x:v>
      </x:c>
      <x:c r="M20" s="13" t="n">
        <x:v>0.1851137620357858</x:v>
      </x:c>
    </x:row>
    <x:row r="21" ht="15" hidden="0" customHeight="1">
      <x:c r="A21" s="13" t="n">
        <x:v>20</x:v>
      </x:c>
      <x:c r="B21" s="13" t="n">
        <x:v>86</x:v>
      </x:c>
      <x:c r="C21" s="13" t="n">
        <x:v>502960</x:v>
      </x:c>
      <x:c r="D21" s="13" t="n">
        <x:v>36884.566565912566</x:v>
      </x:c>
      <x:c r="E21" s="13" t="n">
        <x:v>68019.03453004522</x:v>
      </x:c>
      <x:c r="F21" s="13" t="n">
        <x:v>26357.415777069175</x:v>
      </x:c>
      <x:c r="G21" s="13" t="n">
        <x:v>94376.45030711438</x:v>
      </x:c>
      <x:c r="H21" s="13" t="n">
        <x:v>371698.98312697303</x:v>
      </x:c>
      <x:c r="I21" s="13" t="n">
        <x:v>1180410.313465494</x:v>
      </x:c>
      <x:c r="J21" s="13" t="n">
        <x:v>2073852.3426399091</x:v>
      </x:c>
      <x:c r="K21" s="13" t="n">
        <x:v>18584.94915634865</x:v>
      </x:c>
      <x:c r="L21" s="13" t="n">
        <x:v>0.3875005865516459</x:v>
      </x:c>
      <x:c r="M21" s="13" t="n">
        <x:v>0.18764205962127084</x:v>
      </x:c>
    </x:row>
    <x:row r="22" ht="15" hidden="0" customHeight="1">
      <x:c r="A22" s="13" t="n">
        <x:v>21</x:v>
      </x:c>
      <x:c r="B22" s="13" t="n">
        <x:v>86</x:v>
      </x:c>
      <x:c r="C22" s="13" t="n">
        <x:v>528108</x:v>
      </x:c>
      <x:c r="D22" s="13" t="n">
        <x:v>37916.43431601152</x:v>
      </x:c>
      <x:c r="E22" s="13" t="n">
        <x:v>71419.98625654748</x:v>
      </x:c>
      <x:c r="F22" s="13" t="n">
        <x:v>29007.259969265095</x:v>
      </x:c>
      <x:c r="G22" s="13" t="n">
        <x:v>100427.24622581257</x:v>
      </x:c>
      <x:c r="H22" s="13" t="n">
        <x:v>389764.3194581759</x:v>
      </x:c>
      <x:c r="I22" s="13" t="n">
        <x:v>1239430.8291387686</x:v>
      </x:c>
      <x:c r="J22" s="13" t="n">
        <x:v>2177544.9597719046</x:v>
      </x:c>
      <x:c r="K22" s="13" t="n">
        <x:v>18560.205688484566</x:v>
      </x:c>
      <x:c r="L22" s="13" t="n">
        <x:v>0.40615045577113695</x:v>
      </x:c>
      <x:c r="M22" s="13" t="n">
        <x:v>0.19016422062497174</x:v>
      </x:c>
    </x:row>
    <x:row r="23" ht="15" hidden="0" customHeight="1">
      <x:c r="A23" s="13" t="n">
        <x:v>22</x:v>
      </x:c>
      <x:c r="B23" s="13" t="n">
        <x:v>86</x:v>
      </x:c>
      <x:c r="C23" s="13" t="n">
        <x:v>553256</x:v>
      </x:c>
      <x:c r="D23" s="13" t="n">
        <x:v>38948.25366324285</x:v>
      </x:c>
      <x:c r="E23" s="13" t="n">
        <x:v>74820.93798304973</x:v>
      </x:c>
      <x:c r="F23" s="13" t="n">
        <x:v>31780.815359057164</x:v>
      </x:c>
      <x:c r="G23" s="13" t="n">
        <x:v>106601.75334210691</x:v>
      </x:c>
      <x:c r="H23" s="13" t="n">
        <x:v>407705.99299465027</x:v>
      </x:c>
      <x:c r="I23" s="13" t="n">
        <x:v>1298451.3448120432</x:v>
      </x:c>
      <x:c r="J23" s="13" t="n">
        <x:v>2281237.5769039</x:v>
      </x:c>
      <x:c r="K23" s="13" t="n">
        <x:v>18532.09059066592</x:v>
      </x:c>
      <x:c r="L23" s="13" t="n">
        <x:v>0.42475831252285196</x:v>
      </x:c>
      <x:c r="M23" s="13" t="n">
        <x:v>0.19268069996910456</x:v>
      </x:c>
    </x:row>
    <x:row r="24" ht="15" hidden="0" customHeight="1">
      <x:c r="A24" s="13" t="n">
        <x:v>23</x:v>
      </x:c>
      <x:c r="B24" s="13" t="n">
        <x:v>86</x:v>
      </x:c>
      <x:c r="C24" s="13" t="n">
        <x:v>578404</x:v>
      </x:c>
      <x:c r="D24" s="13" t="n">
        <x:v>39980.02468112331</x:v>
      </x:c>
      <x:c r="E24" s="13" t="n">
        <x:v>78221.889709552</x:v>
      </x:c>
      <x:c r="F24" s="13" t="n">
        <x:v>34677.88543983061</x:v>
      </x:c>
      <x:c r="G24" s="13" t="n">
        <x:v>112899.7751493826</x:v>
      </x:c>
      <x:c r="H24" s="13" t="n">
        <x:v>425524.2001694941</x:v>
      </x:c>
      <x:c r="I24" s="13" t="n">
        <x:v>1357471.860485318</x:v>
      </x:c>
      <x:c r="J24" s="13" t="n">
        <x:v>2384930.1940358956</x:v>
      </x:c>
      <x:c r="K24" s="13" t="n">
        <x:v>18501.05218128235</x:v>
      </x:c>
      <x:c r="L24" s="13" t="n">
        <x:v>0.4433271245247857</x:v>
      </x:c>
      <x:c r="M24" s="13" t="n">
        <x:v>0.19519189900032263</x:v>
      </x:c>
    </x:row>
    <x:row r="25" ht="15" hidden="0" customHeight="1">
      <x:c r="A25" s="13" t="n">
        <x:v>24</x:v>
      </x:c>
      <x:c r="B25" s="13" t="n">
        <x:v>86</x:v>
      </x:c>
      <x:c r="C25" s="13" t="n">
        <x:v>603552</x:v>
      </x:c>
      <x:c r="D25" s="13" t="n">
        <x:v>41011.74743825765</x:v>
      </x:c>
      <x:c r="E25" s="13" t="n">
        <x:v>81622.84143605425</x:v>
      </x:c>
      <x:c r="F25" s="13" t="n">
        <x:v>37698.286834406084</x:v>
      </x:c>
      <x:c r="G25" s="13" t="n">
        <x:v>119321.12827046034</x:v>
      </x:c>
      <x:c r="H25" s="13" t="n">
        <x:v>443219.12429128203</x:v>
      </x:c>
      <x:c r="I25" s="13" t="n">
        <x:v>1416492.3761585928</x:v>
      </x:c>
      <x:c r="J25" s="13" t="n">
        <x:v>2488622.811167891</x:v>
      </x:c>
      <x:c r="K25" s="13" t="n">
        <x:v>18467.46351213675</x:v>
      </x:c>
      <x:c r="L25" s="13" t="n">
        <x:v>0.4618595257301847</x:v>
      </x:c>
      <x:c r="M25" s="13" t="n">
        <x:v>0.19769817392778144</x:v>
      </x:c>
    </x:row>
    <x:row r="26" ht="15" hidden="0" customHeight="1">
      <x:c r="A26" s="13" t="n">
        <x:v>25</x:v>
      </x:c>
      <x:c r="B26" s="13" t="n">
        <x:v>86</x:v>
      </x:c>
      <x:c r="C26" s="13" t="n">
        <x:v>628700</x:v>
      </x:c>
      <x:c r="D26" s="13" t="n">
        <x:v>42043.421998862</x:v>
      </x:c>
      <x:c r="E26" s="13" t="n">
        <x:v>85023.79316255653</x:v>
      </x:c>
      <x:c r="F26" s="13" t="n">
        <x:v>40841.84789622974</x:v>
      </x:c>
      <x:c r="G26" s="13" t="n">
        <x:v>125865.64105878626</x:v>
      </x:c>
      <x:c r="H26" s="13" t="n">
        <x:v>460790.93694235175</x:v>
      </x:c>
      <x:c r="I26" s="13" t="n">
        <x:v>1475512.8918318674</x:v>
      </x:c>
      <x:c r="J26" s="13" t="n">
        <x:v>2592315.4282998866</x:v>
      </x:c>
      <x:c r="K26" s="13" t="n">
        <x:v>18431.63747769407</x:v>
      </x:c>
      <x:c r="L26" s="13" t="n">
        <x:v>0.4803578666285146</x:v>
      </x:c>
      <x:c r="M26" s="13" t="n">
        <x:v>0.2001998426257138</x:v>
      </x:c>
    </x:row>
    <x:row r="27" ht="15" hidden="0" customHeight="1">
      <x:c r="A27" s="13" t="n">
        <x:v>26</x:v>
      </x:c>
      <x:c r="B27" s="13" t="n">
        <x:v>86</x:v>
      </x:c>
      <x:c r="C27" s="13" t="n">
        <x:v>653848</x:v>
      </x:c>
      <x:c r="D27" s="13" t="n">
        <x:v>43075.04842321236</x:v>
      </x:c>
      <x:c r="E27" s="13" t="n">
        <x:v>88424.74488905878</x:v>
      </x:c>
      <x:c r="F27" s="13" t="n">
        <x:v>44108.407510545585</x:v>
      </x:c>
      <x:c r="G27" s="13" t="n">
        <x:v>132533.15239960435</x:v>
      </x:c>
      <x:c r="H27" s="13" t="n">
        <x:v>478239.79917718325</x:v>
      </x:c>
      <x:c r="I27" s="13" t="n">
        <x:v>1534533.407505142</x:v>
      </x:c>
      <x:c r="J27" s="13" t="n">
        <x:v>2696008.045431882</x:v>
      </x:c>
      <x:c r="K27" s="13" t="n">
        <x:v>18393.838429891664</x:v>
      </x:c>
      <x:c r="L27" s="13" t="n">
        <x:v>0.49882425520012247</x:v>
      </x:c>
      <x:c r="M27" s="13" t="n">
        <x:v>0.2026971901720344</x:v>
      </x:c>
    </x:row>
    <x:row r="28" ht="15" hidden="0" customHeight="1">
      <x:c r="A28" s="13" t="n">
        <x:v>27</x:v>
      </x:c>
      <x:c r="B28" s="13" t="n">
        <x:v>86</x:v>
      </x:c>
      <x:c r="C28" s="13" t="n">
        <x:v>678996</x:v>
      </x:c>
      <x:c r="D28" s="13" t="n">
        <x:v>44106.62676803148</x:v>
      </x:c>
      <x:c r="E28" s="13" t="n">
        <x:v>91825.69661556104</x:v>
      </x:c>
      <x:c r="F28" s="13" t="n">
        <x:v>47497.81406025675</x:v>
      </x:c>
      <x:c r="G28" s="13" t="n">
        <x:v>139323.5106758178</x:v>
      </x:c>
      <x:c r="H28" s="13" t="n">
        <x:v>495565.8625561507</x:v>
      </x:c>
      <x:c r="I28" s="13" t="n">
        <x:v>1593553.9231784167</x:v>
      </x:c>
      <x:c r="J28" s="13" t="n">
        <x:v>2799700.662563877</x:v>
      </x:c>
      <x:c r="K28" s="13" t="n">
        <x:v>18354.29120578336</x:v>
      </x:c>
      <x:c r="L28" s="13" t="n">
        <x:v>0.5172605905633569</x:v>
      </x:c>
      <x:c r="M28" s="13" t="n">
        <x:v>0.2051904733986913</x:v>
      </x:c>
    </x:row>
    <x:row r="29" ht="15" hidden="0" customHeight="1">
      <x:c r="A29" s="13" t="n">
        <x:v>28</x:v>
      </x:c>
      <x:c r="B29" s="13" t="n">
        <x:v>86</x:v>
      </x:c>
      <x:c r="C29" s="13" t="n">
        <x:v>704144</x:v>
      </x:c>
      <x:c r="D29" s="13" t="n">
        <x:v>45138.15708682457</x:v>
      </x:c>
      <x:c r="E29" s="13" t="n">
        <x:v>95226.6483420633</x:v>
      </x:c>
      <x:c r="F29" s="13" t="n">
        <x:v>51009.92452850269</x:v>
      </x:c>
      <x:c r="G29" s="13" t="n">
        <x:v>146236.572870566</x:v>
      </x:c>
      <x:c r="H29" s="13" t="n">
        <x:v>512769.2700426094</x:v>
      </x:c>
      <x:c r="I29" s="13" t="n">
        <x:v>1652574.4388516913</x:v>
      </x:c>
      <x:c r="J29" s="13" t="n">
        <x:v>2903393.2796958727</x:v>
      </x:c>
      <x:c r="K29" s="13" t="n">
        <x:v>18313.18821580748</x:v>
      </x:c>
      <x:c r="L29" s="13" t="n">
        <x:v>0.5356685908472818</x:v>
      </x:c>
      <x:c r="M29" s="13" t="n">
        <x:v>0.20767992466110055</x:v>
      </x:c>
    </x:row>
    <x:row r="30" ht="15" hidden="0" customHeight="1">
      <x:c r="A30" s="13" t="n">
        <x:v>29</x:v>
      </x:c>
      <x:c r="B30" s="13" t="n">
        <x:v>86</x:v>
      </x:c>
      <x:c r="C30" s="13" t="n">
        <x:v>729292</x:v>
      </x:c>
      <x:c r="D30" s="13" t="n">
        <x:v>46169.639430172334</x:v>
      </x:c>
      <x:c r="E30" s="13" t="n">
        <x:v>98627.60006856556</x:v>
      </x:c>
      <x:c r="F30" s="13" t="n">
        <x:v>54644.603715572266</x:v>
      </x:c>
      <x:c r="G30" s="13" t="n">
        <x:v>153272.20378413785</x:v>
      </x:c>
      <x:c r="H30" s="13" t="n">
        <x:v>529850.1567856899</x:v>
      </x:c>
      <x:c r="I30" s="13" t="n">
        <x:v>1711594.9545249662</x:v>
      </x:c>
      <x:c r="J30" s="13" t="n">
        <x:v>3007085.896827868</x:v>
      </x:c>
      <x:c r="K30" s="13" t="n">
        <x:v>18270.695061575512</x:v>
      </x:c>
      <x:c r="L30" s="13" t="n">
        <x:v>0.5540498164568897</x:v>
      </x:c>
      <x:c r="M30" s="13" t="n">
        <x:v>0.21016575498447515</x:v>
      </x:c>
    </x:row>
    <x:row r="31" ht="15" hidden="0" customHeight="1">
      <x:c r="A31" s="13" t="n">
        <x:v>30</x:v>
      </x:c>
      <x:c r="B31" s="13" t="n">
        <x:v>86</x:v>
      </x:c>
      <x:c r="C31" s="13" t="n">
        <x:v>754440</x:v>
      </x:c>
      <x:c r="D31" s="13" t="n">
        <x:v>47201.073845987885</x:v>
      </x:c>
      <x:c r="E31" s="13" t="n">
        <x:v>102028.55179506782</x:v>
      </x:c>
      <x:c r="F31" s="13" t="n">
        <x:v>58401.72355209027</x:v>
      </x:c>
      <x:c r="G31" s="13" t="n">
        <x:v>160430.27534715808</x:v>
      </x:c>
      <x:c r="H31" s="13" t="n">
        <x:v>546808.650806854</x:v>
      </x:c>
      <x:c r="I31" s="13" t="n">
        <x:v>1770615.4701982408</x:v>
      </x:c>
      <x:c r="J31" s="13" t="n">
        <x:v>3110778.5139598637</x:v>
      </x:c>
      <x:c r="K31" s="13" t="n">
        <x:v>18226.955026895135</x:v>
      </x:c>
      <x:c r="L31" s="13" t="n">
        <x:v>0.572405689628866</x:v>
      </x:c>
      <x:c r="M31" s="13" t="n">
        <x:v>0.21264815670849646</x:v>
      </x:c>
    </x:row>
    <x:row r="32" ht="15" hidden="0" customHeight="1">
      <x:c r="A32" s="13" t="n">
        <x:v>31</x:v>
      </x:c>
      <x:c r="B32" s="13" t="n">
        <x:v>86</x:v>
      </x:c>
      <x:c r="C32" s="13" t="n">
        <x:v>779588</x:v>
      </x:c>
      <x:c r="D32" s="13" t="n">
        <x:v>48232.46037974316</x:v>
      </x:c>
      <x:c r="E32" s="13" t="n">
        <x:v>105429.50352157008</x:v>
      </x:c>
      <x:c r="F32" s="13" t="n">
        <x:v>62281.162493783006</x:v>
      </x:c>
      <x:c r="G32" s="13" t="n">
        <x:v>167710.66601535308</x:v>
      </x:c>
      <x:c r="H32" s="13" t="n">
        <x:v>563644.8736049037</x:v>
      </x:c>
      <x:c r="I32" s="13" t="n">
        <x:v>1829635.9858715157</x:v>
      </x:c>
      <x:c r="J32" s="13" t="n">
        <x:v>3214471.131091859</x:v>
      </x:c>
      <x:c r="K32" s="13" t="n">
        <x:v>18182.092696932377</x:v>
      </x:c>
      <x:c r="L32" s="13" t="n">
        <x:v>0.5907375109761448</x:v>
      </x:c>
      <x:c r="M32" s="13" t="n">
        <x:v>0.21512730572475858</x:v>
      </x:c>
    </x:row>
    <x:row r="33" ht="15" hidden="0" customHeight="1">
      <x:c r="A33" s="13" t="n">
        <x:v>32</x:v>
      </x:c>
      <x:c r="B33" s="13" t="n">
        <x:v>86</x:v>
      </x:c>
      <x:c r="C33" s="13" t="n">
        <x:v>804736</x:v>
      </x:c>
      <x:c r="D33" s="13" t="n">
        <x:v>49263.79907466937</x:v>
      </x:c>
      <x:c r="E33" s="13" t="n">
        <x:v>108830.45524807235</x:v>
      </x:c>
      <x:c r="F33" s="13" t="n">
        <x:v>66282.8049857784</x:v>
      </x:c>
      <x:c r="G33" s="13" t="n">
        <x:v>175113.26023385074</x:v>
      </x:c>
      <x:c r="H33" s="13" t="n">
        <x:v>580358.9406914798</x:v>
      </x:c>
      <x:c r="I33" s="13" t="n">
        <x:v>1888656.50154479</x:v>
      </x:c>
      <x:c r="J33" s="13" t="n">
        <x:v>3318163.7482238547</x:v>
      </x:c>
      <x:c r="K33" s="13" t="n">
        <x:v>18136.216896608745</x:v>
      </x:c>
      <x:c r="L33" s="13" t="n">
        <x:v>0.6090464735692855</x:v>
      </x:c>
      <x:c r="M33" s="13" t="n">
        <x:v>0.21760336338109734</x:v>
      </x:c>
    </x:row>
    <x:row r="34" ht="15" hidden="0" customHeight="1">
      <x:c r="A34" s="13" t="n">
        <x:v>33</x:v>
      </x:c>
      <x:c r="B34" s="13" t="n">
        <x:v>86</x:v>
      </x:c>
      <x:c r="C34" s="13" t="n">
        <x:v>829884</x:v>
      </x:c>
      <x:c r="D34" s="13" t="n">
        <x:v>50295.08997193508</x:v>
      </x:c>
      <x:c r="E34" s="13" t="n">
        <x:v>112231.40697457461</x:v>
      </x:c>
      <x:c r="F34" s="13" t="n">
        <x:v>70406.54098649952</x:v>
      </x:c>
      <x:c r="G34" s="13" t="n">
        <x:v>182637.94796107413</x:v>
      </x:c>
      <x:c r="H34" s="13" t="n">
        <x:v>596950.9620669908</x:v>
      </x:c>
      <x:c r="I34" s="13" t="n">
        <x:v>1947677.0172180647</x:v>
      </x:c>
      <x:c r="J34" s="13" t="n">
        <x:v>3421856.36535585</x:v>
      </x:c>
      <x:c r="K34" s="13" t="n">
        <x:v>18089.423092939116</x:v>
      </x:c>
      <x:c r="L34" s="13" t="n">
        <x:v>0.627333674988586</x:v>
      </x:c>
      <x:c r="M34" s="13" t="n">
        <x:v>0.22007647811148803</x:v>
      </x:c>
    </x:row>
    <x:row r="35" ht="15" hidden="0" customHeight="1">
      <x:c r="A35" s="13" t="n">
        <x:v>34</x:v>
      </x:c>
      <x:c r="B35" s="13" t="n">
        <x:v>86</x:v>
      </x:c>
      <x:c r="C35" s="13" t="n">
        <x:v>855032</x:v>
      </x:c>
      <x:c r="D35" s="13" t="n">
        <x:v>51326.334717267775</x:v>
      </x:c>
      <x:c r="E35" s="13" t="n">
        <x:v>115632.35870107687</x:v>
      </x:c>
      <x:c r="F35" s="13" t="n">
        <x:v>74652.26554289371</x:v>
      </x:c>
      <x:c r="G35" s="13" t="n">
        <x:v>190284.62424397058</x:v>
      </x:c>
      <x:c r="H35" s="13" t="n">
        <x:v>613421.0410387616</x:v>
      </x:c>
      <x:c r="I35" s="13" t="n">
        <x:v>2006697.5328913396</x:v>
      </x:c>
      <x:c r="J35" s="13" t="n">
        <x:v>3525548.9824878457</x:v>
      </x:c>
      <x:c r="K35" s="13" t="n">
        <x:v>18041.79532466946</x:v>
      </x:c>
      <x:c r="L35" s="13" t="n">
        <x:v>0.6456001276933088</x:v>
      </x:c>
      <x:c r="M35" s="13" t="n">
        <x:v>0.22254678683835294</x:v>
      </x:c>
    </x:row>
    <x:row r="36" ht="15" hidden="0" customHeight="1">
      <x:c r="A36" s="13" t="n">
        <x:v>35</x:v>
      </x:c>
      <x:c r="B36" s="13" t="n">
        <x:v>86</x:v>
      </x:c>
      <x:c r="C36" s="13" t="n">
        <x:v>880180</x:v>
      </x:c>
      <x:c r="D36" s="13" t="n">
        <x:v>52357.532050275666</x:v>
      </x:c>
      <x:c r="E36" s="13" t="n">
        <x:v>119033.31042757913</x:v>
      </x:c>
      <x:c r="F36" s="13" t="n">
        <x:v>79019.8784100955</x:v>
      </x:c>
      <x:c r="G36" s="13" t="n">
        <x:v>198053.18883767462</x:v>
      </x:c>
      <x:c r="H36" s="13" t="n">
        <x:v>629769.2791120497</x:v>
      </x:c>
      <x:c r="I36" s="13" t="n">
        <x:v>2065718.0485646143</x:v>
      </x:c>
      <x:c r="J36" s="13" t="n">
        <x:v>3629241.599619841</x:v>
      </x:c>
      <x:c r="K36" s="13" t="n">
        <x:v>17993.407974629994</x:v>
      </x:c>
      <x:c r="L36" s="13" t="n">
        <x:v>0.6638467679866121</x:v>
      </x:c>
      <x:c r="M36" s="13" t="n">
        <x:v>0.22501441618495605</x:v>
      </x:c>
    </x:row>
    <x:row r="37" ht="15" hidden="0" customHeight="1">
      <x:c r="A37" s="13" t="n">
        <x:v>36</x:v>
      </x:c>
      <x:c r="B37" s="13" t="n">
        <x:v>86</x:v>
      </x:c>
      <x:c r="C37" s="13" t="n">
        <x:v>905328</x:v>
      </x:c>
      <x:c r="D37" s="13" t="n">
        <x:v>53388.68179962933</x:v>
      </x:c>
      <x:c r="E37" s="13" t="n">
        <x:v>122434.26215408139</x:v>
      </x:c>
      <x:c r="F37" s="13" t="n">
        <x:v>83509.2837097222</x:v>
      </x:c>
      <x:c r="G37" s="13" t="n">
        <x:v>205943.54586380356</x:v>
      </x:c>
      <x:c r="H37" s="13" t="n">
        <x:v>645995.7723365672</x:v>
      </x:c>
      <x:c r="I37" s="13" t="n">
        <x:v>2124738.5642378894</x:v>
      </x:c>
      <x:c r="J37" s="13" t="n">
        <x:v>3732934.2167518367</x:v>
      </x:c>
      <x:c r="K37" s="13" t="n">
        <x:v>17944.327009349086</x:v>
      </x:c>
      <x:c r="L37" s="13" t="n">
        <x:v>0.6820744638018663</x:v>
      </x:c>
      <x:c r="M37" s="13" t="n">
        <x:v>0.2274794835284047</x:v>
      </x:c>
    </x:row>
    <x:row r="38" ht="15" hidden="0" customHeight="1">
      <x:c r="A38" s="13" t="n">
        <x:v>37</x:v>
      </x:c>
      <x:c r="B38" s="13" t="n">
        <x:v>86</x:v>
      </x:c>
      <x:c r="C38" s="13" t="n">
        <x:v>930476</x:v>
      </x:c>
      <x:c r="D38" s="13" t="n">
        <x:v>54419.783999467996</x:v>
      </x:c>
      <x:c r="E38" s="13" t="n">
        <x:v>125835.21388058364</x:v>
      </x:c>
      <x:c r="F38" s="13" t="n">
        <x:v>88120.3896219011</x:v>
      </x:c>
      <x:c r="G38" s="13" t="n">
        <x:v>213955.60350248474</x:v>
      </x:c>
      <x:c r="H38" s="13" t="n">
        <x:v>662100.6124980472</x:v>
      </x:c>
      <x:c r="I38" s="13" t="n">
        <x:v>2183759.0799111635</x:v>
      </x:c>
      <x:c r="J38" s="13" t="n">
        <x:v>3836626.833883832</x:v>
      </x:c>
      <x:c r="K38" s="13" t="n">
        <x:v>17894.611148595868</x:v>
      </x:c>
      <x:c r="L38" s="13" t="n">
        <x:v>0.7002840214943844</x:v>
      </x:c>
      <x:c r="M38" s="13" t="n">
        <x:v>0.2299420979181459</x:v>
      </x:c>
    </x:row>
    <x:row r="39" ht="15" hidden="0" customHeight="1">
      <x:c r="A39" s="13" t="n">
        <x:v>38</x:v>
      </x:c>
      <x:c r="B39" s="13" t="n">
        <x:v>86</x:v>
      </x:c>
      <x:c r="C39" s="13" t="n">
        <x:v>955624</x:v>
      </x:c>
      <x:c r="D39" s="13" t="n">
        <x:v>55450.83868252542</x:v>
      </x:c>
      <x:c r="E39" s="13" t="n">
        <x:v>129236.16560708592</x:v>
      </x:c>
      <x:c r="F39" s="13" t="n">
        <x:v>92853.10810686505</x:v>
      </x:c>
      <x:c r="G39" s="13" t="n">
        <x:v>222089.27371395097</x:v>
      </x:c>
      <x:c r="H39" s="13" t="n">
        <x:v>678083.8876035236</x:v>
      </x:c>
      <x:c r="I39" s="13" t="n">
        <x:v>2242779.595584438</x:v>
      </x:c>
      <x:c r="J39" s="13" t="n">
        <x:v>3940319.4510158272</x:v>
      </x:c>
      <x:c r="K39" s="13" t="n">
        <x:v>17844.312831671672</x:v>
      </x:c>
      <x:c r="L39" s="13" t="n">
        <x:v>0.7184761917895681</x:v>
      </x:c>
      <x:c r="M39" s="13" t="n">
        <x:v>0.23240236088037866</x:v>
      </x:c>
    </x:row>
    <x:row r="40" ht="15" hidden="0" customHeight="1">
      <x:c r="A40" s="13" t="n">
        <x:v>39</x:v>
      </x:c>
      <x:c r="B40" s="13" t="n">
        <x:v>86</x:v>
      </x:c>
      <x:c r="C40" s="13" t="n">
        <x:v>980772</x:v>
      </x:c>
      <x:c r="D40" s="13" t="n">
        <x:v>56481.84588022373</x:v>
      </x:c>
      <x:c r="E40" s="13" t="n">
        <x:v>132637.11733358816</x:v>
      </x:c>
      <x:c r="F40" s="13" t="n">
        <x:v>97707.35465256516</x:v>
      </x:c>
      <x:c r="G40" s="13" t="n">
        <x:v>230344.47198615334</x:v>
      </x:c>
      <x:c r="H40" s="13" t="n">
        <x:v>693945.6821336229</x:v>
      </x:c>
      <x:c r="I40" s="13" t="n">
        <x:v>2301800.1112577133</x:v>
      </x:c>
      <x:c r="J40" s="13" t="n">
        <x:v>4044012.0681478227</x:v>
      </x:c>
      <x:c r="K40" s="13" t="n">
        <x:v>17793.479029067254</x:v>
      </x:c>
      <x:c r="L40" s="13" t="n">
        <x:v>0.7366516750121075</x:v>
      </x:c>
      <x:c r="M40" s="13" t="n">
        <x:v>0.2348603671252374</x:v>
      </x:c>
    </x:row>
    <x:row r="41" ht="15" hidden="0" customHeight="1">
      <x:c r="A41" s="13" t="n">
        <x:v>40</x:v>
      </x:c>
      <x:c r="B41" s="13" t="n">
        <x:v>86</x:v>
      </x:c>
      <x:c r="C41" s="13" t="n">
        <x:v>1005920</x:v>
      </x:c>
      <x:c r="D41" s="13" t="n">
        <x:v>57512.80562275872</x:v>
      </x:c>
      <x:c r="E41" s="13" t="n">
        <x:v>136038.06906009043</x:v>
      </x:c>
      <x:c r="F41" s="13" t="n">
        <x:v>102683.04804525644</x:v>
      </x:c>
      <x:c r="G41" s="13" t="n">
        <x:v>238721.11710534687</x:v>
      </x:c>
      <x:c r="H41" s="13" t="n">
        <x:v>709686.0772718944</x:v>
      </x:c>
      <x:c r="I41" s="13" t="n">
        <x:v>2360820.626930988</x:v>
      </x:c>
      <x:c r="J41" s="13" t="n">
        <x:v>4147704.6852798183</x:v>
      </x:c>
      <x:c r="K41" s="13" t="n">
        <x:v>17742.15193179736</x:v>
      </x:c>
      <x:c r="L41" s="13" t="n">
        <x:v>0.7548111256996709</x:v>
      </x:c>
      <x:c r="M41" s="13" t="n">
        <x:v>0.23731620517073612</x:v>
      </x:c>
    </x:row>
    <x:row r="42" ht="15" hidden="0" customHeight="1">
      <x:c r="A42" s="13" t="n">
        <x:v>41</x:v>
      </x:c>
      <x:c r="B42" s="13" t="n">
        <x:v>86</x:v>
      </x:c>
      <x:c r="C42" s="13" t="n">
        <x:v>1031068</x:v>
      </x:c>
      <x:c r="D42" s="13" t="n">
        <x:v>58543.7179391776</x:v>
      </x:c>
      <x:c r="E42" s="13" t="n">
        <x:v>139439.0207865927</x:v>
      </x:c>
      <x:c r="F42" s="13" t="n">
        <x:v>107780.1101604367</x:v>
      </x:c>
      <x:c r="G42" s="13" t="n">
        <x:v>247219.1309470294</x:v>
      </x:c>
      <x:c r="H42" s="13" t="n">
        <x:v>725305.151113793</x:v>
      </x:c>
      <x:c r="I42" s="13" t="n">
        <x:v>2419841.142604262</x:v>
      </x:c>
      <x:c r="J42" s="13" t="n">
        <x:v>4251397.302411814</x:v>
      </x:c>
      <x:c r="K42" s="13" t="n">
        <x:v>17690.369539360807</x:v>
      </x:c>
      <x:c r="L42" s="13" t="n">
        <x:v>0.7729551566873879</x:v>
      </x:c>
      <x:c r="M42" s="13" t="n">
        <x:v>0.23976995789514308</x:v>
      </x:c>
    </x:row>
    <x:row r="43" ht="15" hidden="0" customHeight="1">
      <x:c r="A43" s="13" t="n">
        <x:v>42</x:v>
      </x:c>
      <x:c r="B43" s="13" t="n">
        <x:v>86</x:v>
      </x:c>
      <x:c r="C43" s="13" t="n">
        <x:v>1056216</x:v>
      </x:c>
      <x:c r="D43" s="13" t="n">
        <x:v>59574.58285744996</x:v>
      </x:c>
      <x:c r="E43" s="13" t="n">
        <x:v>142839.97251309495</x:v>
      </x:c>
      <x:c r="F43" s="13" t="n">
        <x:v>112998.46577187502</x:v>
      </x:c>
      <x:c r="G43" s="13" t="n">
        <x:v>255838.43828496998</x:v>
      </x:c>
      <x:c r="H43" s="13" t="n">
        <x:v>740802.97885758</x:v>
      </x:c>
      <x:c r="I43" s="13" t="n">
        <x:v>2478861.658277537</x:v>
      </x:c>
      <x:c r="J43" s="13" t="n">
        <x:v>4355089.919543809</x:v>
      </x:c>
      <x:c r="K43" s="13" t="n">
        <x:v>17638.166163275713</x:v>
      </x:c>
      <x:c r="L43" s="13" t="n">
        <x:v>0.7910843427354749</x:v>
      </x:c>
      <x:c r="M43" s="13" t="n">
        <x:v>0.24222170302757198</x:v>
      </x:c>
    </x:row>
    <x:row r="44" ht="15" hidden="0" customHeight="1">
      <x:c r="A44" s="13" t="n">
        <x:v>43</x:v>
      </x:c>
      <x:c r="B44" s="13" t="n">
        <x:v>86</x:v>
      </x:c>
      <x:c r="C44" s="13" t="n">
        <x:v>1081364</x:v>
      </x:c>
      <x:c r="D44" s="13" t="n">
        <x:v>60605.40067254963</x:v>
      </x:c>
      <x:c r="E44" s="13" t="n">
        <x:v>146240.92423959723</x:v>
      </x:c>
      <x:c r="F44" s="13" t="n">
        <x:v>118338.04237676605</x:v>
      </x:c>
      <x:c r="G44" s="13" t="n">
        <x:v>264578.96661636326</x:v>
      </x:c>
      <x:c r="H44" s="13" t="n">
        <x:v>756179.632711087</x:v>
      </x:c>
      <x:c r="I44" s="13" t="n">
        <x:v>2537882.173950812</x:v>
      </x:c>
      <x:c r="J44" s="13" t="n">
        <x:v>4458782.536675804</x:v>
      </x:c>
      <x:c r="K44" s="13" t="n">
        <x:v>17585.57285374621</x:v>
      </x:c>
      <x:c r="L44" s="13" t="n">
        <x:v>0.8091992237609505</x:v>
      </x:c>
      <x:c r="M44" s="13" t="n">
        <x:v>0.2446715135850308</x:v>
      </x:c>
    </x:row>
    <x:row r="45" ht="15" hidden="0" customHeight="1">
      <x:c r="A45" s="13" t="n">
        <x:v>44</x:v>
      </x:c>
      <x:c r="B45" s="13" t="n">
        <x:v>86</x:v>
      </x:c>
      <x:c r="C45" s="13" t="n">
        <x:v>1106512</x:v>
      </x:c>
      <x:c r="D45" s="13" t="n">
        <x:v>61636.17318723294</x:v>
      </x:c>
      <x:c r="E45" s="13" t="n">
        <x:v>149641.87596609947</x:v>
      </x:c>
      <x:c r="F45" s="13" t="n">
        <x:v>123798.77003530119</x:v>
      </x:c>
      <x:c r="G45" s="13" t="n">
        <x:v>273440.64600140066</x:v>
      </x:c>
      <x:c r="H45" s="13" t="n">
        <x:v>771435.1808113664</x:v>
      </x:c>
      <x:c r="I45" s="13" t="n">
        <x:v>2596902.6896240865</x:v>
      </x:c>
      <x:c r="J45" s="13" t="n">
        <x:v>4562475.1538078</x:v>
      </x:c>
      <x:c r="K45" s="13" t="n">
        <x:v>17532.617745712872</x:v>
      </x:c>
      <x:c r="L45" s="13" t="n">
        <x:v>0.8273003077250055</x:v>
      </x:c>
      <x:c r="M45" s="13" t="n">
        <x:v>0.2471194582629024</x:v>
      </x:c>
    </x:row>
    <x:row r="46" ht="15" hidden="0" customHeight="1">
      <x:c r="A46" s="13" t="n">
        <x:v>45</x:v>
      </x:c>
      <x:c r="B46" s="13" t="n">
        <x:v>86</x:v>
      </x:c>
      <x:c r="C46" s="13" t="n">
        <x:v>1131660</x:v>
      </x:c>
      <x:c r="D46" s="13" t="n">
        <x:v>62666.89848475118</x:v>
      </x:c>
      <x:c r="E46" s="13" t="n">
        <x:v>153042.82769260174</x:v>
      </x:c>
      <x:c r="F46" s="13" t="n">
        <x:v>129380.58122316352</x:v>
      </x:c>
      <x:c r="G46" s="13" t="n">
        <x:v>282423.40891576523</x:v>
      </x:c>
      <x:c r="H46" s="13" t="n">
        <x:v>786569.6925994835</x:v>
      </x:c>
      <x:c r="I46" s="13" t="n">
        <x:v>2655923.205297361</x:v>
      </x:c>
      <x:c r="J46" s="13" t="n">
        <x:v>4666167.770939795</x:v>
      </x:c>
      <x:c r="K46" s="13" t="n">
        <x:v>17479.326502210744</x:v>
      </x:c>
      <x:c r="L46" s="13" t="n">
        <x:v>0.8453880732198332</x:v>
      </x:c>
      <x:c r="M46" s="13" t="n">
        <x:v>0.24956560178478096</x:v>
      </x:c>
    </x:row>
    <x:row r="47" ht="15" hidden="0" customHeight="1">
      <x:c r="A47" s="13" t="n">
        <x:v>46</x:v>
      </x:c>
      <x:c r="B47" s="13" t="n">
        <x:v>86</x:v>
      </x:c>
      <x:c r="C47" s="13" t="n">
        <x:v>1156808</x:v>
      </x:c>
      <x:c r="D47" s="13" t="n">
        <x:v>63697.57995249261</x:v>
      </x:c>
      <x:c r="E47" s="13" t="n">
        <x:v>156443.779419104</x:v>
      </x:c>
      <x:c r="F47" s="13" t="n">
        <x:v>135083.4106956384</x:v>
      </x:c>
      <x:c r="G47" s="13" t="n">
        <x:v>291527.1901147424</x:v>
      </x:c>
      <x:c r="H47" s="13" t="n">
        <x:v>801583.229932765</x:v>
      </x:c>
      <x:c r="I47" s="13" t="n">
        <x:v>2714943.720970636</x:v>
      </x:c>
      <x:c r="J47" s="13" t="n">
        <x:v>4769860.388071791</x:v>
      </x:c>
      <x:c r="K47" s="13" t="n">
        <x:v>17425.72238984272</x:v>
      </x:c>
      <x:c r="L47" s="13" t="n">
        <x:v>0.8634629717922987</x:v>
      </x:c>
      <x:c r="M47" s="13" t="n">
        <x:v>0.25201000521671907</x:v>
      </x:c>
    </x:row>
    <x:row r="48" ht="15" hidden="0" customHeight="1">
      <x:c r="A48" s="13" t="n">
        <x:v>47</x:v>
      </x:c>
      <x:c r="B48" s="13" t="n">
        <x:v>86</x:v>
      </x:c>
      <x:c r="C48" s="13" t="n">
        <x:v>1181956</x:v>
      </x:c>
      <x:c r="D48" s="13" t="n">
        <x:v>64728.215839889526</x:v>
      </x:c>
      <x:c r="E48" s="13" t="n">
        <x:v>159844.73114560626</x:v>
      </x:c>
      <x:c r="F48" s="13" t="n">
        <x:v>140907.19536218964</x:v>
      </x:c>
      <x:c r="G48" s="13" t="n">
        <x:v>300751.92650779587</x:v>
      </x:c>
      <x:c r="H48" s="13" t="n">
        <x:v>816475.8576523146</x:v>
      </x:c>
      <x:c r="I48" s="13" t="n">
        <x:v>2773964.236643911</x:v>
      </x:c>
      <x:c r="J48" s="13" t="n">
        <x:v>4873553.005203786</x:v>
      </x:c>
      <x:c r="K48" s="13" t="n">
        <x:v>17371.826758559884</x:v>
      </x:c>
      <x:c r="L48" s="13" t="n">
        <x:v>0.8815254300364397</x:v>
      </x:c>
      <x:c r="M48" s="13" t="n">
        <x:v>0.25445272625021226</x:v>
      </x:c>
    </x:row>
    <x:row r="49" ht="15" hidden="0" customHeight="1">
      <x:c r="A49" s="13" t="n">
        <x:v>48</x:v>
      </x:c>
      <x:c r="B49" s="13" t="n">
        <x:v>86</x:v>
      </x:c>
      <x:c r="C49" s="13" t="n">
        <x:v>1207104</x:v>
      </x:c>
      <x:c r="D49" s="13" t="n">
        <x:v>65758.80478528222</x:v>
      </x:c>
      <x:c r="E49" s="13" t="n">
        <x:v>163245.6828721085</x:v>
      </x:c>
      <x:c r="F49" s="13" t="n">
        <x:v>146851.87417048748</x:v>
      </x:c>
      <x:c r="G49" s="13" t="n">
        <x:v>310097.557042596</x:v>
      </x:c>
      <x:c r="H49" s="13" t="n">
        <x:v>831247.6381721217</x:v>
      </x:c>
      <x:c r="I49" s="13" t="n">
        <x:v>2832984.7523171855</x:v>
      </x:c>
      <x:c r="J49" s="13" t="n">
        <x:v>4977245.622335782</x:v>
      </x:c>
      <x:c r="K49" s="13" t="n">
        <x:v>17317.65912858587</x:v>
      </x:c>
      <x:c r="L49" s="13" t="n">
        <x:v>0.8995758514823059</x:v>
      </x:c>
      <x:c r="M49" s="13" t="n">
        <x:v>0.2568938194576408</x:v>
      </x:c>
    </x:row>
    <x:row r="50" ht="15" hidden="0" customHeight="1">
      <x:c r="A50" s="13" t="n">
        <x:v>49</x:v>
      </x:c>
      <x:c r="B50" s="13" t="n">
        <x:v>86</x:v>
      </x:c>
      <x:c r="C50" s="13" t="n">
        <x:v>1232252</x:v>
      </x:c>
      <x:c r="D50" s="13" t="n">
        <x:v>66789.34681051513</x:v>
      </x:c>
      <x:c r="E50" s="13" t="n">
        <x:v>166646.63459861078</x:v>
      </x:c>
      <x:c r="F50" s="13" t="n">
        <x:v>152917.3879989921</x:v>
      </x:c>
      <x:c r="G50" s="13" t="n">
        <x:v>319564.02259760286</x:v>
      </x:c>
      <x:c r="H50" s="13" t="n">
        <x:v>845898.6305918819</x:v>
      </x:c>
      <x:c r="I50" s="13" t="n">
        <x:v>2892005.2679904597</x:v>
      </x:c>
      <x:c r="J50" s="13" t="n">
        <x:v>5080938.239467777</x:v>
      </x:c>
      <x:c r="K50" s="13" t="n">
        <x:v>17263.237359018</x:v>
      </x:c>
      <x:c r="L50" s="13" t="n">
        <x:v>0.9176146183048505</x:v>
      </x:c>
      <x:c r="M50" s="13" t="n">
        <x:v>0.2593333365233758</x:v>
      </x:c>
    </x:row>
    <x:row r="51" ht="15" hidden="0" customHeight="1">
      <x:c r="A51" s="13" t="n">
        <x:v>50</x:v>
      </x:c>
      <x:c r="B51" s="13" t="n">
        <x:v>86</x:v>
      </x:c>
      <x:c r="C51" s="13" t="n">
        <x:v>1257400</x:v>
      </x:c>
      <x:c r="D51" s="13" t="n">
        <x:v>67819.8419367561</x:v>
      </x:c>
      <x:c r="E51" s="13" t="n">
        <x:v>170047.58632511305</x:v>
      </x:c>
      <x:c r="F51" s="13" t="n">
        <x:v>159103.67955729755</x:v>
      </x:c>
      <x:c r="G51" s="13" t="n">
        <x:v>329151.2658824106</x:v>
      </x:c>
      <x:c r="H51" s="13" t="n">
        <x:v>860428.8921808333</x:v>
      </x:c>
      <x:c r="I51" s="13" t="n">
        <x:v>2951025.783663735</x:v>
      </x:c>
      <x:c r="J51" s="13" t="n">
        <x:v>5184630.856599773</x:v>
      </x:c>
      <x:c r="K51" s="13" t="n">
        <x:v>17208.577843616666</x:v>
      </x:c>
      <x:c r="L51" s="13" t="n">
        <x:v>0.935642092873392</x:v>
      </x:c>
      <x:c r="M51" s="13" t="n">
        <x:v>0.2617713264533248</x:v>
      </x:c>
    </x:row>
    <x:row r="52" ht="15" hidden="0" customHeight="1">
      <x:c r="A52" s="13" t="n">
        <x:v>51</x:v>
      </x:c>
      <x:c r="B52" s="13" t="n">
        <x:v>86</x:v>
      </x:c>
      <x:c r="C52" s="13" t="n">
        <x:v>1282548</x:v>
      </x:c>
      <x:c r="D52" s="13" t="n">
        <x:v>68850.29018453062</x:v>
      </x:c>
      <x:c r="E52" s="13" t="n">
        <x:v>173448.5380516153</x:v>
      </x:c>
      <x:c r="F52" s="13" t="n">
        <x:v>165410.69329353073</x:v>
      </x:c>
      <x:c r="G52" s="13" t="n">
        <x:v>338859.231345146</x:v>
      </x:c>
      <x:c r="H52" s="13" t="n">
        <x:v>874838.4784703233</x:v>
      </x:c>
      <x:c r="I52" s="13" t="n">
        <x:v>3010046.2993370094</x:v>
      </x:c>
      <x:c r="J52" s="13" t="n">
        <x:v>5288323.473731768</x:v>
      </x:c>
      <x:c r="K52" s="13" t="n">
        <x:v>17153.69565628085</x:v>
      </x:c>
      <x:c r="L52" s="13" t="n">
        <x:v>0.9536586191594614</x:v>
      </x:c>
      <x:c r="M52" s="13" t="n">
        <x:v>0.26420783576532497</x:v>
      </x:c>
    </x:row>
    <x:row r="53" ht="15" hidden="0" customHeight="1">
      <x:c r="A53" s="13" t="n">
        <x:v>52</x:v>
      </x:c>
      <x:c r="B53" s="13" t="n">
        <x:v>86</x:v>
      </x:c>
      <x:c r="C53" s="13" t="n">
        <x:v>1307696</x:v>
      </x:c>
      <x:c r="D53" s="13" t="n">
        <x:v>69880.69157375366</x:v>
      </x:c>
      <x:c r="E53" s="13" t="n">
        <x:v>176849.48977811757</x:v>
      </x:c>
      <x:c r="F53" s="13" t="n">
        <x:v>171838.37530817548</x:v>
      </x:c>
      <x:c r="G53" s="13" t="n">
        <x:v>348687.865086293</x:v>
      </x:c>
      <x:c r="H53" s="13" t="n">
        <x:v>889127.4433399532</x:v>
      </x:c>
      <x:c r="I53" s="13" t="n">
        <x:v>3069066.815010284</x:v>
      </x:c>
      <x:c r="J53" s="13" t="n">
        <x:v>5392016.090863764</x:v>
      </x:c>
      <x:c r="K53" s="13" t="n">
        <x:v>17098.604679614484</x:v>
      </x:c>
      <x:c r="L53" s="13" t="n">
        <x:v>0.9716645240185356</x:v>
      </x:c>
      <x:c r="M53" s="13" t="n">
        <x:v>0.26664290866248197</x:v>
      </x:c>
    </x:row>
    <x:row r="54" ht="15" hidden="0" customHeight="1">
      <x:c r="A54" s="13" t="n">
        <x:v>53</x:v>
      </x:c>
      <x:c r="B54" s="13" t="n">
        <x:v>86</x:v>
      </x:c>
      <x:c r="C54" s="13" t="n">
        <x:v>1332844</x:v>
      </x:c>
      <x:c r="D54" s="13" t="n">
        <x:v>70911.04612375934</x:v>
      </x:c>
      <x:c r="E54" s="13" t="n">
        <x:v>180250.4415046198</x:v>
      </x:c>
      <x:c r="F54" s="13" t="n">
        <x:v>178386.67327375972</x:v>
      </x:c>
      <x:c r="G54" s="13" t="n">
        <x:v>358637.1147783795</x:v>
      </x:c>
      <x:c r="H54" s="13" t="n">
        <x:v>903295.8390978611</x:v>
      </x:c>
      <x:c r="I54" s="13" t="n">
        <x:v>3128087.3306835587</x:v>
      </x:c>
      <x:c r="J54" s="13" t="n">
        <x:v>5495708.707995759</x:v>
      </x:c>
      <x:c r="K54" s="13" t="n">
        <x:v>17043.317718827566</x:v>
      </x:c>
      <x:c r="L54" s="13" t="n">
        <x:v>0.9896601183591979</x:v>
      </x:c>
      <x:c r="M54" s="13" t="n">
        <x:v>0.2690765871912838</x:v>
      </x:c>
    </x:row>
    <x:row r="55" ht="15" hidden="0" customHeight="1">
      <x:c r="A55" s="13" t="n">
        <x:v>54</x:v>
      </x:c>
      <x:c r="B55" s="13" t="n">
        <x:v>86</x:v>
      </x:c>
      <x:c r="C55" s="13" t="n">
        <x:v>1357992</x:v>
      </x:c>
      <x:c r="D55" s="13" t="n">
        <x:v>71941.35385332865</x:v>
      </x:c>
      <x:c r="E55" s="13" t="n">
        <x:v>183651.39323112209</x:v>
      </x:c>
      <x:c r="F55" s="13" t="n">
        <x:v>185055.53635990323</x:v>
      </x:c>
      <x:c r="G55" s="13" t="n">
        <x:v>368706.9295910253</x:v>
      </x:c>
      <x:c r="H55" s="13" t="n">
        <x:v>917343.716555646</x:v>
      </x:c>
      <x:c r="I55" s="13" t="n">
        <x:v>3187107.8463568334</x:v>
      </x:c>
      <x:c r="J55" s="13" t="n">
        <x:v>5599401.325127754</x:v>
      </x:c>
      <x:c r="K55" s="13" t="n">
        <x:v>16987.846602882335</x:v>
      </x:c>
      <x:c r="L55" s="13" t="n">
        <x:v>1.0076456982115787</x:v>
      </x:c>
      <x:c r="M55" s="13" t="n">
        <x:v>0.2715089113860945</x:v>
      </x:c>
    </x:row>
    <x:row r="56" ht="15" hidden="0" customHeight="1">
      <x:c r="A56" s="13" t="n">
        <x:v>55</x:v>
      </x:c>
      <x:c r="B56" s="13" t="n">
        <x:v>86</x:v>
      </x:c>
      <x:c r="C56" s="13" t="n">
        <x:v>1383140</x:v>
      </x:c>
      <x:c r="D56" s="13" t="n">
        <x:v>72971.61478071529</x:v>
      </x:c>
      <x:c r="E56" s="13" t="n">
        <x:v>187052.34495762433</x:v>
      </x:c>
      <x:c r="F56" s="13" t="n">
        <x:v>191844.91516327404</x:v>
      </x:c>
      <x:c r="G56" s="13" t="n">
        <x:v>378897.26012089837</x:v>
      </x:c>
      <x:c r="H56" s="13" t="n">
        <x:v>931271.1250983863</x:v>
      </x:c>
      <x:c r="I56" s="13" t="n">
        <x:v>3246128.3620301085</x:v>
      </x:c>
      <x:c r="J56" s="13" t="n">
        <x:v>5703093.94225975</x:v>
      </x:c>
      <x:c r="K56" s="13" t="n">
        <x:v>16932.202274516116</x:v>
      </x:c>
      <x:c r="L56" s="13" t="n">
        <x:v>1.0256215457054838</x:v>
      </x:c>
      <x:c r="M56" s="13" t="n">
        <x:v>0.27393991940143325</x:v>
      </x:c>
    </x:row>
    <x:row r="57" ht="15" hidden="0" customHeight="1">
      <x:c r="A57" s="13" t="n">
        <x:v>56</x:v>
      </x:c>
      <x:c r="B57" s="13" t="n">
        <x:v>86</x:v>
      </x:c>
      <x:c r="C57" s="13" t="n">
        <x:v>1408288</x:v>
      </x:c>
      <x:c r="D57" s="13" t="n">
        <x:v>74001.82892366992</x:v>
      </x:c>
      <x:c r="E57" s="13" t="n">
        <x:v>190453.2966841266</x:v>
      </x:c>
      <x:c r="F57" s="13" t="n">
        <x:v>198754.7616420482</x:v>
      </x:c>
      <x:c r="G57" s="13" t="n">
        <x:v>389208.0583261748</x:v>
      </x:c>
      <x:c r="H57" s="13" t="n">
        <x:v>945078.1127501553</x:v>
      </x:c>
      <x:c r="I57" s="13" t="n">
        <x:v>3305148.8777033826</x:v>
      </x:c>
      <x:c r="J57" s="13" t="n">
        <x:v>5806786.559391745</x:v>
      </x:c>
      <x:c r="K57" s="13" t="n">
        <x:v>16876.394870538486</x:v>
      </x:c>
      <x:c r="L57" s="13" t="n">
        <x:v>1.0435879299673654</x:v>
      </x:c>
      <x:c r="M57" s="13" t="n">
        <x:v>0.2763696476332787</x:v>
      </x:c>
    </x:row>
    <x:row r="58" ht="15" hidden="0" customHeight="1">
      <x:c r="A58" s="13" t="n">
        <x:v>57</x:v>
      </x:c>
      <x:c r="B58" s="13" t="n">
        <x:v>86</x:v>
      </x:c>
      <x:c r="C58" s="13" t="n">
        <x:v>1433436</x:v>
      </x:c>
      <x:c r="D58" s="13" t="n">
        <x:v>75031.99629946281</x:v>
      </x:c>
      <x:c r="E58" s="13" t="n">
        <x:v>193854.24841062888</x:v>
      </x:c>
      <x:c r="F58" s="13" t="n">
        <x:v>205785.02905450715</x:v>
      </x:c>
      <x:c r="G58" s="13" t="n">
        <x:v>399639.277465136</x:v>
      </x:c>
      <x:c r="H58" s="13" t="n">
        <x:v>958764.7262354012</x:v>
      </x:c>
      <x:c r="I58" s="13" t="n">
        <x:v>3364169.3933766573</x:v>
      </x:c>
      <x:c r="J58" s="13" t="n">
        <x:v>5910479.176523741</x:v>
      </x:c>
      <x:c r="K58" s="13" t="n">
        <x:v>16820.43379360353</x:v>
      </x:c>
      <x:c r="L58" s="13" t="n">
        <x:v>1.0615451079442224</x:v>
      </x:c>
      <x:c r="M58" s="13" t="n">
        <x:v>0.2787981308304912</x:v>
      </x:c>
    </x:row>
    <x:row r="59" ht="15" hidden="0" customHeight="1">
      <x:c r="A59" s="13" t="n">
        <x:v>58</x:v>
      </x:c>
      <x:c r="B59" s="13" t="n">
        <x:v>86</x:v>
      </x:c>
      <x:c r="C59" s="13" t="n">
        <x:v>1458584</x:v>
      </x:c>
      <x:c r="D59" s="13" t="n">
        <x:v>76062.11692490517</x:v>
      </x:c>
      <x:c r="E59" s="13" t="n">
        <x:v>197255.20013713112</x:v>
      </x:c>
      <x:c r="F59" s="13" t="n">
        <x:v>212935.67190144272</x:v>
      </x:c>
      <x:c r="G59" s="13" t="n">
        <x:v>410190.87203857384</x:v>
      </x:c>
      <x:c r="H59" s="13" t="n">
        <x:v>972331.0110365209</x:v>
      </x:c>
      <x:c r="I59" s="13" t="n">
        <x:v>3423189.9090499324</x:v>
      </x:c>
      <x:c r="J59" s="13" t="n">
        <x:v>6014171.793655736</x:v>
      </x:c>
      <x:c r="K59" s="13" t="n">
        <x:v>16764.32777649174</x:v>
      </x:c>
      <x:c r="L59" s="13" t="n">
        <x:v>1.0794933251615704</x:v>
      </x:c>
      <x:c r="M59" s="13" t="n">
        <x:v>0.2812254021973187</x:v>
      </x:c>
    </x:row>
    <x:row r="60" ht="15" hidden="0" customHeight="1">
      <x:c r="A60" s="13" t="n">
        <x:v>59</x:v>
      </x:c>
      <x:c r="B60" s="13" t="n">
        <x:v>86</x:v>
      </x:c>
      <x:c r="C60" s="13" t="n">
        <x:v>1483732</x:v>
      </x:c>
      <x:c r="D60" s="13" t="n">
        <x:v>77092.19081636908</x:v>
      </x:c>
      <x:c r="E60" s="13" t="n">
        <x:v>200656.1518636334</x:v>
      </x:c>
      <x:c r="F60" s="13" t="n">
        <x:v>220206.6458720723</x:v>
      </x:c>
      <x:c r="G60" s="13" t="n">
        <x:v>420862.7977357057</x:v>
      </x:c>
      <x:c r="H60" s="13" t="n">
        <x:v>985777.0114479252</x:v>
      </x:c>
      <x:c r="I60" s="13" t="n">
        <x:v>3482210.4247232075</x:v>
      </x:c>
      <x:c r="J60" s="13" t="n">
        <x:v>6117864.410787732</x:v>
      </x:c>
      <x:c r="K60" s="13" t="n">
        <x:v>16708.084939795343</x:v>
      </x:c>
      <x:c r="L60" s="13" t="n">
        <x:v>1.0974328164218232</x:v>
      </x:c>
      <x:c r="M60" s="13" t="n">
        <x:v>0.28365149348784396</x:v>
      </x:c>
    </x:row>
    <x:row r="61" ht="15" hidden="0" customHeight="1">
      <x:c r="A61" s="13" t="n">
        <x:v>60</x:v>
      </x:c>
      <x:c r="B61" s="13" t="n">
        <x:v>86</x:v>
      </x:c>
      <x:c r="C61" s="13" t="n">
        <x:v>1508880</x:v>
      </x:c>
      <x:c r="D61" s="13" t="n">
        <x:v>78122.21798980635</x:v>
      </x:c>
      <x:c r="E61" s="13" t="n">
        <x:v>204057.10359013564</x:v>
      </x:c>
      <x:c r="F61" s="13" t="n">
        <x:v>227597.90779319243</x:v>
      </x:c>
      <x:c r="G61" s="13" t="n">
        <x:v>431655.01138332806</x:v>
      </x:c>
      <x:c r="H61" s="13" t="n">
        <x:v>999102.7706268656</x:v>
      </x:c>
      <x:c r="I61" s="13" t="n">
        <x:v>3541230.9403964817</x:v>
      </x:c>
      <x:c r="J61" s="13" t="n">
        <x:v>6221557.027919727</x:v>
      </x:c>
      <x:c r="K61" s="13" t="n">
        <x:v>16651.712843781093</x:v>
      </x:c>
      <x:c r="L61" s="13" t="n">
        <x:v>1.1153638064487101</x:v>
      </x:c>
      <x:c r="M61" s="13" t="n">
        <x:v>0.286076435093134</x:v>
      </x:c>
    </x:row>
    <x:row r="62" ht="15" hidden="0" customHeight="1">
      <x:c r="A62" s="13" t="n">
        <x:v>61</x:v>
      </x:c>
      <x:c r="B62" s="13" t="n">
        <x:v>86</x:v>
      </x:c>
      <x:c r="C62" s="13" t="n">
        <x:v>1534028</x:v>
      </x:c>
      <x:c r="D62" s="13" t="n">
        <x:v>79152.19846076609</x:v>
      </x:c>
      <x:c r="E62" s="13" t="n">
        <x:v>207458.0553166379</x:v>
      </x:c>
      <x:c r="F62" s="13" t="n">
        <x:v>235109.41558132728</x:v>
      </x:c>
      <x:c r="G62" s="13" t="n">
        <x:v>442567.4708979652</x:v>
      </x:c>
      <x:c r="H62" s="13" t="n">
        <x:v>1012308.3306412688</x:v>
      </x:c>
      <x:c r="I62" s="13" t="n">
        <x:v>3600251.4560697563</x:v>
      </x:c>
      <x:c r="J62" s="13" t="n">
        <x:v>6325249.645051723</x:v>
      </x:c>
      <x:c r="K62" s="13" t="n">
        <x:v>16595.218535102766</x:v>
      </x:c>
      <x:c r="L62" s="13" t="n">
        <x:v>1.1332865104827374</x:v>
      </x:c>
      <x:c r="M62" s="13" t="n">
        <x:v>0.2885002561217691</x:v>
      </x:c>
    </x:row>
    <x:row r="63" ht="15" hidden="0" customHeight="1">
      <x:c r="A63" s="13" t="n">
        <x:v>62</x:v>
      </x:c>
      <x:c r="B63" s="13" t="n">
        <x:v>86</x:v>
      </x:c>
      <x:c r="C63" s="13" t="n">
        <x:v>1559176</x:v>
      </x:c>
      <x:c r="D63" s="13" t="n">
        <x:v>80182.13224441148</x:v>
      </x:c>
      <x:c r="E63" s="13" t="n">
        <x:v>210859.00704314015</x:v>
      </x:c>
      <x:c r="F63" s="13" t="n">
        <x:v>242741.1281976478</x:v>
      </x:c>
      <x:c r="G63" s="13" t="n">
        <x:v>453600.135240788</x:v>
      </x:c>
      <x:c r="H63" s="13" t="n">
        <x:v>1025393.7325148005</x:v>
      </x:c>
      <x:c r="I63" s="13" t="n">
        <x:v>3659271.9717430314</x:v>
      </x:c>
      <x:c r="J63" s="13" t="n">
        <x:v>6428942.262183718</x:v>
      </x:c>
      <x:c r="K63" s="13" t="n">
        <x:v>16538.608588948395</x:v>
      </x:c>
      <x:c r="L63" s="13" t="n">
        <x:v>1.1512011348321716</x:v>
      </x:c>
      <x:c r="M63" s="13" t="n">
        <x:v>0.29092298447435566</x:v>
      </x:c>
    </x:row>
    <x:row r="64" ht="15" hidden="0" customHeight="1">
      <x:c r="A64" s="13" t="n">
        <x:v>63</x:v>
      </x:c>
      <x:c r="B64" s="13" t="n">
        <x:v>86</x:v>
      </x:c>
      <x:c r="C64" s="13" t="n">
        <x:v>1584324</x:v>
      </x:c>
      <x:c r="D64" s="13" t="n">
        <x:v>81212.01935553539</x:v>
      </x:c>
      <x:c r="E64" s="13" t="n">
        <x:v>214259.95876964243</x:v>
      </x:c>
      <x:c r="F64" s="13" t="n">
        <x:v>250493.0056054594</x:v>
      </x:c>
      <x:c r="G64" s="13" t="n">
        <x:v>464752.9643751018</x:v>
      </x:c>
      <x:c r="H64" s="13" t="n">
        <x:v>1038359.0162693628</x:v>
      </x:c>
      <x:c r="I64" s="13" t="n">
        <x:v>3718292.4874163056</x:v>
      </x:c>
      <x:c r="J64" s="13" t="n">
        <x:v>6532634.879315714</x:v>
      </x:c>
      <x:c r="K64" s="13" t="n">
        <x:v>16481.88914713274</x:v>
      </x:c>
      <x:c r="L64" s="13" t="n">
        <x:v>1.1691078773835304</x:v>
      </x:c>
      <x:c r="M64" s="13" t="n">
        <x:v>0.29334464691256446</x:v>
      </x:c>
    </x:row>
    <x:row r="65" ht="15" hidden="0" customHeight="1">
      <x:c r="A65" s="13" t="n">
        <x:v>64</x:v>
      </x:c>
      <x:c r="B65" s="13" t="n">
        <x:v>86</x:v>
      </x:c>
      <x:c r="C65" s="13" t="n">
        <x:v>1609472</x:v>
      </x:c>
      <x:c r="D65" s="13" t="n">
        <x:v>82241.85980857529</x:v>
      </x:c>
      <x:c r="E65" s="13" t="n">
        <x:v>217660.9104961447</x:v>
      </x:c>
      <x:c r="F65" s="13" t="n">
        <x:v>258365.00873007215</x:v>
      </x:c>
      <x:c r="G65" s="13" t="n">
        <x:v>476025.91922621685</x:v>
      </x:c>
      <x:c r="H65" s="13" t="n">
        <x:v>1051204.2209652078</x:v>
      </x:c>
      <x:c r="I65" s="13" t="n">
        <x:v>3777313.00308958</x:v>
      </x:c>
      <x:c r="J65" s="13" t="n">
        <x:v>6636327.496447709</x:v>
      </x:c>
      <x:c r="K65" s="13" t="n">
        <x:v>16425.06595258137</x:v>
      </x:c>
      <x:c r="L65" s="13" t="n">
        <x:v>1.187006928075165</x:v>
      </x:c>
      <x:c r="M65" s="13" t="n">
        <x:v>0.29576526912317636</x:v>
      </x:c>
    </x:row>
    <x:row r="66" ht="15" hidden="0" customHeight="1">
      <x:c r="A66" s="13" t="n">
        <x:v>65</x:v>
      </x:c>
      <x:c r="B66" s="13" t="n">
        <x:v>86</x:v>
      </x:c>
      <x:c r="C66" s="13" t="n">
        <x:v>1634620</x:v>
      </x:c>
      <x:c r="D66" s="13" t="n">
        <x:v>83271.65361762716</x:v>
      </x:c>
      <x:c r="E66" s="13" t="n">
        <x:v>221061.86222264695</x:v>
      </x:c>
      <x:c r="F66" s="13" t="n">
        <x:v>266357.0994208862</x:v>
      </x:c>
      <x:c r="G66" s="13" t="n">
        <x:v>487418.9616435332</x:v>
      </x:c>
      <x:c r="H66" s="13" t="n">
        <x:v>1063929.3847388397</x:v>
      </x:c>
      <x:c r="I66" s="13" t="n">
        <x:v>3836333.5187628553</x:v>
      </x:c>
      <x:c r="J66" s="13" t="n">
        <x:v>6740020.113579704</x:v>
      </x:c>
      <x:c r="K66" s="13" t="n">
        <x:v>16368.144380597534</x:v>
      </x:c>
      <x:c r="L66" s="13" t="n">
        <x:v>1.2048984693371452</x:v>
      </x:c>
      <x:c r="M66" s="13" t="n">
        <x:v>0.2981848757775711</x:v>
      </x:c>
    </x:row>
    <x:row r="67" ht="15" hidden="0" customHeight="1">
      <x:c r="A67" s="13" t="n">
        <x:v>66</x:v>
      </x:c>
      <x:c r="B67" s="13" t="n">
        <x:v>86</x:v>
      </x:c>
      <x:c r="C67" s="13" t="n">
        <x:v>1659768</x:v>
      </x:c>
      <x:c r="D67" s="13" t="n">
        <x:v>84301.40079645887</x:v>
      </x:c>
      <x:c r="E67" s="13" t="n">
        <x:v>224462.81394914922</x:v>
      </x:c>
      <x:c r="F67" s="13" t="n">
        <x:v>274469.24041553546</x:v>
      </x:c>
      <x:c r="G67" s="13" t="n">
        <x:v>498932.0543646847</x:v>
      </x:c>
      <x:c r="H67" s="13" t="n">
        <x:v>1076534.5448388564</x:v>
      </x:c>
      <x:c r="I67" s="13" t="n">
        <x:v>3895354.0344361295</x:v>
      </x:c>
      <x:c r="J67" s="13" t="n">
        <x:v>6843712.7307117</x:v>
      </x:c>
      <x:c r="K67" s="13" t="n">
        <x:v>16311.129467255401</x:v>
      </x:c>
      <x:c r="L67" s="13" t="n">
        <x:v>1.2227826765003262</x:v>
      </x:c>
      <x:c r="M67" s="13" t="n">
        <x:v>0.3006034905870487</x:v>
      </x:c>
    </x:row>
    <x:row r="68" ht="15" hidden="0" customHeight="1">
      <x:c r="A68" s="13" t="n">
        <x:v>67</x:v>
      </x:c>
      <x:c r="B68" s="13" t="n">
        <x:v>86</x:v>
      </x:c>
      <x:c r="C68" s="13" t="n">
        <x:v>1684916</x:v>
      </x:c>
      <x:c r="D68" s="13" t="n">
        <x:v>85331.10135852254</x:v>
      </x:c>
      <x:c r="E68" s="13" t="n">
        <x:v>227863.76567565146</x:v>
      </x:c>
      <x:c r="F68" s="13" t="n">
        <x:v>282701.39530594985</x:v>
      </x:c>
      <x:c r="G68" s="13" t="n">
        <x:v>510565.16098160134</x:v>
      </x:c>
      <x:c r="H68" s="13" t="n">
        <x:v>1089019.7376598762</x:v>
      </x:c>
      <x:c r="I68" s="13" t="n">
        <x:v>3954374.5501094046</x:v>
      </x:c>
      <x:c r="J68" s="13" t="n">
        <x:v>6947405.347843695</x:v>
      </x:c>
      <x:c r="K68" s="13" t="n">
        <x:v>16254.025935222033</x:v>
      </x:c>
      <x:c r="L68" s="13" t="n">
        <x:v>1.2406597181772026</x:v>
      </x:c>
      <x:c r="M68" s="13" t="n">
        <x:v>0.30302113635433536</x:v>
      </x:c>
    </x:row>
    <x:row r="69" ht="15" hidden="0" customHeight="1">
      <x:c r="A69" s="13" t="n">
        <x:v>68</x:v>
      </x:c>
      <x:c r="B69" s="13" t="n">
        <x:v>86</x:v>
      </x:c>
      <x:c r="C69" s="13" t="n">
        <x:v>1710064</x:v>
      </x:c>
      <x:c r="D69" s="13" t="n">
        <x:v>86360.75531696662</x:v>
      </x:c>
      <x:c r="E69" s="13" t="n">
        <x:v>231264.71740215374</x:v>
      </x:c>
      <x:c r="F69" s="13" t="n">
        <x:v>291053.52850620536</x:v>
      </x:c>
      <x:c r="G69" s="13" t="n">
        <x:v>522318.2459083591</x:v>
      </x:c>
      <x:c r="H69" s="13" t="n">
        <x:v>1101384.9987746743</x:v>
      </x:c>
      <x:c r="I69" s="13" t="n">
        <x:v>4013395.0657826792</x:v>
      </x:c>
      <x:c r="J69" s="13" t="n">
        <x:v>7051097.964975691</x:v>
      </x:c>
      <x:c r="K69" s="13" t="n">
        <x:v>16196.83821727462</x:v>
      </x:c>
      <x:c r="L69" s="13" t="n">
        <x:v>1.2585297566168856</x:v>
      </x:c>
      <x:c r="M69" s="13" t="n">
        <x:v>0.30543783502158933</x:v>
      </x:c>
    </x:row>
    <x:row r="70" ht="15" hidden="0" customHeight="1">
      <x:c r="A70" s="13" t="n">
        <x:v>69</x:v>
      </x:c>
      <x:c r="B70" s="13" t="n">
        <x:v>86</x:v>
      </x:c>
      <x:c r="C70" s="13" t="n">
        <x:v>1735212</x:v>
      </x:c>
      <x:c r="D70" s="13" t="n">
        <x:v>87390.36268464699</x:v>
      </x:c>
      <x:c r="E70" s="13" t="n">
        <x:v>234665.66912865598</x:v>
      </x:c>
      <x:c r="F70" s="13" t="n">
        <x:v>299525.6052220425</x:v>
      </x:c>
      <x:c r="G70" s="13" t="n">
        <x:v>534191.2743506985</x:v>
      </x:c>
      <x:c r="H70" s="13" t="n">
        <x:v>1113630.3629646546</x:v>
      </x:c>
      <x:c r="I70" s="13" t="n">
        <x:v>4072415.5814559534</x:v>
      </x:c>
      <x:c r="J70" s="13" t="n">
        <x:v>7154790.582107686</x:v>
      </x:c>
      <x:c r="K70" s="13" t="n">
        <x:v>16139.570477748617</x:v>
      </x:c>
      <x:c r="L70" s="13" t="n">
        <x:v>1.276392948036327</x:v>
      </x:c>
      <x:c r="M70" s="13" t="n">
        <x:v>0.3078536077151947</x:v>
      </x:c>
    </x:row>
    <x:row r="71" ht="15" hidden="0" customHeight="1">
      <x:c r="A71" s="13" t="n">
        <x:v>70</x:v>
      </x:c>
      <x:c r="B71" s="13" t="n">
        <x:v>86</x:v>
      </x:c>
      <x:c r="C71" s="13" t="n">
        <x:v>1760360</x:v>
      </x:c>
      <x:c r="D71" s="13" t="n">
        <x:v>88419.9234741377</x:v>
      </x:c>
      <x:c r="E71" s="13" t="n">
        <x:v>238066.62085515825</x:v>
      </x:c>
      <x:c r="F71" s="13" t="n">
        <x:v>308117.59142194415</x:v>
      </x:c>
      <x:c r="G71" s="13" t="n">
        <x:v>546184.2122771024</x:v>
      </x:c>
      <x:c r="H71" s="13" t="n">
        <x:v>1125755.8642487598</x:v>
      </x:c>
      <x:c r="I71" s="13" t="n">
        <x:v>4131436.0971292285</x:v>
      </x:c>
      <x:c r="J71" s="13" t="n">
        <x:v>7258483.199239682</x:v>
      </x:c>
      <x:c r="K71" s="13" t="n">
        <x:v>16082.22663212514</x:v>
      </x:c>
      <x:c r="L71" s="13" t="n">
        <x:v>1.2942494429296978</x:v>
      </x:c>
      <x:c r="M71" s="13" t="n">
        <x:v>0.3102684747876016</x:v>
      </x:c>
    </x:row>
    <x:row r="72" ht="15" hidden="0" customHeight="1">
      <x:c r="A72" s="13" t="n">
        <x:v>71</x:v>
      </x:c>
      <x:c r="B72" s="13" t="n">
        <x:v>86</x:v>
      </x:c>
      <x:c r="C72" s="13" t="n">
        <x:v>1785508</x:v>
      </x:c>
      <x:c r="D72" s="13" t="n">
        <x:v>89449.4376977412</x:v>
      </x:c>
      <x:c r="E72" s="13" t="n">
        <x:v>241467.5725816605</x:v>
      </x:c>
      <x:c r="F72" s="13" t="n">
        <x:v>316829.45380967105</x:v>
      </x:c>
      <x:c r="G72" s="13" t="n">
        <x:v>558297.0263913316</x:v>
      </x:c>
      <x:c r="H72" s="13" t="n">
        <x:v>1137761.5359109272</x:v>
      </x:c>
      <x:c r="I72" s="13" t="n">
        <x:v>4190456.6128025036</x:v>
      </x:c>
      <x:c r="J72" s="13" t="n">
        <x:v>7362175.816371677</x:v>
      </x:c>
      <x:c r="K72" s="13" t="n">
        <x:v>16024.810364942638</x:v>
      </x:c>
      <x:c r="L72" s="13" t="n">
        <x:v>1.3120993863576624</x:v>
      </x:c>
      <x:c r="M72" s="13" t="n">
        <x:v>0.3126824558564462</x:v>
      </x:c>
    </x:row>
    <x:row r="73" ht="15" hidden="0" customHeight="1">
      <x:c r="A73" s="13" t="n">
        <x:v>72</x:v>
      </x:c>
      <x:c r="B73" s="13" t="n">
        <x:v>86</x:v>
      </x:c>
      <x:c r="C73" s="13" t="n">
        <x:v>1810656</x:v>
      </x:c>
      <x:c r="D73" s="13" t="n">
        <x:v>90478.90536749785</x:v>
      </x:c>
      <x:c r="E73" s="13" t="n">
        <x:v>244868.52430816277</x:v>
      </x:c>
      <x:c r="F73" s="13" t="n">
        <x:v>325661.15979816177</x:v>
      </x:c>
      <x:c r="G73" s="13" t="n">
        <x:v>570529.6841063246</x:v>
      </x:c>
      <x:c r="H73" s="13" t="n">
        <x:v>1149647.4105261776</x:v>
      </x:c>
      <x:c r="I73" s="13" t="n">
        <x:v>4249477.128475779</x:v>
      </x:c>
      <x:c r="J73" s="13" t="n">
        <x:v>7465868.433503673</x:v>
      </x:c>
      <x:c r="K73" s="13" t="n">
        <x:v>15967.325146196912</x:v>
      </x:c>
      <x:c r="L73" s="13" t="n">
        <x:v>1.3299429182181164</x:v>
      </x:c>
      <x:c r="M73" s="13" t="n">
        <x:v>0.31509556984116505</x:v>
      </x:c>
    </x:row>
    <x:row r="74" ht="15" hidden="0" customHeight="1">
      <x:c r="A74" s="13" t="n">
        <x:v>73</x:v>
      </x:c>
      <x:c r="B74" s="13" t="n">
        <x:v>86</x:v>
      </x:c>
      <x:c r="C74" s="13" t="n">
        <x:v>1835804</x:v>
      </x:c>
      <x:c r="D74" s="13" t="n">
        <x:v>91508.32649519516</x:v>
      </x:c>
      <x:c r="E74" s="13" t="n">
        <x:v>248269.47603466504</x:v>
      </x:c>
      <x:c r="F74" s="13" t="n">
        <x:v>334612.67748471233</x:v>
      </x:c>
      <x:c r="G74" s="13" t="n">
        <x:v>582882.1535193773</x:v>
      </x:c>
      <x:c r="H74" s="13" t="n">
        <x:v>1161413.5199854274</x:v>
      </x:c>
      <x:c r="I74" s="13" t="n">
        <x:v>4308497.644149053</x:v>
      </x:c>
      <x:c r="J74" s="13" t="n">
        <x:v>7569561.050635668</x:v>
      </x:c>
      <x:c r="K74" s="13" t="n">
        <x:v>15909.774246375717</x:v>
      </x:c>
      <x:c r="L74" s="13" t="n">
        <x:v>1.3477801734998283</x:v>
      </x:c>
      <x:c r="M74" s="13" t="n">
        <x:v>0.31750783499729673</x:v>
      </x:c>
    </x:row>
    <x:row r="75" ht="15" hidden="0" customHeight="1">
      <x:c r="A75" s="13" t="n">
        <x:v>74</x:v>
      </x:c>
      <x:c r="B75" s="13" t="n">
        <x:v>86</x:v>
      </x:c>
      <x:c r="C75" s="13" t="n">
        <x:v>1860952</x:v>
      </x:c>
      <x:c r="D75" s="13" t="n">
        <x:v>92537.70109237652</x:v>
      </x:c>
      <x:c r="E75" s="13" t="n">
        <x:v>251670.4277611673</x:v>
      </x:c>
      <x:c r="F75" s="13" t="n">
        <x:v>343683.97562735394</x:v>
      </x:c>
      <x:c r="G75" s="13" t="n">
        <x:v>595354.4033885213</x:v>
      </x:c>
      <x:c r="H75" s="13" t="n">
        <x:v>1173059.8955191022</x:v>
      </x:c>
      <x:c r="I75" s="13" t="n">
        <x:v>4367518.159822327</x:v>
      </x:c>
      <x:c r="J75" s="13" t="n">
        <x:v>7673253.667767664</x:v>
      </x:c>
      <x:c r="K75" s="13" t="n">
        <x:v>15852.160750258137</x:v>
      </x:c>
      <x:c r="L75" s="13" t="n">
        <x:v>1.3656112825202753</x:v>
      </x:c>
      <x:c r="M75" s="13" t="n">
        <x:v>0.3199192689486463</x:v>
      </x:c>
    </x:row>
    <x:row r="76" ht="15" hidden="0" customHeight="1">
      <x:c r="A76" s="13" t="n">
        <x:v>75</x:v>
      </x:c>
      <x:c r="B76" s="13" t="n">
        <x:v>86</x:v>
      </x:c>
      <x:c r="C76" s="13" t="n">
        <x:v>1886100</x:v>
      </x:c>
      <x:c r="D76" s="13" t="n">
        <x:v>93567.02917034949</x:v>
      </x:c>
      <x:c r="E76" s="13" t="n">
        <x:v>255071.37948766956</x:v>
      </x:c>
      <x:c r="F76" s="13" t="n">
        <x:v>352875.02362235787</x:v>
      </x:c>
      <x:c r="G76" s="13" t="n">
        <x:v>607946.4031100274</x:v>
      </x:c>
      <x:c r="H76" s="13" t="n">
        <x:v>1184586.567719623</x:v>
      </x:c>
      <x:c r="I76" s="13" t="n">
        <x:v>4426538.675495602</x:v>
      </x:c>
      <x:c r="J76" s="13" t="n">
        <x:v>7776946.284899659</x:v>
      </x:c>
      <x:c r="K76" s="13" t="n">
        <x:v>15794.487569594972</x:v>
      </x:c>
      <x:c r="L76" s="13" t="n">
        <x:v>1.38343637114887</x:v>
      </x:c>
      <x:c r="M76" s="13" t="n">
        <x:v>0.32232988871747387</x:v>
      </x:c>
    </x:row>
    <x:row r="77" ht="15" hidden="0" customHeight="1">
      <x:c r="A77" s="13" t="n">
        <x:v>76</x:v>
      </x:c>
      <x:c r="B77" s="13" t="n">
        <x:v>86</x:v>
      </x:c>
      <x:c r="C77" s="13" t="n">
        <x:v>1911248</x:v>
      </x:c>
      <x:c r="D77" s="13" t="n">
        <x:v>94596.31074019376</x:v>
      </x:c>
      <x:c r="E77" s="13" t="n">
        <x:v>258472.33121417183</x:v>
      </x:c>
      <x:c r="F77" s="13" t="n">
        <x:v>362185.7914827973</x:v>
      </x:c>
      <x:c r="G77" s="13" t="n">
        <x:v>620658.1226969691</x:v>
      </x:c>
      <x:c r="H77" s="13" t="n">
        <x:v>1195993.5665628372</x:v>
      </x:c>
      <x:c r="I77" s="13" t="n">
        <x:v>4485559.191168876</x:v>
      </x:c>
      <x:c r="J77" s="13" t="n">
        <x:v>7880638.9020316545</x:v>
      </x:c>
      <x:c r="K77" s="13" t="n">
        <x:v>15736.757454774173</x:v>
      </x:c>
      <x:c r="L77" s="13" t="n">
        <x:v>1.4012555610166562</x:v>
      </x:c>
      <x:c r="M77" s="13" t="n">
        <x:v>0.32473971075285313</x:v>
      </x:c>
    </x:row>
    <x:row r="78" ht="15" hidden="0" customHeight="1">
      <x:c r="A78" s="13" t="n">
        <x:v>77</x:v>
      </x:c>
      <x:c r="B78" s="13" t="n">
        <x:v>86</x:v>
      </x:c>
      <x:c r="C78" s="13" t="n">
        <x:v>1936396</x:v>
      </x:c>
      <x:c r="D78" s="13" t="n">
        <x:v>95625.54581276861</x:v>
      </x:c>
      <x:c r="E78" s="13" t="n">
        <x:v>261873.28294067408</x:v>
      </x:c>
      <x:c r="F78" s="13" t="n">
        <x:v>371616.2498181041</x:v>
      </x:c>
      <x:c r="G78" s="13" t="n">
        <x:v>633489.5327587782</x:v>
      </x:c>
      <x:c r="H78" s="13" t="n">
        <x:v>1207280.9214284532</x:v>
      </x:c>
      <x:c r="I78" s="13" t="n">
        <x:v>4544579.7068421515</x:v>
      </x:c>
      <x:c r="J78" s="13" t="n">
        <x:v>7984331.51916365</x:v>
      </x:c>
      <x:c r="K78" s="13" t="n">
        <x:v>15678.973005564327</x:v>
      </x:c>
      <x:c r="L78" s="13" t="n">
        <x:v>1.4190689697134613</x:v>
      </x:c>
      <x:c r="M78" s="13" t="n">
        <x:v>0.32714875095733426</x:v>
      </x:c>
    </x:row>
    <x:row r="79" ht="15" hidden="0" customHeight="1">
      <x:c r="A79" s="13" t="n">
        <x:v>78</x:v>
      </x:c>
      <x:c r="B79" s="13" t="n">
        <x:v>86</x:v>
      </x:c>
      <x:c r="C79" s="13" t="n">
        <x:v>1961544</x:v>
      </x:c>
      <x:c r="D79" s="13" t="n">
        <x:v>96654.73439872029</x:v>
      </x:c>
      <x:c r="E79" s="13" t="n">
        <x:v>265274.2346671763</x:v>
      </x:c>
      <x:c r="F79" s="13" t="n">
        <x:v>381166.3698145618</x:v>
      </x:c>
      <x:c r="G79" s="13" t="n">
        <x:v>646440.6044817382</x:v>
      </x:c>
      <x:c r="H79" s="13" t="n">
        <x:v>1218448.6611195416</x:v>
      </x:c>
      <x:c r="I79" s="13" t="n">
        <x:v>4603600.222515427</x:v>
      </x:c>
      <x:c r="J79" s="13" t="n">
        <x:v>8088024.1362956455</x:v>
      </x:c>
      <x:c r="K79" s="13" t="n">
        <x:v>15621.136681019765</x:v>
      </x:c>
      <x:c r="L79" s="13" t="n">
        <x:v>1.4368767109734135</x:v>
      </x:c>
      <x:c r="M79" s="13" t="n">
        <x:v>0.329557024712032</x:v>
      </x:c>
    </x:row>
    <x:row r="80" ht="15" hidden="0" customHeight="1">
      <x:c r="A80" s="13" t="n">
        <x:v>79</x:v>
      </x:c>
      <x:c r="B80" s="13" t="n">
        <x:v>86</x:v>
      </x:c>
      <x:c r="C80" s="13" t="n">
        <x:v>1986692</x:v>
      </x:c>
      <x:c r="D80" s="13" t="n">
        <x:v>97683.87650848867</x:v>
      </x:c>
      <x:c r="E80" s="13" t="n">
        <x:v>268675.1863936786</x:v>
      </x:c>
      <x:c r="F80" s="13" t="n">
        <x:v>390836.12321668025</x:v>
      </x:c>
      <x:c r="G80" s="13" t="n">
        <x:v>659511.3096103588</x:v>
      </x:c>
      <x:c r="H80" s="13" t="n">
        <x:v>1229496.8138811525</x:v>
      </x:c>
      <x:c r="I80" s="13" t="n">
        <x:v>4662620.738188701</x:v>
      </x:c>
      <x:c r="J80" s="13" t="n">
        <x:v>8191716.7534276415</x:v>
      </x:c>
      <x:c r="K80" s="13" t="n">
        <x:v>15563.250808622184</x:v>
      </x:c>
      <x:c r="L80" s="13" t="n">
        <x:v>1.4546788948496505</x:v>
      </x:c>
      <x:c r="M80" s="13" t="n">
        <x:v>0.3319645469002537</x:v>
      </x:c>
    </x:row>
    <x:row r="81" ht="15" hidden="0" customHeight="1">
      <x:c r="A81" s="13" t="n">
        <x:v>80</x:v>
      </x:c>
      <x:c r="B81" s="13" t="n">
        <x:v>86</x:v>
      </x:c>
      <x:c r="C81" s="13" t="n">
        <x:v>2011840</x:v>
      </x:c>
      <x:c r="D81" s="13" t="n">
        <x:v>98712.97215231405</x:v>
      </x:c>
      <x:c r="E81" s="13" t="n">
        <x:v>272076.13812018087</x:v>
      </x:c>
      <x:c r="F81" s="13" t="n">
        <x:v>400625.4823094014</x:v>
      </x:c>
      <x:c r="G81" s="13" t="n">
        <x:v>672701.6204295823</x:v>
      </x:c>
      <x:c r="H81" s="13" t="n">
        <x:v>1240425.4074181037</x:v>
      </x:c>
      <x:c r="I81" s="13" t="n">
        <x:v>4721641.253861976</x:v>
      </x:c>
      <x:c r="J81" s="13" t="n">
        <x:v>8295409.3705596365</x:v>
      </x:c>
      <x:c r="K81" s="13" t="n">
        <x:v>15505.317592726296</x:v>
      </x:c>
      <x:c r="L81" s="13" t="n">
        <x:v>1.47247562787898</x:v>
      </x:c>
      <x:c r="M81" s="13" t="n">
        <x:v>0.3343713319297669</x:v>
      </x:c>
    </x:row>
    <x:row r="82" ht="15" hidden="0" customHeight="1">
      <x:c r="A82" s="13" t="n">
        <x:v>81</x:v>
      </x:c>
      <x:c r="B82" s="13" t="n">
        <x:v>86</x:v>
      </x:c>
      <x:c r="C82" s="13" t="n">
        <x:v>2036988</x:v>
      </x:c>
      <x:c r="D82" s="13" t="n">
        <x:v>99742.02134024326</x:v>
      </x:c>
      <x:c r="E82" s="13" t="n">
        <x:v>275477.08984668314</x:v>
      </x:c>
      <x:c r="F82" s="13" t="n">
        <x:v>410534.4199010892</x:v>
      </x:c>
      <x:c r="G82" s="13" t="n">
        <x:v>686011.5097477724</x:v>
      </x:c>
      <x:c r="H82" s="13" t="n">
        <x:v>1251234.4689119842</x:v>
      </x:c>
      <x:c r="I82" s="13" t="n">
        <x:v>4780661.76953525</x:v>
      </x:c>
      <x:c r="J82" s="13" t="n">
        <x:v>8399101.987691632</x:v>
      </x:c>
      <x:c r="K82" s="13" t="n">
        <x:v>15447.339122370176</x:v>
      </x:c>
      <x:c r="L82" s="13" t="n">
        <x:v>1.490267013237189</x:v>
      </x:c>
      <x:c r="M82" s="13" t="n">
        <x:v>0.33677739375380333</x:v>
      </x:c>
    </x:row>
    <x:row r="83" ht="15" hidden="0" customHeight="1">
      <x:c r="A83" s="13" t="n">
        <x:v>82</x:v>
      </x:c>
      <x:c r="B83" s="13" t="n">
        <x:v>86</x:v>
      </x:c>
      <x:c r="C83" s="13" t="n">
        <x:v>2062136</x:v>
      </x:c>
      <x:c r="D83" s="13" t="n">
        <x:v>100771.02915484214</x:v>
      </x:c>
      <x:c r="E83" s="13" t="n">
        <x:v>278878.0415731854</x:v>
      </x:c>
      <x:c r="F83" s="13" t="n">
        <x:v>420562.9093072599</x:v>
      </x:c>
      <x:c r="G83" s="13" t="n">
        <x:v>699440.9508804453</x:v>
      </x:c>
      <x:c r="H83" s="13" t="n">
        <x:v>1261924.0199647124</x:v>
      </x:c>
      <x:c r="I83" s="13" t="n">
        <x:v>4839682.285208524</x:v>
      </x:c>
      <x:c r="J83" s="13" t="n">
        <x:v>8502794.604823628</x:v>
      </x:c>
      <x:c r="K83" s="13" t="n">
        <x:v>15389.317316642835</x:v>
      </x:c>
      <x:c r="L83" s="13" t="n">
        <x:v>1.508053150885644</x:v>
      </x:c>
      <x:c r="M83" s="13" t="n">
        <x:v>0.33918274589088465</x:v>
      </x:c>
    </x:row>
    <x:row r="84" ht="15" hidden="0" customHeight="1">
      <x:c r="A84" s="13" t="n">
        <x:v>83</x:v>
      </x:c>
      <x:c r="B84" s="13" t="n">
        <x:v>86</x:v>
      </x:c>
      <x:c r="C84" s="13" t="n">
        <x:v>2087284</x:v>
      </x:c>
      <x:c r="D84" s="13" t="n">
        <x:v>101799.99158895068</x:v>
      </x:c>
      <x:c r="E84" s="13" t="n">
        <x:v>282278.99329968763</x:v>
      </x:c>
      <x:c r="F84" s="13" t="n">
        <x:v>430710.924335011</x:v>
      </x:c>
      <x:c r="G84" s="13" t="n">
        <x:v>712989.9176346987</x:v>
      </x:c>
      <x:c r="H84" s="13" t="n">
        <x:v>1272494.0907763506</x:v>
      </x:c>
      <x:c r="I84" s="13" t="n">
        <x:v>4898702.800881799</x:v>
      </x:c>
      <x:c r="J84" s="13" t="n">
        <x:v>8606487.221955623</x:v>
      </x:c>
      <x:c r="K84" s="13" t="n">
        <x:v>15331.254105739165</x:v>
      </x:c>
      <x:c r="L84" s="13" t="n">
        <x:v>1.5258341377097706</x:v>
      </x:c>
      <x:c r="M84" s="13" t="n">
        <x:v>0.34158740144354993</x:v>
      </x:c>
    </x:row>
    <x:row r="85" ht="15" hidden="0" customHeight="1">
      <x:c r="A85" s="13" t="n">
        <x:v>84</x:v>
      </x:c>
      <x:c r="B85" s="13" t="n">
        <x:v>86</x:v>
      </x:c>
      <x:c r="C85" s="13" t="n">
        <x:v>2112432</x:v>
      </x:c>
      <x:c r="D85" s="13" t="n">
        <x:v>102828.90773821766</x:v>
      </x:c>
      <x:c r="E85" s="13" t="n">
        <x:v>285679.9450261899</x:v>
      </x:c>
      <x:c r="F85" s="13" t="n">
        <x:v>440978.4392681119</x:v>
      </x:c>
      <x:c r="G85" s="13" t="n">
        <x:v>726658.3842943019</x:v>
      </x:c>
      <x:c r="H85" s="13" t="n">
        <x:v>1282944.7079674804</x:v>
      </x:c>
      <x:c r="I85" s="13" t="n">
        <x:v>4957723.316555074</x:v>
      </x:c>
      <x:c r="J85" s="13" t="n">
        <x:v>8710179.839087619</x:v>
      </x:c>
      <x:c r="K85" s="13" t="n">
        <x:v>15273.151285327147</x:v>
      </x:c>
      <x:c r="L85" s="13" t="n">
        <x:v>1.5436100676499531</x:v>
      </x:c>
      <x:c r="M85" s="13" t="n">
        <x:v>0.3439913731160586</x:v>
      </x:c>
    </x:row>
    <x:row r="86" ht="15" hidden="0" customHeight="1">
      <x:c r="A86" s="13" t="n">
        <x:v>85</x:v>
      </x:c>
      <x:c r="B86" s="13" t="n">
        <x:v>86</x:v>
      </x:c>
      <x:c r="C86" s="13" t="n">
        <x:v>2137580</x:v>
      </x:c>
      <x:c r="D86" s="13" t="n">
        <x:v>103857.77761190104</x:v>
      </x:c>
      <x:c r="E86" s="13" t="n">
        <x:v>289080.8967526922</x:v>
      </x:c>
      <x:c r="F86" s="13" t="n">
        <x:v>451365.4288527203</x:v>
      </x:c>
      <x:c r="G86" s="13" t="n">
        <x:v>740446.3256054125</x:v>
      </x:c>
      <x:c r="H86" s="13" t="n">
        <x:v>1293275.8967826865</x:v>
      </x:c>
      <x:c r="I86" s="13" t="n">
        <x:v>5016743.832228349</x:v>
      </x:c>
      <x:c r="J86" s="13" t="n">
        <x:v>8813872.456219614</x:v>
      </x:c>
      <x:c r="K86" s="13" t="n">
        <x:v>15215.010550384546</x:v>
      </x:c>
      <x:c r="L86" s="13" t="n">
        <x:v>1.561381031825365</x:v>
      </x:c>
      <x:c r="M86" s="13" t="n">
        <x:v>0.3463946732311364</x:v>
      </x:c>
    </x:row>
    <x:row r="87" ht="15" hidden="0" customHeight="1">
      <x:c r="A87" s="13" t="n">
        <x:v>86</x:v>
      </x:c>
      <x:c r="B87" s="13" t="n">
        <x:v>86</x:v>
      </x:c>
      <x:c r="C87" s="13" t="n">
        <x:v>2162728</x:v>
      </x:c>
      <x:c r="D87" s="13" t="n">
        <x:v>104886.6012190943</x:v>
      </x:c>
      <x:c r="E87" s="13" t="n">
        <x:v>292481.84847919445</x:v>
      </x:c>
      <x:c r="F87" s="13" t="n">
        <x:v>461871.8682836896</x:v>
      </x:c>
      <x:c r="G87" s="13" t="n">
        <x:v>754353.716762884</x:v>
      </x:c>
      <x:c r="H87" s="13" t="n">
        <x:v>1303487.6820180216</x:v>
      </x:c>
      <x:c r="I87" s="13" t="n">
        <x:v>5075764.347901624</x:v>
      </x:c>
      <x:c r="J87" s="13" t="n">
        <x:v>8917565.073351609</x:v>
      </x:c>
      <x:c r="K87" s="13" t="n">
        <x:v>15156.83351183746</x:v>
      </x:c>
      <x:c r="L87" s="13" t="n">
        <x:v>1.5791471186511754</x:v>
      </x:c>
      <x:c r="M87" s="13" t="n">
        <x:v>0.34879731374582656</x:v>
      </x:c>
    </x:row>
    <x:row r="88" ht="15" hidden="0" customHeight="1">
      <x:c r="A88" s="13" t="n">
        <x:v>87</x:v>
      </x:c>
      <x:c r="B88" s="13" t="n">
        <x:v>86</x:v>
      </x:c>
      <x:c r="C88" s="13" t="n">
        <x:v>2187876</x:v>
      </x:c>
      <x:c r="D88" s="13" t="n">
        <x:v>105915.38075602354</x:v>
      </x:c>
      <x:c r="E88" s="13" t="n">
        <x:v>295882.80020569667</x:v>
      </x:c>
      <x:c r="F88" s="13" t="n">
        <x:v>472497.73319143866</x:v>
      </x:c>
      <x:c r="G88" s="13" t="n">
        <x:v>768380.5333971353</x:v>
      </x:c>
      <x:c r="H88" s="13" t="n">
        <x:v>1313580.085846841</x:v>
      </x:c>
      <x:c r="I88" s="13" t="n">
        <x:v>5134784.863574899</x:v>
      </x:c>
      <x:c r="J88" s="13" t="n">
        <x:v>9021257.690483605</x:v>
      </x:c>
      <x:c r="K88" s="13" t="n">
        <x:v>15098.621676400473</x:v>
      </x:c>
      <x:c r="L88" s="13" t="n">
        <x:v>1.596908413949577</x:v>
      </x:c>
      <x:c r="M88" s="13" t="n">
        <x:v>0.35119930626650475</x:v>
      </x:c>
    </x:row>
    <x:row r="89" ht="15" hidden="0" customHeight="1">
      <x:c r="A89" s="13" t="n">
        <x:v>88</x:v>
      </x:c>
      <x:c r="B89" s="13" t="n">
        <x:v>86</x:v>
      </x:c>
      <x:c r="C89" s="13" t="n">
        <x:v>2213024</x:v>
      </x:c>
      <x:c r="D89" s="13" t="n">
        <x:v>106944.11602190258</x:v>
      </x:c>
      <x:c r="E89" s="13" t="n">
        <x:v>299283.75193219894</x:v>
      </x:c>
      <x:c r="F89" s="13" t="n">
        <x:v>483242.99962935195</x:v>
      </x:c>
      <x:c r="G89" s="13" t="n">
        <x:v>782526.7515615509</x:v>
      </x:c>
      <x:c r="H89" s="13" t="n">
        <x:v>1323553.1324165466</x:v>
      </x:c>
      <x:c r="I89" s="13" t="n">
        <x:v>5193805.379248173</x:v>
      </x:c>
      <x:c r="J89" s="13" t="n">
        <x:v>9124950.3076156</x:v>
      </x:c>
      <x:c r="K89" s="13" t="n">
        <x:v>15040.376504733484</x:v>
      </x:c>
      <x:c r="L89" s="13" t="n">
        <x:v>1.614665001055012</x:v>
      </x:c>
      <x:c r="M89" s="13" t="n">
        <x:v>0.3536006620631095</x:v>
      </x:c>
    </x:row>
    <x:row r="90" ht="15" hidden="0" customHeight="1">
      <x:c r="A90" s="13" t="n">
        <x:v>89</x:v>
      </x:c>
      <x:c r="B90" s="13" t="n">
        <x:v>86</x:v>
      </x:c>
      <x:c r="C90" s="13" t="n">
        <x:v>2238172</x:v>
      </x:c>
      <x:c r="D90" s="13" t="n">
        <x:v>107972.80513973559</x:v>
      </x:c>
      <x:c r="E90" s="13" t="n">
        <x:v>302684.7036587012</x:v>
      </x:c>
      <x:c r="F90" s="13" t="n">
        <x:v>494107.64406168513</x:v>
      </x:c>
      <x:c r="G90" s="13" t="n">
        <x:v>796792.3477203863</x:v>
      </x:c>
      <x:c r="H90" s="13" t="n">
        <x:v>1333406.847139878</x:v>
      </x:c>
      <x:c r="I90" s="13" t="n">
        <x:v>5252825.894921448</x:v>
      </x:c>
      <x:c r="J90" s="13" t="n">
        <x:v>9228642.924747596</x:v>
      </x:c>
      <x:c r="K90" s="13" t="n">
        <x:v>14982.099406066045</x:v>
      </x:c>
      <x:c r="L90" s="13" t="n">
        <x:v>1.6324169609139783</x:v>
      </x:c>
      <x:c r="M90" s="13" t="n">
        <x:v>0.3560013920826399</x:v>
      </x:c>
    </x:row>
    <x:row r="91" ht="15" hidden="0" customHeight="1">
      <x:c r="A91" s="13" t="n">
        <x:v>90</x:v>
      </x:c>
      <x:c r="B91" s="13" t="n">
        <x:v>86</x:v>
      </x:c>
      <x:c r="C91" s="13" t="n">
        <x:v>2263320</x:v>
      </x:c>
      <x:c r="D91" s="13" t="n">
        <x:v>109001.44811797154</x:v>
      </x:c>
      <x:c r="E91" s="13" t="n">
        <x:v>306085.6553852035</x:v>
      </x:c>
      <x:c r="F91" s="13" t="n">
        <x:v>505091.64335194865</x:v>
      </x:c>
      <x:c r="G91" s="13" t="n">
        <x:v>811177.2987371521</x:v>
      </x:c>
      <x:c r="H91" s="13" t="n">
        <x:v>1343141.2531448763</x:v>
      </x:c>
      <x:c r="I91" s="13" t="n">
        <x:v>5311846.410594722</x:v>
      </x:c>
      <x:c r="J91" s="13" t="n">
        <x:v>9332335.54187959</x:v>
      </x:c>
      <x:c r="K91" s="13" t="n">
        <x:v>14923.791701609736</x:v>
      </x:c>
      <x:c r="L91" s="13" t="n">
        <x:v>1.6501643721797403</x:v>
      </x:c>
      <x:c r="M91" s="13" t="n">
        <x:v>0.3584015069619639</x:v>
      </x:c>
    </x:row>
    <x:row r="92" ht="15" hidden="0" customHeight="1">
      <x:c r="A92" s="13" t="n">
        <x:v>91</x:v>
      </x:c>
      <x:c r="B92" s="13" t="n">
        <x:v>86</x:v>
      </x:c>
      <x:c r="C92" s="13" t="n">
        <x:v>2288468</x:v>
      </x:c>
      <x:c r="D92" s="13" t="n">
        <x:v>110030.04496491766</x:v>
      </x:c>
      <x:c r="E92" s="13" t="n">
        <x:v>309486.60711170576</x:v>
      </x:c>
      <x:c r="F92" s="13" t="n">
        <x:v>516194.9747517466</x:v>
      </x:c>
      <x:c r="G92" s="13" t="n">
        <x:v>825681.5818634523</x:v>
      </x:c>
      <x:c r="H92" s="13" t="n">
        <x:v>1352756.37317163</x:v>
      </x:c>
      <x:c r="I92" s="13" t="n">
        <x:v>5370866.926267997</x:v>
      </x:c>
      <x:c r="J92" s="13" t="n">
        <x:v>9436028.159011588</x:v>
      </x:c>
      <x:c r="K92" s="13" t="n">
        <x:v>14865.454650237692</x:v>
      </x:c>
      <x:c r="L92" s="13" t="n">
        <x:v>1.6679073113022682</x:v>
      </x:c>
      <x:c r="M92" s="13" t="n">
        <x:v>0.36080101703998146</x:v>
      </x:c>
    </x:row>
    <x:row r="93" ht="15" hidden="0" customHeight="1">
      <x:c r="A93" s="13" t="n">
        <x:v>92</x:v>
      </x:c>
      <x:c r="B93" s="13" t="n">
        <x:v>86</x:v>
      </x:c>
      <x:c r="C93" s="13" t="n">
        <x:v>2313616</x:v>
      </x:c>
      <x:c r="D93" s="13" t="n">
        <x:v>111058.59568874343</x:v>
      </x:c>
      <x:c r="E93" s="13" t="n">
        <x:v>312887.558838208</x:v>
      </x:c>
      <x:c r="F93" s="13" t="n">
        <x:v>527417.6158900467</x:v>
      </x:c>
      <x:c r="G93" s="13" t="n">
        <x:v>840305.1747282547</x:v>
      </x:c>
      <x:c r="H93" s="13" t="n">
        <x:v>1362252.2295830017</x:v>
      </x:c>
      <x:c r="I93" s="13" t="n">
        <x:v>5429887.441941272</x:v>
      </x:c>
      <x:c r="J93" s="13" t="n">
        <x:v>9539720.776143583</x:v>
      </x:c>
      <x:c r="K93" s="13" t="n">
        <x:v>14807.089451989148</x:v>
      </x:c>
      <x:c r="L93" s="13" t="n">
        <x:v>1.6856458526136884</x:v>
      </x:c>
      <x:c r="M93" s="13" t="n">
        <x:v>0.36319993236918086</x:v>
      </x:c>
    </x:row>
    <x:row r="94" ht="15" hidden="0" customHeight="1">
      <x:c r="A94" s="13" t="n">
        <x:v>93</x:v>
      </x:c>
      <x:c r="B94" s="13" t="n">
        <x:v>86</x:v>
      </x:c>
      <x:c r="C94" s="13" t="n">
        <x:v>2338764</x:v>
      </x:c>
      <x:c r="D94" s="13" t="n">
        <x:v>112087.10339719782</x:v>
      </x:c>
      <x:c r="E94" s="13" t="n">
        <x:v>316288.51056471025</x:v>
      </x:c>
      <x:c r="F94" s="13" t="n">
        <x:v>538759.5447628619</x:v>
      </x:c>
      <x:c r="G94" s="13" t="n">
        <x:v>855048.0553275722</x:v>
      </x:c>
      <x:c r="H94" s="13" t="n">
        <x:v>1371628.84127523</x:v>
      </x:c>
      <x:c r="I94" s="13" t="n">
        <x:v>5488907.957614547</x:v>
      </x:c>
      <x:c r="J94" s="13" t="n">
        <x:v>9643413.393275578</x:v>
      </x:c>
      <x:c r="K94" s="13" t="n">
        <x:v>14748.697218013227</x:v>
      </x:c>
      <x:c r="L94" s="13" t="n">
        <x:v>1.703380068409522</x:v>
      </x:c>
      <x:c r="M94" s="13" t="n">
        <x:v>0.3655982627266249</x:v>
      </x:c>
    </x:row>
    <x:row r="95" ht="15" hidden="0" customHeight="1">
      <x:c r="A95" s="13" t="n">
        <x:v>94</x:v>
      </x:c>
      <x:c r="B95" s="13" t="n">
        <x:v>86</x:v>
      </x:c>
      <x:c r="C95" s="13" t="n">
        <x:v>2363912</x:v>
      </x:c>
      <x:c r="D95" s="13" t="n">
        <x:v>113115.56619786519</x:v>
      </x:c>
      <x:c r="E95" s="13" t="n">
        <x:v>319689.4622912125</x:v>
      </x:c>
      <x:c r="F95" s="13" t="n">
        <x:v>550220.7397233222</x:v>
      </x:c>
      <x:c r="G95" s="13" t="n">
        <x:v>869910.2020145347</x:v>
      </x:c>
      <x:c r="H95" s="13" t="n">
        <x:v>1380886.2317876</x:v>
      </x:c>
      <x:c r="I95" s="13" t="n">
        <x:v>5547928.473287822</x:v>
      </x:c>
      <x:c r="J95" s="13" t="n">
        <x:v>9747106.010407573</x:v>
      </x:c>
      <x:c r="K95" s="13" t="n">
        <x:v>14690.279061570214</x:v>
      </x:c>
      <x:c r="L95" s="13" t="n">
        <x:v>1.7211100290259596</x:v>
      </x:c>
      <x:c r="M95" s="13" t="n">
        <x:v>0.3679960176244017</x:v>
      </x:c>
    </x:row>
    <x:row r="96" ht="15" hidden="0" customHeight="1">
      <x:c r="A96" s="13" t="n">
        <x:v>95</x:v>
      </x:c>
      <x:c r="B96" s="13" t="n">
        <x:v>86</x:v>
      </x:c>
      <x:c r="C96" s="13" t="n">
        <x:v>2389060</x:v>
      </x:c>
      <x:c r="D96" s="13" t="n">
        <x:v>114143.99005228841</x:v>
      </x:c>
      <x:c r="E96" s="13" t="n">
        <x:v>323090.4140177148</x:v>
      </x:c>
      <x:c r="F96" s="13" t="n">
        <x:v>561801.1794721184</x:v>
      </x:c>
      <x:c r="G96" s="13" t="n">
        <x:v>884891.5934898332</x:v>
      </x:c>
      <x:c r="H96" s="13" t="n">
        <x:v>1390024.4164578784</x:v>
      </x:c>
      <x:c r="I96" s="13" t="n">
        <x:v>5606948.988961096</x:v>
      </x:c>
      <x:c r="J96" s="13" t="n">
        <x:v>9850798.62753957</x:v>
      </x:c>
      <x:c r="K96" s="13" t="n">
        <x:v>14631.83596271451</x:v>
      </x:c>
      <x:c r="L96" s="13" t="n">
        <x:v>1.7388358029134077</x:v>
      </x:c>
      <x:c r="M96" s="13" t="n">
        <x:v>0.3703932063195705</x:v>
      </x:c>
    </x:row>
    <x:row r="97" ht="15" hidden="0" customHeight="1">
      <x:c r="A97" s="13" t="n">
        <x:v>96</x:v>
      </x:c>
      <x:c r="B97" s="13" t="n">
        <x:v>86</x:v>
      </x:c>
      <x:c r="C97" s="13" t="n">
        <x:v>2414208</x:v>
      </x:c>
      <x:c r="D97" s="13" t="n">
        <x:v>115172.3708784913</x:v>
      </x:c>
      <x:c r="E97" s="13" t="n">
        <x:v>326491.365744217</x:v>
      </x:c>
      <x:c r="F97" s="13" t="n">
        <x:v>573500.8430483004</x:v>
      </x:c>
      <x:c r="G97" s="13" t="n">
        <x:v>899992.2087925174</x:v>
      </x:c>
      <x:c r="H97" s="13" t="n">
        <x:v>1399043.4203289913</x:v>
      </x:c>
      <x:c r="I97" s="13" t="n">
        <x:v>5665969.504634371</x:v>
      </x:c>
      <x:c r="J97" s="13" t="n">
        <x:v>9954491.244671565</x:v>
      </x:c>
      <x:c r="K97" s="13" t="n">
        <x:v>14573.368961760325</x:v>
      </x:c>
      <x:c r="L97" s="13" t="n">
        <x:v>1.756557456706521</x:v>
      </x:c>
      <x:c r="M97" s="13" t="n">
        <x:v>0.372789837823633</x:v>
      </x:c>
    </x:row>
    <x:row r="98" ht="15" hidden="0" customHeight="1">
      <x:c r="A98" s="13" t="n">
        <x:v>97</x:v>
      </x:c>
      <x:c r="B98" s="13" t="n">
        <x:v>86</x:v>
      </x:c>
      <x:c r="C98" s="13" t="n">
        <x:v>2439356</x:v>
      </x:c>
      <x:c r="D98" s="13" t="n">
        <x:v>116200.70699382362</x:v>
      </x:c>
      <x:c r="E98" s="13" t="n">
        <x:v>329892.3174707193</x:v>
      </x:c>
      <x:c r="F98" s="13" t="n">
        <x:v>585319.7098204128</x:v>
      </x:c>
      <x:c r="G98" s="13" t="n">
        <x:v>915212.027291132</x:v>
      </x:c>
      <x:c r="H98" s="13" t="n">
        <x:v>1407943.2657150442</x:v>
      </x:c>
      <x:c r="I98" s="13" t="n">
        <x:v>5724990.020307645</x:v>
      </x:c>
      <x:c r="J98" s="13" t="n">
        <x:v>10058183.86180356</x:v>
      </x:c>
      <x:c r="K98" s="13" t="n">
        <x:v>14514.879027990146</x:v>
      </x:c>
      <x:c r="L98" s="13" t="n">
        <x:v>1.7742750552909279</x:v>
      </x:c>
      <x:c r="M98" s="13" t="n">
        <x:v>0.375185920911557</x:v>
      </x:c>
    </x:row>
    <x:row r="99" ht="15" hidden="0" customHeight="1">
      <x:c r="A99" s="13" t="n">
        <x:v>98</x:v>
      </x:c>
      <x:c r="B99" s="13" t="n">
        <x:v>86</x:v>
      </x:c>
      <x:c r="C99" s="13" t="n">
        <x:v>2464504</x:v>
      </x:c>
      <x:c r="D99" s="13" t="n">
        <x:v>117229.00629139347</x:v>
      </x:c>
      <x:c r="E99" s="13" t="n">
        <x:v>333293.26919722155</x:v>
      </x:c>
      <x:c r="F99" s="13" t="n">
        <x:v>597257.7594779516</x:v>
      </x:c>
      <x:c r="G99" s="13" t="n">
        <x:v>930551.0286751731</x:v>
      </x:c>
      <x:c r="H99" s="13" t="n">
        <x:v>1416723.9650334334</x:v>
      </x:c>
      <x:c r="I99" s="13" t="n">
        <x:v>5784010.535980919</x:v>
      </x:c>
      <x:c r="J99" s="13" t="n">
        <x:v>10161876.478935555</x:v>
      </x:c>
      <x:c r="K99" s="13" t="n">
        <x:v>14456.366990137076</x:v>
      </x:c>
      <x:c r="L99" s="13" t="n">
        <x:v>1.7919886618668341</x:v>
      </x:c>
      <x:c r="M99" s="13" t="n">
        <x:v>0.37758146413037796</x:v>
      </x:c>
    </x:row>
    <x:row r="100" ht="15" hidden="0" customHeight="1">
      <x:c r="A100" s="13" t="n">
        <x:v>99</x:v>
      </x:c>
      <x:c r="B100" s="13" t="n">
        <x:v>86</x:v>
      </x:c>
      <x:c r="C100" s="13" t="n">
        <x:v>2489652</x:v>
      </x:c>
      <x:c r="D100" s="13" t="n">
        <x:v>118257.26001692144</x:v>
      </x:c>
      <x:c r="E100" s="13" t="n">
        <x:v>336694.2209237238</x:v>
      </x:c>
      <x:c r="F100" s="13" t="n">
        <x:v>609314.9720231292</x:v>
      </x:c>
      <x:c r="G100" s="13" t="n">
        <x:v>946009.1929468531</x:v>
      </x:c>
      <x:c r="H100" s="13" t="n">
        <x:v>1425385.5470362254</x:v>
      </x:c>
      <x:c r="I100" s="13" t="n">
        <x:v>5843031.0516541945</x:v>
      </x:c>
      <x:c r="J100" s="13" t="n">
        <x:v>10265569.09606755</x:v>
      </x:c>
      <x:c r="K100" s="13" t="n">
        <x:v>14397.833808446721</x:v>
      </x:c>
      <x:c r="L100" s="13" t="n">
        <x:v>1.8096983380096865</x:v>
      </x:c>
      <x:c r="M100" s="13" t="n">
        <x:v>0.37997647580740324</x:v>
      </x:c>
    </x:row>
    <x:row r="101" ht="15" hidden="0" customHeight="1">
      <x:c r="A101" s="13" t="n">
        <x:v>100</x:v>
      </x:c>
      <x:c r="B101" s="13" t="n">
        <x:v>86</x:v>
      </x:c>
      <x:c r="C101" s="13" t="n">
        <x:v>2514800</x:v>
      </x:c>
      <x:c r="D101" s="13" t="n">
        <x:v>119285.46817751843</x:v>
      </x:c>
      <x:c r="E101" s="13" t="n">
        <x:v>340095.1726502261</x:v>
      </x:c>
      <x:c r="F101" s="13" t="n">
        <x:v>621491.3277629314</x:v>
      </x:c>
      <x:c r="G101" s="13" t="n">
        <x:v>961586.5004131575</x:v>
      </x:c>
      <x:c r="H101" s="13" t="n">
        <x:v>1433928.0314093241</x:v>
      </x:c>
      <x:c r="I101" s="13" t="n">
        <x:v>5902051.56732747</x:v>
      </x:c>
      <x:c r="J101" s="13" t="n">
        <x:v>10369261.713199547</x:v>
      </x:c>
      <x:c r="K101" s="13" t="n">
        <x:v>14339.280314093241</x:v>
      </x:c>
      <x:c r="L101" s="13" t="n">
        <x:v>1.8274041437280546</x:v>
      </x:c>
      <x:c r="M101" s="13" t="n">
        <x:v>0.3823709640580394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6" hidden="0" customWidth="1"/>
    <x:col min="4" max="4" width="17" hidden="0" customWidth="1"/>
    <x:col min="5" max="5" width="16" hidden="0" customWidth="1"/>
    <x:col min="6" max="6" width="21" hidden="0" customWidth="1"/>
    <x:col min="7" max="7" width="11" hidden="0" customWidth="1"/>
    <x:col min="8" max="8" width="24" hidden="0" customWidth="1"/>
  </x:cols>
  <x:sheetData>
    <x:row r="1" ht="15" hidden="0" customHeight="1">
      <x:c r="A1" s="12" t="str">
        <x:v>slippage_multiplier</x:v>
      </x:c>
      <x:c r="B1" s="12" t="str">
        <x:v>gross_pnl_rupees</x:v>
      </x:c>
      <x:c r="C1" s="12" t="str">
        <x:v>charges_rupees</x:v>
      </x:c>
      <x:c r="D1" s="12" t="str">
        <x:v>slippage_rupees</x:v>
      </x:c>
      <x:c r="E1" s="12" t="str">
        <x:v>net_pnl_rupees</x:v>
      </x:c>
      <x:c r="F1" s="12" t="str">
        <x:v>mean_net_pnl_rupees</x:v>
      </x:c>
      <x:c r="G1" s="12" t="str">
        <x:v>win_rate</x:v>
      </x:c>
      <x:c r="H1" s="12" t="str">
        <x:v>break_even_slippage_multiplier</x:v>
      </x:c>
      <x:c r="I1" s="11"/>
      <x:c r="J1" s="11" t="str">
        <x:v>slippage_multiplier</x:v>
      </x:c>
      <x:c r="K1" s="11" t="str">
        <x:v>net_pnl_rupees</x:v>
      </x:c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15" hidden="0" customHeight="1">
      <x:c r="A2" s="13" t="n">
        <x:v>0</x:v>
      </x:c>
      <x:c r="B2" s="13" t="n">
        <x:v>153012.5</x:v>
      </x:c>
      <x:c r="C2" s="13" t="n">
        <x:v>21877.70010821564</x:v>
      </x:c>
      <x:c r="D2" s="13" t="n">
        <x:v>0</x:v>
      </x:c>
      <x:c r="E2" s="13" t="n">
        <x:v>131134.79989178438</x:v>
      </x:c>
      <x:c r="F2" s="13" t="n">
        <x:v>1524.8232545556323</x:v>
      </x:c>
      <x:c r="G2" s="13" t="n">
        <x:v>0.6744186046511628</x:v>
      </x:c>
      <x:c r="H2" s="13" t="n">
        <x:v>5.919954924315367</x:v>
      </x:c>
      <x:c r="J2" t="n">
        <x:v>0</x:v>
      </x:c>
      <x:c r="K2" t="n">
        <x:v>131134.79989178438</x:v>
      </x:c>
    </x:row>
    <x:row r="3" ht="15" hidden="0" customHeight="1">
      <x:c r="A3" s="13" t="n">
        <x:v>0.5</x:v>
      </x:c>
      <x:c r="B3" s="13" t="n">
        <x:v>153012.5</x:v>
      </x:c>
      <x:c r="C3" s="13" t="n">
        <x:v>21877.70010821564</x:v>
      </x:c>
      <x:c r="D3" s="13" t="n">
        <x:v>11075.658646754804</x:v>
      </x:c>
      <x:c r="E3" s="13" t="n">
        <x:v>120059.14124502956</x:v>
      </x:c>
      <x:c r="F3" s="13" t="n">
        <x:v>1396.036526104995</x:v>
      </x:c>
      <x:c r="G3" s="13" t="n">
        <x:v>0.6744186046511628</x:v>
      </x:c>
      <x:c r="H3" s="13" t="n">
        <x:v>5.919954924315367</x:v>
      </x:c>
      <x:c r="J3" t="n">
        <x:v>0.5</x:v>
      </x:c>
      <x:c r="K3" t="n">
        <x:v>120059.14124502956</x:v>
      </x:c>
    </x:row>
    <x:row r="4" ht="15" hidden="0" customHeight="1">
      <x:c r="A4" s="13" t="n">
        <x:v>1</x:v>
      </x:c>
      <x:c r="B4" s="13" t="n">
        <x:v>153012.5</x:v>
      </x:c>
      <x:c r="C4" s="13" t="n">
        <x:v>21877.70010821564</x:v>
      </x:c>
      <x:c r="D4" s="13" t="n">
        <x:v>22151.317293509608</x:v>
      </x:c>
      <x:c r="E4" s="13" t="n">
        <x:v>108983.48259827476</x:v>
      </x:c>
      <x:c r="F4" s="13" t="n">
        <x:v>1267.2497976543577</x:v>
      </x:c>
      <x:c r="G4" s="13" t="n">
        <x:v>0.6627906976744186</x:v>
      </x:c>
      <x:c r="H4" s="13" t="n">
        <x:v>5.919954924315367</x:v>
      </x:c>
      <x:c r="J4" t="n">
        <x:v>1</x:v>
      </x:c>
      <x:c r="K4" t="n">
        <x:v>108983.48259827476</x:v>
      </x:c>
    </x:row>
    <x:row r="5" ht="15" hidden="0" customHeight="1">
      <x:c r="A5" s="13" t="n">
        <x:v>1.25</x:v>
      </x:c>
      <x:c r="B5" s="13" t="n">
        <x:v>153012.5</x:v>
      </x:c>
      <x:c r="C5" s="13" t="n">
        <x:v>21877.70010821564</x:v>
      </x:c>
      <x:c r="D5" s="13" t="n">
        <x:v>27689.14661688701</x:v>
      </x:c>
      <x:c r="E5" s="13" t="n">
        <x:v>103445.65327489734</x:v>
      </x:c>
      <x:c r="F5" s="13" t="n">
        <x:v>1202.8564334290388</x:v>
      </x:c>
      <x:c r="G5" s="13" t="n">
        <x:v>0.6511627906976745</x:v>
      </x:c>
      <x:c r="H5" s="13" t="n">
        <x:v>5.919954924315367</x:v>
      </x:c>
      <x:c r="J5" t="n">
        <x:v>1.25</x:v>
      </x:c>
      <x:c r="K5" t="n">
        <x:v>103445.65327489734</x:v>
      </x:c>
    </x:row>
    <x:row r="6" ht="15" hidden="0" customHeight="1">
      <x:c r="A6" s="13" t="n">
        <x:v>1.5</x:v>
      </x:c>
      <x:c r="B6" s="13" t="n">
        <x:v>153012.5</x:v>
      </x:c>
      <x:c r="C6" s="13" t="n">
        <x:v>21877.70010821564</x:v>
      </x:c>
      <x:c r="D6" s="13" t="n">
        <x:v>33226.97594026441</x:v>
      </x:c>
      <x:c r="E6" s="13" t="n">
        <x:v>97907.82395151992</x:v>
      </x:c>
      <x:c r="F6" s="13" t="n">
        <x:v>1138.4630692037201</x:v>
      </x:c>
      <x:c r="G6" s="13" t="n">
        <x:v>0.6395348837209303</x:v>
      </x:c>
      <x:c r="H6" s="13" t="n">
        <x:v>5.919954924315367</x:v>
      </x:c>
      <x:c r="J6" t="n">
        <x:v>1.5</x:v>
      </x:c>
      <x:c r="K6" t="n">
        <x:v>97907.82395151992</x:v>
      </x:c>
    </x:row>
    <x:row r="7" ht="15" hidden="0" customHeight="1">
      <x:c r="A7" s="13" t="n">
        <x:v>2</x:v>
      </x:c>
      <x:c r="B7" s="13" t="n">
        <x:v>153012.5</x:v>
      </x:c>
      <x:c r="C7" s="13" t="n">
        <x:v>21877.70010821564</x:v>
      </x:c>
      <x:c r="D7" s="13" t="n">
        <x:v>44302.634587019216</x:v>
      </x:c>
      <x:c r="E7" s="13" t="n">
        <x:v>86832.16530476513</x:v>
      </x:c>
      <x:c r="F7" s="13" t="n">
        <x:v>1009.676340753083</x:v>
      </x:c>
      <x:c r="G7" s="13" t="n">
        <x:v>0.6046511627906976</x:v>
      </x:c>
      <x:c r="H7" s="13" t="n">
        <x:v>5.919954924315367</x:v>
      </x:c>
      <x:c r="J7" t="n">
        <x:v>2</x:v>
      </x:c>
      <x:c r="K7" t="n">
        <x:v>86832.16530476513</x:v>
      </x:c>
    </x:row>
    <x:row r="8" ht="15" hidden="0" customHeight="1">
      <x:c r="A8" s="13" t="n">
        <x:v>3</x:v>
      </x:c>
      <x:c r="B8" s="13" t="n">
        <x:v>153012.5</x:v>
      </x:c>
      <x:c r="C8" s="13" t="n">
        <x:v>21877.70010821564</x:v>
      </x:c>
      <x:c r="D8" s="13" t="n">
        <x:v>66453.95188052882</x:v>
      </x:c>
      <x:c r="E8" s="13" t="n">
        <x:v>64680.84801125551</x:v>
      </x:c>
      <x:c r="F8" s="13" t="n">
        <x:v>752.1028838518083</x:v>
      </x:c>
      <x:c r="G8" s="13" t="n">
        <x:v>0.6046511627906976</x:v>
      </x:c>
      <x:c r="H8" s="13" t="n">
        <x:v>5.919954924315367</x:v>
      </x:c>
      <x:c r="J8" t="n">
        <x:v>3</x:v>
      </x:c>
      <x:c r="K8" t="n">
        <x:v>64680.84801125551</x:v>
      </x:c>
    </x:row>
  </x:sheetData>
  <x:pageMargins left="0.7" right="0.7" top="0.75" bottom="0.75" header="0.3" footer="0.3"/>
  <x:drawing xmlns:r="http://schemas.openxmlformats.org/officeDocument/2006/relationships" r:id="Rd2b0a44bcd6c4f06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9" hidden="0" customWidth="1"/>
    <x:col min="5" max="5" width="16" hidden="0" customWidth="1"/>
    <x:col min="6" max="6" width="21" hidden="0" customWidth="1"/>
    <x:col min="7" max="7" width="23" hidden="0" customWidth="1"/>
    <x:col min="8" max="8" width="11" hidden="0" customWidth="1"/>
    <x:col min="9" max="9" width="14" hidden="0" customWidth="1"/>
    <x:col min="10" max="10" width="21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3" hidden="0" customWidth="1"/>
    <x:col min="16" max="16" width="23" hidden="0" customWidth="1"/>
    <x:col min="17" max="17" width="14" hidden="0" customWidth="1"/>
    <x:col min="18" max="18" width="12" hidden="0" customWidth="1"/>
  </x:cols>
  <x:sheetData>
    <x:row r="1" ht="15" hidden="0" customHeight="1">
      <x:c r="A1" s="12" t="str">
        <x:v>group</x:v>
      </x:c>
      <x:c r="B1" s="12" t="str">
        <x:v>trades</x:v>
      </x:c>
      <x:c r="C1" s="12" t="str">
        <x:v>gross_pnl_rupees</x:v>
      </x:c>
      <x:c r="D1" s="12" t="str">
        <x:v>total_cost_rupees</x:v>
      </x:c>
      <x:c r="E1" s="12" t="str">
        <x:v>net_pnl_rupees</x:v>
      </x:c>
      <x:c r="F1" s="12" t="str">
        <x:v>mean_net_pnl_rupees</x:v>
      </x:c>
      <x:c r="G1" s="12" t="str">
        <x:v>median_net_pnl_rupees</x:v>
      </x:c>
      <x:c r="H1" s="12" t="str">
        <x:v>win_rate</x:v>
      </x:c>
      <x:c r="I1" s="12" t="str">
        <x:v>average_lots</x:v>
      </x:c>
      <x:c r="J1" s="12" t="str">
        <x:v>cost_drag_pct_gross</x:v>
      </x:c>
      <x:c r="K1" s="12" t="str">
        <x:v>mean_net_per_lot_rupees</x:v>
      </x:c>
      <x:c r="L1" s="12" t="str">
        <x:v>mean_frozen_one_lot_net_rupees</x:v>
      </x:c>
      <x:c r="M1" s="12" t="str">
        <x:v>mean_difference_post_minus_pre</x:v>
      </x:c>
      <x:c r="N1" s="12" t="str">
        <x:v>two_sided_permutation_p_value</x:v>
      </x:c>
      <x:c r="O1" s="12" t="str">
        <x:v>bootstrap_ci_95_lower</x:v>
      </x:c>
      <x:c r="P1" s="12" t="str">
        <x:v>bootstrap_ci_95_upper</x:v>
      </x:c>
      <x:c r="Q1" s="12" t="str">
        <x:v>permutations</x:v>
      </x:c>
      <x:c r="R1" s="12" t="str">
        <x:v>break_date</x:v>
      </x:c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15" hidden="0" customHeight="1">
      <x:c r="A2" s="13" t="str">
        <x:v>post_2024_11_20</x:v>
      </x:c>
      <x:c r="B2" s="13" t="n">
        <x:v>33</x:v>
      </x:c>
      <x:c r="C2" s="13" t="n">
        <x:v>39282.50000000001</x:v>
      </x:c>
      <x:c r="D2" s="13" t="n">
        <x:v>17140.170904631876</x:v>
      </x:c>
      <x:c r="E2" s="13" t="n">
        <x:v>22142.329095368135</x:v>
      </x:c>
      <x:c r="F2" s="13" t="n">
        <x:v>670.9796695566101</x:v>
      </x:c>
      <x:c r="G2" s="13" t="n">
        <x:v>148.3064626114973</x:v>
      </x:c>
      <x:c r="H2" s="13" t="n">
        <x:v>0.5757575757575758</x:v>
      </x:c>
      <x:c r="I2" s="13" t="n">
        <x:v>4.606060606060606</x:v>
      </x:c>
      <x:c r="J2" s="13" t="n">
        <x:v>0.43633095919638193</x:v>
      </x:c>
      <x:c r="K2" s="13" t="n">
        <x:v>159.24858677255662</x:v>
      </x:c>
      <x:c r="L2" s="13" t="n">
        <x:v>19.152005703323105</x:v>
      </x:c>
      <x:c r="M2" s="13" t="n">
        <x:v>-71.76162628297703</x:v>
      </x:c>
      <x:c r="N2" s="13" t="n">
        <x:v>0.63925</x:v>
      </x:c>
      <x:c r="O2" s="13" t="n">
        <x:v>-377.80638616026187</x:v>
      </x:c>
      <x:c r="P2" s="13" t="n">
        <x:v>262.033838995944</x:v>
      </x:c>
      <x:c r="Q2" s="13" t="n">
        <x:v>20000</x:v>
      </x:c>
      <x:c r="R2" s="13" t="str">
        <x:v>2024-11-20</x:v>
      </x:c>
    </x:row>
    <x:row r="3" ht="15" hidden="0" customHeight="1">
      <x:c r="A3" s="13" t="str">
        <x:v>pre_2024_11_20</x:v>
      </x:c>
      <x:c r="B3" s="13" t="n">
        <x:v>53</x:v>
      </x:c>
      <x:c r="C3" s="13" t="n">
        <x:v>113729.99999999999</x:v>
      </x:c>
      <x:c r="D3" s="13" t="n">
        <x:v>26888.846497093375</x:v>
      </x:c>
      <x:c r="E3" s="13" t="n">
        <x:v>86841.15350290661</x:v>
      </x:c>
      <x:c r="F3" s="13" t="n">
        <x:v>1638.512330243521</x:v>
      </x:c>
      <x:c r="G3" s="13" t="n">
        <x:v>2391.856463227582</x:v>
      </x:c>
      <x:c r="H3" s="13" t="n">
        <x:v>0.7169811320754716</x:v>
      </x:c>
      <x:c r="I3" s="13" t="n">
        <x:v>7.679245283018868</x:v>
      </x:c>
      <x:c r="J3" s="13" t="n">
        <x:v>0.23642703329898337</x:v>
      </x:c>
      <x:c r="K3" s="13" t="n">
        <x:v>231.01021305553365</x:v>
      </x:c>
      <x:c r="L3" s="13" t="n">
        <x:v>72.5534070769666</x:v>
      </x:c>
      <x:c r="M3" s="13" t="n">
        <x:v>-71.76162628297703</x:v>
      </x:c>
      <x:c r="N3" s="13" t="n">
        <x:v>0.63925</x:v>
      </x:c>
      <x:c r="O3" s="13" t="n">
        <x:v>-377.80638616026187</x:v>
      </x:c>
      <x:c r="P3" s="13" t="n">
        <x:v>262.033838995944</x:v>
      </x:c>
      <x:c r="Q3" s="13" t="n">
        <x:v>20000</x:v>
      </x:c>
      <x:c r="R3" s="13" t="str">
        <x:v>2024-11-20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9" hidden="0" customWidth="1"/>
    <x:col min="5" max="5" width="16" hidden="0" customWidth="1"/>
    <x:col min="6" max="6" width="21" hidden="0" customWidth="1"/>
    <x:col min="7" max="7" width="23" hidden="0" customWidth="1"/>
    <x:col min="8" max="8" width="11" hidden="0" customWidth="1"/>
    <x:col min="9" max="9" width="14" hidden="0" customWidth="1"/>
    <x:col min="10" max="10" width="21" hidden="0" customWidth="1"/>
    <x:col min="11" max="11" width="24" hidden="0" customWidth="1"/>
    <x:col min="12" max="12" width="18" hidden="0" customWidth="1"/>
  </x:cols>
  <x:sheetData>
    <x:row r="1" ht="15" hidden="0" customHeight="1">
      <x:c r="A1" s="12" t="str">
        <x:v>group</x:v>
      </x:c>
      <x:c r="B1" s="12" t="str">
        <x:v>trades</x:v>
      </x:c>
      <x:c r="C1" s="12" t="str">
        <x:v>gross_pnl_rupees</x:v>
      </x:c>
      <x:c r="D1" s="12" t="str">
        <x:v>total_cost_rupees</x:v>
      </x:c>
      <x:c r="E1" s="12" t="str">
        <x:v>net_pnl_rupees</x:v>
      </x:c>
      <x:c r="F1" s="12" t="str">
        <x:v>mean_net_pnl_rupees</x:v>
      </x:c>
      <x:c r="G1" s="12" t="str">
        <x:v>median_net_pnl_rupees</x:v>
      </x:c>
      <x:c r="H1" s="12" t="str">
        <x:v>win_rate</x:v>
      </x:c>
      <x:c r="I1" s="12" t="str">
        <x:v>average_lots</x:v>
      </x:c>
      <x:c r="J1" s="12" t="str">
        <x:v>cost_drag_pct_gross</x:v>
      </x:c>
      <x:c r="K1" s="12" t="str">
        <x:v>event_window_business_days</x:v>
      </x:c>
      <x:c r="L1" s="12" t="str">
        <x:v>inference_status</x:v>
      </x:c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15" hidden="0" customHeight="1">
      <x:c r="A2" s="13" t="str">
        <x:v>non_event_week</x:v>
      </x:c>
      <x:c r="B2" s="13" t="n">
        <x:v>59</x:v>
      </x:c>
      <x:c r="C2" s="13" t="n">
        <x:v>128671.25</x:v>
      </x:c>
      <x:c r="D2" s="13" t="n">
        <x:v>30983.34576622138</x:v>
      </x:c>
      <x:c r="E2" s="13" t="n">
        <x:v>97687.90423377862</x:v>
      </x:c>
      <x:c r="F2" s="13" t="n">
        <x:v>1655.7271904030274</x:v>
      </x:c>
      <x:c r="G2" s="13" t="n">
        <x:v>2041.8219831024253</x:v>
      </x:c>
      <x:c r="H2" s="13" t="n">
        <x:v>0.6949152542372882</x:v>
      </x:c>
      <x:c r="I2" s="13" t="n">
        <x:v>6.322033898305085</x:v>
      </x:c>
      <x:c r="J2" s="13" t="n">
        <x:v>0.24079462790810985</x:v>
      </x:c>
      <x:c r="K2" s="13" t="n">
        <x:v>5</x:v>
      </x:c>
      <x:c r="L2" s="13" t="str">
        <x:v>descriptive_not_causal</x:v>
      </x:c>
    </x:row>
    <x:row r="3" ht="15" hidden="0" customHeight="1">
      <x:c r="A3" s="13" t="str">
        <x:v>event_week</x:v>
      </x:c>
      <x:c r="B3" s="13" t="n">
        <x:v>27</x:v>
      </x:c>
      <x:c r="C3" s="13" t="n">
        <x:v>24341.25</x:v>
      </x:c>
      <x:c r="D3" s="13" t="n">
        <x:v>13045.671635503868</x:v>
      </x:c>
      <x:c r="E3" s="13" t="n">
        <x:v>11295.578364496127</x:v>
      </x:c>
      <x:c r="F3" s="13" t="n">
        <x:v>418.3547542405973</x:v>
      </x:c>
      <x:c r="G3" s="13" t="n">
        <x:v>382.2987316510664</x:v>
      </x:c>
      <x:c r="H3" s="13" t="n">
        <x:v>0.5925925925925926</x:v>
      </x:c>
      <x:c r="I3" s="13" t="n">
        <x:v>6.888888888888889</x:v>
      </x:c>
      <x:c r="J3" s="13" t="n">
        <x:v>0.5359491248602215</x:v>
      </x:c>
      <x:c r="K3" s="13" t="n">
        <x:v>5</x:v>
      </x:c>
      <x:c r="L3" s="13" t="str">
        <x:v>descriptive_not_causal</x:v>
      </x:c>
    </x:row>
    <x:row r="4" ht="15" hidden="0" customHeight="1">
      <x:c r="A4" s="13" t="str">
        <x:v>event_type:national_election|rbi_mpc</x:v>
      </x:c>
      <x:c r="B4" s="13" t="n">
        <x:v>1</x:v>
      </x:c>
      <x:c r="C4" s="13" t="n">
        <x:v>-412.5000000000039</x:v>
      </x:c>
      <x:c r="D4" s="13" t="n">
        <x:v>1217.3971090110158</x:v>
      </x:c>
      <x:c r="E4" s="13" t="n">
        <x:v>-1629.8971090110197</x:v>
      </x:c>
      <x:c r="F4" s="13" t="n">
        <x:v>-1629.8971090110197</x:v>
      </x:c>
      <x:c r="G4" s="13" t="n">
        <x:v>-1629.8971090110197</x:v>
      </x:c>
      <x:c r="H4" s="13" t="n">
        <x:v>0</x:v>
      </x:c>
      <x:c r="I4" s="13" t="n">
        <x:v>11</x:v>
      </x:c>
      <x:c r="J4" s="13"/>
      <x:c r="K4" s="13" t="n">
        <x:v>5</x:v>
      </x:c>
      <x:c r="L4" s="13" t="str">
        <x:v>descriptive_only_small_n</x:v>
      </x:c>
    </x:row>
    <x:row r="5" ht="15" hidden="0" customHeight="1">
      <x:c r="A5" s="13" t="str">
        <x:v>event_type:rbi_mpc</x:v>
      </x:c>
      <x:c r="B5" s="13" t="n">
        <x:v>26</x:v>
      </x:c>
      <x:c r="C5" s="13" t="n">
        <x:v>24753.75</x:v>
      </x:c>
      <x:c r="D5" s="13" t="n">
        <x:v>11828.27452649285</x:v>
      </x:c>
      <x:c r="E5" s="13" t="n">
        <x:v>12925.475473507146</x:v>
      </x:c>
      <x:c r="F5" s="13" t="n">
        <x:v>497.13367205796715</x:v>
      </x:c>
      <x:c r="G5" s="13" t="n">
        <x:v>784.3868429330677</x:v>
      </x:c>
      <x:c r="H5" s="13" t="n">
        <x:v>0.6153846153846154</x:v>
      </x:c>
      <x:c r="I5" s="13" t="n">
        <x:v>6.730769230769231</x:v>
      </x:c>
      <x:c r="J5" s="13" t="n">
        <x:v>0.4778376822296763</x:v>
      </x:c>
      <x:c r="K5" s="13" t="n">
        <x:v>5</x:v>
      </x:c>
      <x:c r="L5" s="13" t="str">
        <x:v>descriptive_not_causal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.8799991607666" hidden="0" customWidth="1"/>
    <x:col min="3" max="3" width="7.5" hidden="0" customWidth="1"/>
    <x:col min="4" max="4" width="29" hidden="0" customWidth="1"/>
  </x:cols>
  <x:sheetData>
    <x:row r="1">
      <x:c r="A1" s="11" t="str">
        <x:v>Control</x:v>
      </x:c>
      <x:c r="B1" s="11" t="str">
        <x:v>Threshold</x:v>
      </x:c>
      <x:c r="C1" s="11" t="str">
        <x:v>State</x:v>
      </x:c>
      <x:c r="D1" s="11" t="str">
        <x:v>Action</x:v>
      </x:c>
    </x:row>
    <x:row r="2">
      <x:c r="A2" s="31" t="str">
        <x:v>Live allocation</x:v>
      </x:c>
      <x:c r="B2" t="str">
        <x:v>₹0</x:v>
      </x:c>
      <x:c r="C2" t="str">
        <x:v>SHADOW</x:v>
      </x:c>
      <x:c r="D2" t="str">
        <x:v>One-lot telemetry only</x:v>
      </x:c>
    </x:row>
    <x:row r="3">
      <x:c r="A3" s="31" t="str">
        <x:v>Quote age</x:v>
      </x:c>
      <x:c r="B3" t="str">
        <x:v>≤ 2 minutes</x:v>
      </x:c>
      <x:c r="C3" t="str">
        <x:v>INPUT</x:v>
      </x:c>
      <x:c r="D3" t="str">
        <x:v>No entry if breached</x:v>
      </x:c>
    </x:row>
    <x:row r="4">
      <x:c r="A4" s="31" t="str">
        <x:v>Margin utilization</x:v>
      </x:c>
      <x:c r="B4" t="str">
        <x:v>≤ 35%</x:v>
      </x:c>
      <x:c r="C4" t="str">
        <x:v>INPUT</x:v>
      </x:c>
      <x:c r="D4" t="str">
        <x:v>No entry if breached</x:v>
      </x:c>
    </x:row>
    <x:row r="5">
      <x:c r="A5" s="31" t="str">
        <x:v>Cost-reserved cash risk</x:v>
      </x:c>
      <x:c r="B5" t="str">
        <x:v>≤ 4%</x:v>
      </x:c>
      <x:c r="C5" t="str">
        <x:v>INPUT</x:v>
      </x:c>
      <x:c r="D5" t="str">
        <x:v>No entry if breached</x:v>
      </x:c>
    </x:row>
    <x:row r="6">
      <x:c r="A6" s="31" t="str">
        <x:v>Quality score</x:v>
      </x:c>
      <x:c r="B6" t="str">
        <x:v>&gt; 40%</x:v>
      </x:c>
      <x:c r="C6" t="str">
        <x:v>INPUT</x:v>
      </x:c>
      <x:c r="D6" t="str">
        <x:v>No entry if breached</x:v>
      </x:c>
    </x:row>
    <x:row r="7">
      <x:c r="A7" s="31" t="str">
        <x:v>Daily loss</x:v>
      </x:c>
      <x:c r="B7" t="str">
        <x:v>&lt; 0.75%</x:v>
      </x:c>
      <x:c r="C7" t="str">
        <x:v>INPUT</x:v>
      </x:c>
      <x:c r="D7" t="str">
        <x:v>Stop new entries</x:v>
      </x:c>
    </x:row>
    <x:row r="8">
      <x:c r="A8" s="31" t="str">
        <x:v>Peak-to-trough drawdown</x:v>
      </x:c>
      <x:c r="B8" t="str">
        <x:v>&lt; 1.50%</x:v>
      </x:c>
      <x:c r="C8" t="str">
        <x:v>INPUT</x:v>
      </x:c>
      <x:c r="D8" t="str">
        <x:v>Flatten and review</x:v>
      </x:c>
    </x:row>
    <x:row r="9">
      <x:c r="A9" s="31" t="str">
        <x:v>20-fill slippage / model</x:v>
      </x:c>
      <x:c r="B9" t="str">
        <x:v>≤ 1.50×</x:v>
      </x:c>
      <x:c r="C9" t="str">
        <x:v>INPUT</x:v>
      </x:c>
      <x:c r="D9" t="str">
        <x:v>Stop and recalibrate</x:v>
      </x:c>
    </x:row>
    <x:row r="10">
      <x:c r="A10" s="31" t="str">
        <x:v>Single fill slippage / model</x:v>
      </x:c>
      <x:c r="B10" t="str">
        <x:v>≤ 3.00×</x:v>
      </x:c>
      <x:c r="C10" t="str">
        <x:v>INPUT</x:v>
      </x:c>
      <x:c r="D10" t="str">
        <x:v>Incident review</x:v>
      </x:c>
    </x:row>
    <x:row r="11">
      <x:c r="A11" s="31" t="str">
        <x:v>Forward sample</x:v>
      </x:c>
      <x:c r="B11" t="str">
        <x:v>≥100 trades / 12 months</x:v>
      </x:c>
      <x:c r="C11" t="str">
        <x:v>PENDING</x:v>
      </x:c>
      <x:c r="D11" t="str">
        <x:v>Required for promotion</x:v>
      </x:c>
    </x:row>
    <x:row r="12">
      <x:c r="A12" s="31" t="str">
        <x:v>Forward halves</x:v>
      </x:c>
      <x:c r="B12" t="str">
        <x:v>Both net positive</x:v>
      </x:c>
      <x:c r="C12" t="str">
        <x:v>PENDING</x:v>
      </x:c>
      <x:c r="D12" t="str">
        <x:v>Required for promotion</x:v>
      </x:c>
    </x:row>
    <x:row r="13">
      <x:c r="A13" s="31" t="str">
        <x:v>Score rank CI</x:v>
      </x:c>
      <x:c r="B13" t="str">
        <x:v>95% lower bound &gt; 0</x:v>
      </x:c>
      <x:c r="C13" t="str">
        <x:v>PENDING</x:v>
      </x:c>
      <x:c r="D13" t="str">
        <x:v>Required for promotion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</x:cols>
  <x:sheetData>
    <x:row r="1" ht="15" hidden="0" customHeight="1">
      <x:c r="A1" s="11" t="str">
        <x:v>source</x:v>
      </x:c>
      <x:c r="B1" s="11" t="str">
        <x:v>url</x:v>
      </x:c>
      <x:c r="C1" s="11" t="str">
        <x:v>use</x:v>
      </x:c>
    </x:row>
    <x:row r="2" ht="15" hidden="0" customHeight="1">
      <x:c r="A2" t="str">
        <x:v>NSE contract specifications</x:v>
      </x:c>
      <x:c r="B2" t="str">
        <x:v>https://www.nseindia.com/static/products-services/equity-derivatives-contract-specifications</x:v>
      </x:c>
      <x:c r="C2" t="str">
        <x:v>Tuesday expiry and current weekly scope</x:v>
      </x:c>
    </x:row>
    <x:row r="3" ht="15" hidden="0" customHeight="1">
      <x:c r="A3" t="str">
        <x:v>NSE FAOP70616</x:v>
      </x:c>
      <x:c r="B3" t="str">
        <x:v>https://nsearchives.nseindia.com/content/circulars/FAOP70616.pdf</x:v>
      </x:c>
      <x:c r="C3" t="str">
        <x:v>NIFTY lot 75 to 65</x:v>
      </x:c>
    </x:row>
    <x:row r="4" ht="15" hidden="0" customHeight="1">
      <x:c r="A4" t="str">
        <x:v>SEBI derivatives measures</x:v>
      </x:c>
      <x:c r="B4" t="str">
        <x:v>https://www.sebi.gov.in/sebi_data/attachdocs/jul-2025/1751900271726.pdf</x:v>
      </x:c>
      <x:c r="C4" t="str">
        <x:v>November-2024 structural date</x:v>
      </x:c>
    </x:row>
    <x:row r="5" ht="15" hidden="0" customHeight="1">
      <x:c r="A5" t="str">
        <x:v>RBI MPC archive</x:v>
      </x:c>
      <x:c r="B5" t="str">
        <x:v>https://www.rbi.org.in/scripts/Annualpolicy.aspx.html</x:v>
      </x:c>
      <x:c r="C5" t="str">
        <x:v>MPC event dates</x:v>
      </x:c>
    </x:row>
    <x:row r="6" ht="15" hidden="0" customHeight="1">
      <x:c r="A6" t="str">
        <x:v>India Budget</x:v>
      </x:c>
      <x:c r="B6" t="str">
        <x:v>https://www.indiabudget.gov.in/</x:v>
      </x:c>
      <x:c r="C6" t="str">
        <x:v>Budget event dates</x:v>
      </x:c>
    </x:row>
    <x:row r="7" ht="15" hidden="0" customHeight="1">
      <x:c r="A7" t="str">
        <x:v>Election Commission 2024</x:v>
      </x:c>
      <x:c r="B7" t="str">
        <x:v>https://elections24.eci.gov.in/</x:v>
      </x:c>
      <x:c r="C7" t="str">
        <x:v>4-Jun-2024 result date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1.75" hidden="0" customWidth="1"/>
    <x:col min="2" max="2" width="12.380000114440918" hidden="0" customWidth="1"/>
    <x:col min="3" max="3" width="12.380000114440918" hidden="0" customWidth="1"/>
  </x:cols>
  <x:sheetData>
    <x:row r="1">
      <x:c r="A1" s="11" t="str">
        <x:v>Check</x:v>
      </x:c>
      <x:c r="B1" s="11" t="str">
        <x:v>Formula</x:v>
      </x:c>
      <x:c r="C1" s="11" t="str">
        <x:v>Expected</x:v>
      </x:c>
    </x:row>
    <x:row r="2">
      <x:c r="A2" t="str">
        <x:v>Signals</x:v>
      </x:c>
      <x:c r="B2" t="n">
        <x:f>Tearsheet!B5</x:f>
        <x:v>132</x:v>
      </x:c>
      <x:c r="C2" t="n">
        <x:v>132</x:v>
      </x:c>
    </x:row>
    <x:row r="3">
      <x:c r="A3" t="str">
        <x:v>Executions</x:v>
      </x:c>
      <x:c r="B3" t="n">
        <x:f>Tearsheet!B6</x:f>
        <x:v>86</x:v>
      </x:c>
      <x:c r="C3" t="n">
        <x:v>86</x:v>
      </x:c>
    </x:row>
    <x:row r="4">
      <x:c r="A4" t="str">
        <x:v>Skips</x:v>
      </x:c>
      <x:c r="B4" t="n">
        <x:f>Tearsheet!B7</x:f>
        <x:v>46</x:v>
      </x:c>
      <x:c r="C4" t="n">
        <x:v>46</x:v>
      </x:c>
    </x:row>
    <x:row r="5">
      <x:c r="A5" t="str">
        <x:v>Gross-cost=net</x:v>
      </x:c>
      <x:c r="B5" t="n">
        <x:f>ROUND(Tearsheet!B8-Tearsheet!B11-Tearsheet!B12,2)</x:f>
        <x:v>0</x:v>
      </x:c>
      <x:c r="C5" t="n">
        <x:v>0</x:v>
      </x:c>
    </x:row>
    <x:row r="6">
      <x:c r="A6" t="str">
        <x:v>Decision</x:v>
      </x:c>
      <x:c r="B6" t="str">
        <x:v>SHADOW_ONLY</x:v>
      </x:c>
      <x:c r="C6" t="str">
        <x:v>SHADOW_ONLY</x:v>
      </x:c>
    </x:row>
  </x:sheetData>
  <x:pageMargins left="0.7" right="0.7" top="0.75" bottom="0.75" header="0.3" footer="0.3"/>
</x:worksheet>
</file>